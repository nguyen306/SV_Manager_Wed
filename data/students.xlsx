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g tính1" sheetId="1" state="visible" r:id="rId1"/>
    <sheet xmlns:r="http://schemas.openxmlformats.org/officeDocument/2006/relationships" name="TKB Chính Thức (Ban Ngày)" sheetId="2" state="visible" r:id="rId2"/>
    <sheet xmlns:r="http://schemas.openxmlformats.org/officeDocument/2006/relationships" name="Lịch Phụ Đạo Tối (GPA &lt; 2.0)" sheetId="3" state="visible" r:id="rId3"/>
    <sheet xmlns:r="http://schemas.openxmlformats.org/officeDocument/2006/relationships" name="Danh Sách SV Phụ Đạo Tối" sheetId="4" state="visible" r:id="rId4"/>
    <sheet xmlns:r="http://schemas.openxmlformats.org/officeDocument/2006/relationships" name="Cấu Hình Học Phí" sheetId="5" state="visible" r:id="rId5"/>
    <sheet xmlns:r="http://schemas.openxmlformats.org/officeDocument/2006/relationships" name="Chi Tiết Học Phí" sheetId="6" state="visible" r:id="rId6"/>
    <sheet xmlns:r="http://schemas.openxmlformats.org/officeDocument/2006/relationships" name="Tổng Hợp Học Phí" sheetId="7" state="visible" r:id="rId7"/>
  </sheets>
  <definedNames>
    <definedName name="_xlnm._FilterDatabase" localSheetId="1" hidden="1">'TKB Chính Thức (Ban Ngày)'!$A$3:$E$55</definedName>
    <definedName name="_xlnm._FilterDatabase" localSheetId="2" hidden="1">'Lịch Phụ Đạo Tối (GPA &lt; 2.0)'!$A$3:$E$16</definedName>
    <definedName name="_xlnm._FilterDatabase" localSheetId="3" hidden="1">'Danh Sách SV Phụ Đạo Tối'!$A$3:$G$381</definedName>
    <definedName name="_xlnm._FilterDatabase" localSheetId="5" hidden="1">'Chi Tiết Học Phí'!$A$3:$S$1023</definedName>
    <definedName name="_xlnm._FilterDatabase" localSheetId="6" hidden="1">'Tổng Hợp Học Phí'!$A$3:$K$258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Arial"/>
      <color rgb="FF000000"/>
      <sz val="10"/>
      <scheme val="minor"/>
    </font>
    <font>
      <name val="&quot;Times New Roman&quot;"/>
      <b val="1"/>
      <color rgb="FF000000"/>
    </font>
    <font>
      <name val="Times New Roman"/>
      <b val="1"/>
      <color rgb="FF000000"/>
      <sz val="11"/>
    </font>
    <font>
      <name val="Arial"/>
      <b val="1"/>
      <color theme="1"/>
      <scheme val="minor"/>
    </font>
    <font>
      <name val="Arial"/>
      <color theme="1"/>
      <scheme val="minor"/>
    </font>
    <font/>
    <font>
      <name val="&quot;Times New Roman&quot;"/>
      <color rgb="FF000000"/>
      <sz val="11"/>
    </font>
    <font>
      <name val="Times New Roman"/>
      <color rgb="FF000000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FFFFFF"/>
      <sz val="15"/>
    </font>
    <font>
      <name val="Segoe UI"/>
      <sz val="10"/>
    </font>
    <font>
      <b val="1"/>
      <color rgb="000B3D91"/>
      <sz val="14"/>
    </font>
    <font>
      <b val="1"/>
    </font>
    <font>
      <b val="1"/>
      <color rgb="00FFFFFF"/>
    </font>
  </fonts>
  <fills count="10">
    <fill>
      <patternFill/>
    </fill>
    <fill>
      <patternFill patternType="lightGray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  <fill>
      <patternFill patternType="solid">
        <fgColor rgb="007030A0"/>
        <bgColor rgb="007030A0"/>
      </patternFill>
    </fill>
    <fill>
      <patternFill patternType="solid">
        <fgColor rgb="004A235A"/>
        <bgColor rgb="004A235A"/>
      </patternFill>
    </fill>
    <fill>
      <patternFill patternType="solid">
        <fgColor rgb="00F5EEF8"/>
        <bgColor rgb="00F5EEF8"/>
      </patternFill>
    </fill>
    <fill>
      <patternFill patternType="solid">
        <fgColor rgb="00FFF7ED"/>
      </patternFill>
    </fill>
    <fill>
      <patternFill patternType="solid">
        <fgColor rgb="000B3D91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6DEEB"/>
      </left>
      <right style="thin">
        <color rgb="00D6DEEB"/>
      </right>
      <top style="thin">
        <color rgb="00D6DEEB"/>
      </top>
      <bottom style="thin">
        <color rgb="00D6DEEB"/>
      </bottom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3" fillId="0" borderId="2" applyAlignment="1" pivotButton="0" quotePrefix="0" xfId="0">
      <alignment horizontal="center"/>
    </xf>
    <xf numFmtId="0" fontId="5" fillId="0" borderId="3" pivotButton="0" quotePrefix="0" xfId="0"/>
    <xf numFmtId="0" fontId="5" fillId="0" borderId="4" pivotButton="0" quotePrefix="0" xfId="0"/>
    <xf numFmtId="0" fontId="3" fillId="0" borderId="5" applyAlignment="1" pivotButton="0" quotePrefix="0" xfId="0">
      <alignment horizontal="center"/>
    </xf>
    <xf numFmtId="0" fontId="5" fillId="0" borderId="6" pivotButton="0" quotePrefix="0" xfId="0"/>
    <xf numFmtId="0" fontId="4" fillId="0" borderId="5" applyAlignment="1" pivotButton="0" quotePrefix="0" xfId="0">
      <alignment horizontal="center"/>
    </xf>
    <xf numFmtId="0" fontId="4" fillId="0" borderId="5" pivotButton="0" quotePrefix="0" xfId="0"/>
    <xf numFmtId="0" fontId="6" fillId="0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4" fillId="0" borderId="5" pivotButton="0" quotePrefix="1" xfId="0"/>
    <xf numFmtId="164" fontId="4" fillId="0" borderId="5" pivotButton="0" quotePrefix="0" xfId="0"/>
    <xf numFmtId="2" fontId="4" fillId="0" borderId="5" pivotButton="0" quotePrefix="0" xfId="0"/>
    <xf numFmtId="0" fontId="4" fillId="0" borderId="5" pivotButton="0" quotePrefix="0" xfId="0"/>
    <xf numFmtId="0" fontId="0" fillId="0" borderId="0" pivotButton="0" quotePrefix="0" xfId="0"/>
    <xf numFmtId="0" fontId="1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 wrapText="1"/>
    </xf>
    <xf numFmtId="0" fontId="10" fillId="4" borderId="11" applyAlignment="1" pivotButton="0" quotePrefix="0" xfId="0">
      <alignment horizontal="center" vertical="center" wrapText="1"/>
    </xf>
    <xf numFmtId="0" fontId="10" fillId="4" borderId="11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4" borderId="11" applyAlignment="1" pivotButton="0" quotePrefix="0" xfId="0">
      <alignment horizontal="center" vertical="center" wrapText="1"/>
    </xf>
    <xf numFmtId="0" fontId="12" fillId="4" borderId="11" applyAlignment="1" pivotButton="0" quotePrefix="0" xfId="0">
      <alignment horizontal="left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 wrapText="1"/>
    </xf>
    <xf numFmtId="0" fontId="12" fillId="7" borderId="11" applyAlignment="1" pivotButton="0" quotePrefix="0" xfId="0">
      <alignment horizontal="center" vertical="center" wrapText="1"/>
    </xf>
    <xf numFmtId="0" fontId="12" fillId="7" borderId="1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pivotButton="0" quotePrefix="0" xfId="0"/>
    <xf numFmtId="3" fontId="0" fillId="8" borderId="0" pivotButton="0" quotePrefix="0" xfId="0"/>
    <xf numFmtId="9" fontId="0" fillId="8" borderId="0" pivotButton="0" quotePrefix="0" xfId="0"/>
    <xf numFmtId="0" fontId="15" fillId="9" borderId="12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0" borderId="12" pivotButton="0" quotePrefix="0" xfId="0"/>
    <xf numFmtId="3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257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18" min="2" max="2"/>
    <col width="18.63" customWidth="1" style="18" min="3" max="3"/>
    <col width="26.88" customWidth="1" style="18" min="4" max="4"/>
    <col width="26.5" customWidth="1" style="18" min="5" max="5"/>
    <col width="17.5" customWidth="1" style="18" min="6" max="6"/>
    <col width="17.25" customWidth="1" style="18" min="7" max="7"/>
    <col width="15.13" customWidth="1" style="18" min="8" max="8"/>
    <col width="16.75" customWidth="1" style="18" min="9" max="9"/>
    <col width="16" customWidth="1" style="18" min="10" max="10"/>
    <col width="23.5" customWidth="1" style="18" min="12" max="12"/>
    <col width="24" customWidth="1" style="18" min="13" max="13"/>
    <col width="20.13" customWidth="1" style="18" min="14" max="14"/>
    <col width="14" customWidth="1" style="18" min="15" max="15"/>
    <col width="18" customWidth="1" style="18" min="16" max="16"/>
    <col width="22.38" customWidth="1" style="18" min="17" max="17"/>
    <col width="15.63" customWidth="1" style="18" min="18" max="18"/>
    <col width="14" customWidth="1" style="18" min="19" max="19"/>
  </cols>
  <sheetData>
    <row r="1">
      <c r="A1" s="19" t="inlineStr">
        <is>
          <t>TT</t>
        </is>
      </c>
      <c r="B1" s="20" t="inlineStr">
        <is>
          <t>Họ và tên</t>
        </is>
      </c>
      <c r="C1" s="20" t="inlineStr">
        <is>
          <t>MSV</t>
        </is>
      </c>
      <c r="D1" s="8" t="inlineStr">
        <is>
          <t>Lớp</t>
        </is>
      </c>
      <c r="E1" s="17" t="inlineStr">
        <is>
          <t>Email</t>
        </is>
      </c>
      <c r="F1" s="17" t="inlineStr">
        <is>
          <t>Số điện thoại</t>
        </is>
      </c>
      <c r="G1" s="8" t="inlineStr">
        <is>
          <t>Năm 1</t>
        </is>
      </c>
      <c r="H1" s="21" t="n"/>
      <c r="I1" s="21" t="n"/>
      <c r="J1" s="22" t="n"/>
      <c r="K1" s="8" t="inlineStr">
        <is>
          <t>Năm 2</t>
        </is>
      </c>
      <c r="L1" s="21" t="n"/>
      <c r="M1" s="21" t="n"/>
      <c r="N1" s="22" t="n"/>
      <c r="O1" s="8" t="inlineStr">
        <is>
          <t>Năm 3</t>
        </is>
      </c>
      <c r="P1" s="21" t="n"/>
      <c r="Q1" s="21" t="n"/>
      <c r="R1" s="22" t="n"/>
      <c r="S1" s="8" t="inlineStr">
        <is>
          <t>Năm 4</t>
        </is>
      </c>
      <c r="T1" s="8" t="inlineStr">
        <is>
          <t>GPA</t>
        </is>
      </c>
    </row>
    <row r="2">
      <c r="A2" s="23" t="n"/>
      <c r="B2" s="23" t="n"/>
      <c r="C2" s="23" t="n"/>
      <c r="D2" s="23" t="n"/>
      <c r="E2" s="23" t="n"/>
      <c r="F2" s="23" t="n"/>
      <c r="G2" s="10" t="inlineStr">
        <is>
          <t>Triết Học Mác-lênin(3)</t>
        </is>
      </c>
      <c r="H2" s="10" t="inlineStr">
        <is>
          <t>Tin đại cương(3)</t>
        </is>
      </c>
      <c r="I2" s="10" t="inlineStr">
        <is>
          <t>Giải tích(2)</t>
        </is>
      </c>
      <c r="J2" s="10" t="inlineStr">
        <is>
          <t>Đại số tuyến tính(3)</t>
        </is>
      </c>
      <c r="K2" s="17" t="inlineStr">
        <is>
          <t>Thiết kế web(3)</t>
        </is>
      </c>
      <c r="L2" s="17" t="inlineStr">
        <is>
          <t>Lập trình hướng đối tượng(3)</t>
        </is>
      </c>
      <c r="M2" s="17" t="inlineStr">
        <is>
          <t>Cấu trúc dữ liệu và giải thuật(3)</t>
        </is>
      </c>
      <c r="N2" s="17" t="inlineStr">
        <is>
          <t>Tư tưởng Hồ Chí Minh(2)</t>
        </is>
      </c>
      <c r="O2" s="10" t="inlineStr">
        <is>
          <t>Lập trình Web(3)</t>
        </is>
      </c>
      <c r="P2" s="17" t="inlineStr">
        <is>
          <t>Lập trình trực quan(3)</t>
        </is>
      </c>
      <c r="Q2" s="17" t="inlineStr">
        <is>
          <t>Thuật toán và ứng dụng(3)</t>
        </is>
      </c>
      <c r="R2" s="17" t="inlineStr">
        <is>
          <t>Mạng máy tính(3)</t>
        </is>
      </c>
      <c r="S2" s="17" t="inlineStr">
        <is>
          <t>Bảo vệ đồ án(10)</t>
        </is>
      </c>
      <c r="T2" s="23" t="n"/>
    </row>
    <row r="3">
      <c r="A3" s="12">
        <f>ROW()-2</f>
        <v/>
      </c>
      <c r="B3" s="13" t="inlineStr">
        <is>
          <t>CHU ĐỨC ÁNH</t>
        </is>
      </c>
      <c r="C3" s="13" t="n">
        <v>251230808</v>
      </c>
      <c r="D3" s="17" t="inlineStr">
        <is>
          <t>Công nghệ thông tin 1 K66</t>
        </is>
      </c>
      <c r="E3" s="17" t="inlineStr">
        <is>
          <t>anh251230808@lms.utc.edu.vn</t>
        </is>
      </c>
      <c r="F3" s="14" t="inlineStr">
        <is>
          <t>0987650003</t>
        </is>
      </c>
      <c r="G3" s="15" t="n">
        <v>2.7</v>
      </c>
      <c r="H3" s="15" t="n">
        <v>3.2</v>
      </c>
      <c r="I3" s="15" t="n">
        <v>3.3</v>
      </c>
      <c r="J3" s="15" t="n">
        <v>3.2</v>
      </c>
      <c r="K3" s="15" t="n">
        <v>2.5</v>
      </c>
      <c r="L3" s="15" t="n">
        <v>2.8</v>
      </c>
      <c r="M3" s="15" t="n">
        <v>2.4</v>
      </c>
      <c r="N3" s="15" t="n">
        <v>2.3</v>
      </c>
      <c r="O3" s="15" t="n">
        <v>2</v>
      </c>
      <c r="P3" s="15" t="n">
        <v>3.1</v>
      </c>
      <c r="Q3" s="15" t="n">
        <v>2.6</v>
      </c>
      <c r="R3" s="15" t="n">
        <v>2.4</v>
      </c>
      <c r="S3" s="15" t="n">
        <v>3.8</v>
      </c>
      <c r="T3" s="16">
        <f>(G3*3 + H3*3 + I3*2 + J3*3 + K3*3 + L3*3 + M3*3 + N3*2 + O3*3 + P3*3 + Q3*3 + R3*3 + S3*10) / 44</f>
        <v/>
      </c>
    </row>
    <row r="4">
      <c r="A4" s="12">
        <f>ROW()-2</f>
        <v/>
      </c>
      <c r="B4" s="13" t="inlineStr">
        <is>
          <t>LÊ QUANG ANH</t>
        </is>
      </c>
      <c r="C4" s="13" t="n">
        <v>251210800</v>
      </c>
      <c r="D4" s="17" t="inlineStr">
        <is>
          <t>Công nghệ thông tin 1 K66</t>
        </is>
      </c>
      <c r="E4" s="17" t="inlineStr">
        <is>
          <t>anh251210800@lms.utc.edu.vn</t>
        </is>
      </c>
      <c r="F4" s="14" t="inlineStr">
        <is>
          <t>0987650004</t>
        </is>
      </c>
      <c r="G4" s="15" t="n">
        <v>3.4</v>
      </c>
      <c r="H4" s="15" t="n">
        <v>2.7</v>
      </c>
      <c r="I4" s="15" t="n">
        <v>2.4</v>
      </c>
      <c r="J4" s="15" t="n">
        <v>3.3</v>
      </c>
      <c r="K4" s="15" t="n">
        <v>1.9</v>
      </c>
      <c r="L4" s="15" t="n">
        <v>2.1</v>
      </c>
      <c r="M4" s="15" t="n">
        <v>3.4</v>
      </c>
      <c r="N4" s="15" t="n">
        <v>4</v>
      </c>
      <c r="O4" s="15" t="n">
        <v>3.9</v>
      </c>
      <c r="P4" s="15" t="n">
        <v>3.8</v>
      </c>
      <c r="Q4" s="15" t="n">
        <v>2.1</v>
      </c>
      <c r="R4" s="15" t="n">
        <v>3.9</v>
      </c>
      <c r="S4" s="15" t="n">
        <v>2.4</v>
      </c>
      <c r="T4" s="16">
        <f>(G4*3 + H4*3 + I4*2 + J4*3 + K4*3 + L4*3 + M4*3 + N4*2 + O4*3 + P4*3 + Q4*3 + R4*3 + S4*10) / 44</f>
        <v/>
      </c>
    </row>
    <row r="5">
      <c r="A5" s="12">
        <f>ROW()-2</f>
        <v/>
      </c>
      <c r="B5" s="13" t="inlineStr">
        <is>
          <t>NGÔ AN ĐỨC ANH</t>
        </is>
      </c>
      <c r="C5" s="13" t="n">
        <v>251230801</v>
      </c>
      <c r="D5" s="17" t="inlineStr">
        <is>
          <t>Công nghệ thông tin 1 K66</t>
        </is>
      </c>
      <c r="E5" s="17" t="inlineStr">
        <is>
          <t>anh251230801@lms.utc.edu.vn</t>
        </is>
      </c>
      <c r="F5" s="14" t="inlineStr">
        <is>
          <t>0987650005</t>
        </is>
      </c>
      <c r="G5" s="15" t="n">
        <v>2</v>
      </c>
      <c r="H5" s="15" t="n">
        <v>3.2</v>
      </c>
      <c r="I5" s="15" t="n">
        <v>1.9</v>
      </c>
      <c r="J5" s="15" t="n">
        <v>3.3</v>
      </c>
      <c r="K5" s="15" t="n">
        <v>2.4</v>
      </c>
      <c r="L5" s="15" t="n">
        <v>3.7</v>
      </c>
      <c r="M5" s="15" t="n">
        <v>3.9</v>
      </c>
      <c r="N5" s="15" t="n">
        <v>3.5</v>
      </c>
      <c r="O5" s="15" t="n">
        <v>4</v>
      </c>
      <c r="P5" s="15" t="n">
        <v>2.4</v>
      </c>
      <c r="Q5" s="15" t="n">
        <v>2.7</v>
      </c>
      <c r="R5" s="15" t="n">
        <v>2.6</v>
      </c>
      <c r="S5" s="15" t="n">
        <v>3.7</v>
      </c>
      <c r="T5" s="16">
        <f>(G5*3 + H5*3 + I5*2 + J5*3 + K5*3 + L5*3 + M5*3 + N5*2 + O5*3 + P5*3 + Q5*3 + R5*3 + S5*10) / 44</f>
        <v/>
      </c>
    </row>
    <row r="6">
      <c r="A6" s="12">
        <f>ROW()-2</f>
        <v/>
      </c>
      <c r="B6" s="13" t="inlineStr">
        <is>
          <t>TÔ VIỆT ANH</t>
        </is>
      </c>
      <c r="C6" s="13" t="n">
        <v>251230807</v>
      </c>
      <c r="D6" s="17" t="inlineStr">
        <is>
          <t>Công nghệ thông tin 1 K66</t>
        </is>
      </c>
      <c r="E6" s="17" t="inlineStr">
        <is>
          <t>anh251230807@lms.utc.edu.vn</t>
        </is>
      </c>
      <c r="F6" s="14" t="inlineStr">
        <is>
          <t>0987650006</t>
        </is>
      </c>
      <c r="G6" s="15" t="n">
        <v>1.8</v>
      </c>
      <c r="H6" s="15" t="n">
        <v>1.8</v>
      </c>
      <c r="I6" s="15" t="n">
        <v>3.1</v>
      </c>
      <c r="J6" s="15" t="n">
        <v>0.4</v>
      </c>
      <c r="K6" s="15" t="n">
        <v>2</v>
      </c>
      <c r="L6" s="15" t="n">
        <v>2.9</v>
      </c>
      <c r="M6" s="15" t="n">
        <v>3.8</v>
      </c>
      <c r="N6" s="15" t="n">
        <v>2.4</v>
      </c>
      <c r="O6" s="15" t="n">
        <v>2.6</v>
      </c>
      <c r="P6" s="15" t="n">
        <v>2.2</v>
      </c>
      <c r="Q6" s="15" t="n">
        <v>3.8</v>
      </c>
      <c r="R6" s="15" t="n">
        <v>3.4</v>
      </c>
      <c r="S6" s="15" t="n">
        <v>3.8</v>
      </c>
      <c r="T6" s="16">
        <f>(G6*3 + H6*3 + I6*2 + J6*3 + K6*3 + L6*3 + M6*3 + N6*2 + O6*3 + P6*3 + Q6*3 + R6*3 + S6*10) / 44</f>
        <v/>
      </c>
    </row>
    <row r="7">
      <c r="A7" s="12">
        <f>ROW()-2</f>
        <v/>
      </c>
      <c r="B7" s="13" t="inlineStr">
        <is>
          <t>TRẦN MẬU BẮC</t>
        </is>
      </c>
      <c r="C7" s="13" t="n">
        <v>251230813</v>
      </c>
      <c r="D7" s="17" t="inlineStr">
        <is>
          <t>Công nghệ thông tin 1 K66</t>
        </is>
      </c>
      <c r="E7" s="17" t="inlineStr">
        <is>
          <t>bac251230813@lms.utc.edu.vn</t>
        </is>
      </c>
      <c r="F7" s="14" t="inlineStr">
        <is>
          <t>0987650007</t>
        </is>
      </c>
      <c r="G7" s="15" t="n">
        <v>2.1</v>
      </c>
      <c r="H7" s="15" t="n">
        <v>2.5</v>
      </c>
      <c r="I7" s="15" t="n">
        <v>2</v>
      </c>
      <c r="J7" s="15" t="n">
        <v>1</v>
      </c>
      <c r="K7" s="15" t="n">
        <v>2.1</v>
      </c>
      <c r="L7" s="15" t="n">
        <v>2.9</v>
      </c>
      <c r="M7" s="15" t="n">
        <v>3.1</v>
      </c>
      <c r="N7" s="15" t="n">
        <v>4</v>
      </c>
      <c r="O7" s="15" t="n">
        <v>2.6</v>
      </c>
      <c r="P7" s="15" t="n">
        <v>1.8</v>
      </c>
      <c r="Q7" s="15" t="n">
        <v>3.4</v>
      </c>
      <c r="R7" s="15" t="n">
        <v>3.8</v>
      </c>
      <c r="S7" s="15" t="n">
        <v>3.8</v>
      </c>
      <c r="T7" s="16">
        <f>(G7*3 + H7*3 + I7*2 + J7*3 + K7*3 + L7*3 + M7*3 + N7*2 + O7*3 + P7*3 + Q7*3 + R7*3 + S7*10) / 44</f>
        <v/>
      </c>
    </row>
    <row r="8">
      <c r="A8" s="12">
        <f>ROW()-2</f>
        <v/>
      </c>
      <c r="B8" s="13" t="inlineStr">
        <is>
          <t>NGUYỄN VĂN CHÍ BẢO</t>
        </is>
      </c>
      <c r="C8" s="13" t="n">
        <v>251230811</v>
      </c>
      <c r="D8" s="17" t="inlineStr">
        <is>
          <t>Công nghệ thông tin 1 K66</t>
        </is>
      </c>
      <c r="E8" s="17" t="inlineStr">
        <is>
          <t>bao251230811@lms.utc.edu.vn</t>
        </is>
      </c>
      <c r="F8" s="14" t="inlineStr">
        <is>
          <t>0987650008</t>
        </is>
      </c>
      <c r="G8" s="15" t="n">
        <v>1.9</v>
      </c>
      <c r="H8" s="15" t="n">
        <v>2.1</v>
      </c>
      <c r="I8" s="15" t="n">
        <v>3.5</v>
      </c>
      <c r="J8" s="15" t="n">
        <v>0.9</v>
      </c>
      <c r="K8" s="15" t="n">
        <v>3.8</v>
      </c>
      <c r="L8" s="15" t="n">
        <v>3.4</v>
      </c>
      <c r="M8" s="15" t="n">
        <v>2.9</v>
      </c>
      <c r="N8" s="15" t="n">
        <v>2.1</v>
      </c>
      <c r="O8" s="15" t="n">
        <v>3.8</v>
      </c>
      <c r="P8" s="15" t="n">
        <v>3.2</v>
      </c>
      <c r="Q8" s="15" t="n">
        <v>3.9</v>
      </c>
      <c r="R8" s="15" t="n">
        <v>3.6</v>
      </c>
      <c r="S8" s="15" t="n">
        <v>3.9</v>
      </c>
      <c r="T8" s="16">
        <f>(G8*3 + H8*3 + I8*2 + J8*3 + K8*3 + L8*3 + M8*3 + N8*2 + O8*3 + P8*3 + Q8*3 + R8*3 + S8*10) / 44</f>
        <v/>
      </c>
    </row>
    <row r="9">
      <c r="A9" s="12">
        <f>ROW()-2</f>
        <v/>
      </c>
      <c r="B9" s="13" t="inlineStr">
        <is>
          <t>NGUYỄN VĂN GIA BẢO</t>
        </is>
      </c>
      <c r="C9" s="13" t="n">
        <v>251230812</v>
      </c>
      <c r="D9" s="17" t="inlineStr">
        <is>
          <t>Công nghệ thông tin 1 K66</t>
        </is>
      </c>
      <c r="E9" s="17" t="inlineStr">
        <is>
          <t>bao251230812@lms.utc.edu.vn</t>
        </is>
      </c>
      <c r="F9" s="14" t="inlineStr">
        <is>
          <t>0987650009</t>
        </is>
      </c>
      <c r="G9" s="15" t="n">
        <v>2</v>
      </c>
      <c r="H9" s="15" t="n">
        <v>2.1</v>
      </c>
      <c r="I9" s="15" t="n">
        <v>3.5</v>
      </c>
      <c r="J9" s="15" t="n">
        <v>1.3</v>
      </c>
      <c r="K9" s="15" t="n">
        <v>2.7</v>
      </c>
      <c r="L9" s="15" t="n">
        <v>2.5</v>
      </c>
      <c r="M9" s="15" t="n">
        <v>2.1</v>
      </c>
      <c r="N9" s="15" t="n">
        <v>3.8</v>
      </c>
      <c r="O9" s="15" t="n">
        <v>3.3</v>
      </c>
      <c r="P9" s="15" t="n">
        <v>2.8</v>
      </c>
      <c r="Q9" s="15" t="n">
        <v>3.9</v>
      </c>
      <c r="R9" s="15" t="n">
        <v>2.2</v>
      </c>
      <c r="S9" s="15" t="n">
        <v>3.4</v>
      </c>
      <c r="T9" s="16">
        <f>(G9*3 + H9*3 + I9*2 + J9*3 + K9*3 + L9*3 + M9*3 + N9*2 + O9*3 + P9*3 + Q9*3 + R9*3 + S9*10) / 44</f>
        <v/>
      </c>
    </row>
    <row r="10">
      <c r="A10" s="12">
        <f>ROW()-2</f>
        <v/>
      </c>
      <c r="B10" s="13" t="inlineStr">
        <is>
          <t>NGUYỄN ĐỨC CƯƠNG</t>
        </is>
      </c>
      <c r="C10" s="13" t="n">
        <v>251210818</v>
      </c>
      <c r="D10" s="17" t="inlineStr">
        <is>
          <t>Công nghệ thông tin 1 K66</t>
        </is>
      </c>
      <c r="E10" s="17" t="inlineStr">
        <is>
          <t>cuong251210818@lms.utc.edu.vn</t>
        </is>
      </c>
      <c r="F10" s="14" t="inlineStr">
        <is>
          <t>0987650010</t>
        </is>
      </c>
      <c r="G10" s="15" t="n">
        <v>3.4</v>
      </c>
      <c r="H10" s="15" t="n">
        <v>3.5</v>
      </c>
      <c r="I10" s="15" t="n">
        <v>3.9</v>
      </c>
      <c r="J10" s="15" t="n">
        <v>0.5</v>
      </c>
      <c r="K10" s="15" t="n">
        <v>3.4</v>
      </c>
      <c r="L10" s="15" t="n">
        <v>3.5</v>
      </c>
      <c r="M10" s="15" t="n">
        <v>3.4</v>
      </c>
      <c r="N10" s="15" t="n">
        <v>3.7</v>
      </c>
      <c r="O10" s="15" t="n">
        <v>3.4</v>
      </c>
      <c r="P10" s="15" t="n">
        <v>1.9</v>
      </c>
      <c r="Q10" s="15" t="n">
        <v>2.8</v>
      </c>
      <c r="R10" s="15" t="n">
        <v>2.8</v>
      </c>
      <c r="S10" s="15" t="n">
        <v>3</v>
      </c>
      <c r="T10" s="16">
        <f>(G10*3 + H10*3 + I10*2 + J10*3 + K10*3 + L10*3 + M10*3 + N10*2 + O10*3 + P10*3 + Q10*3 + R10*3 + S10*10) / 44</f>
        <v/>
      </c>
    </row>
    <row r="11">
      <c r="A11" s="12">
        <f>ROW()-2</f>
        <v/>
      </c>
      <c r="B11" s="13" t="inlineStr">
        <is>
          <t>VŨ MẠNH CƯỜNG</t>
        </is>
      </c>
      <c r="C11" s="13" t="n">
        <v>251230821</v>
      </c>
      <c r="D11" s="17" t="inlineStr">
        <is>
          <t>Công nghệ thông tin 1 K66</t>
        </is>
      </c>
      <c r="E11" s="17" t="inlineStr">
        <is>
          <t>cuong251230821@lms.utc.edu.vn</t>
        </is>
      </c>
      <c r="F11" s="14" t="inlineStr">
        <is>
          <t>0987650011</t>
        </is>
      </c>
      <c r="G11" s="15" t="n">
        <v>2.1</v>
      </c>
      <c r="H11" s="15" t="n">
        <v>2.5</v>
      </c>
      <c r="I11" s="15" t="n">
        <v>3.9</v>
      </c>
      <c r="J11" s="15" t="n">
        <v>2.8</v>
      </c>
      <c r="K11" s="15" t="n">
        <v>3.3</v>
      </c>
      <c r="L11" s="15" t="n">
        <v>3</v>
      </c>
      <c r="M11" s="15" t="n">
        <v>3.1</v>
      </c>
      <c r="N11" s="15" t="n">
        <v>4</v>
      </c>
      <c r="O11" s="15" t="n">
        <v>3.8</v>
      </c>
      <c r="P11" s="15" t="n">
        <v>2.4</v>
      </c>
      <c r="Q11" s="15" t="n">
        <v>1.9</v>
      </c>
      <c r="R11" s="15" t="n">
        <v>3.5</v>
      </c>
      <c r="S11" s="15" t="n">
        <v>3.8</v>
      </c>
      <c r="T11" s="16">
        <f>(G11*3 + H11*3 + I11*2 + J11*3 + K11*3 + L11*3 + M11*3 + N11*2 + O11*3 + P11*3 + Q11*3 + R11*3 + S11*10) / 44</f>
        <v/>
      </c>
    </row>
    <row r="12">
      <c r="A12" s="12">
        <f>ROW()-2</f>
        <v/>
      </c>
      <c r="B12" s="13" t="inlineStr">
        <is>
          <t>NGUYỄN KHÁNH DOANH</t>
        </is>
      </c>
      <c r="C12" s="13" t="n">
        <v>251230822</v>
      </c>
      <c r="D12" s="17" t="inlineStr">
        <is>
          <t>Công nghệ thông tin 1 K66</t>
        </is>
      </c>
      <c r="E12" s="17" t="inlineStr">
        <is>
          <t>doanh251230822@lms.utc.edu.vn</t>
        </is>
      </c>
      <c r="F12" s="14" t="inlineStr">
        <is>
          <t>0987650012</t>
        </is>
      </c>
      <c r="G12" s="15" t="n">
        <v>2.1</v>
      </c>
      <c r="H12" s="15" t="n">
        <v>3.4</v>
      </c>
      <c r="I12" s="15" t="n">
        <v>3.3</v>
      </c>
      <c r="J12" s="15" t="n">
        <v>0.3</v>
      </c>
      <c r="K12" s="15" t="n">
        <v>3.6</v>
      </c>
      <c r="L12" s="15" t="n">
        <v>2.5</v>
      </c>
      <c r="M12" s="15" t="n">
        <v>1.8</v>
      </c>
      <c r="N12" s="15" t="n">
        <v>2.5</v>
      </c>
      <c r="O12" s="15" t="n">
        <v>2.6</v>
      </c>
      <c r="P12" s="15" t="n">
        <v>2.6</v>
      </c>
      <c r="Q12" s="15" t="n">
        <v>2.3</v>
      </c>
      <c r="R12" s="15" t="n">
        <v>3.7</v>
      </c>
      <c r="S12" s="15" t="n">
        <v>2.3</v>
      </c>
      <c r="T12" s="16">
        <f>(G12*3 + H12*3 + I12*2 + J12*3 + K12*3 + L12*3 + M12*3 + N12*2 + O12*3 + P12*3 + Q12*3 + R12*3 + S12*10) / 44</f>
        <v/>
      </c>
    </row>
    <row r="13">
      <c r="A13" s="12">
        <f>ROW()-2</f>
        <v/>
      </c>
      <c r="B13" s="13" t="inlineStr">
        <is>
          <t>ĐỖ QUANG DŨNG</t>
        </is>
      </c>
      <c r="C13" s="13" t="n">
        <v>251210825</v>
      </c>
      <c r="D13" s="17" t="inlineStr">
        <is>
          <t>Công nghệ thông tin 1 K66</t>
        </is>
      </c>
      <c r="E13" s="17" t="inlineStr">
        <is>
          <t>dung251210825@lms.utc.edu.vn</t>
        </is>
      </c>
      <c r="F13" s="14" t="inlineStr">
        <is>
          <t>0987650013</t>
        </is>
      </c>
      <c r="G13" s="15" t="n">
        <v>3.1</v>
      </c>
      <c r="H13" s="15" t="n">
        <v>3.1</v>
      </c>
      <c r="I13" s="15" t="n">
        <v>2</v>
      </c>
      <c r="J13" s="15" t="n">
        <v>2.7</v>
      </c>
      <c r="K13" s="15" t="n">
        <v>2.2</v>
      </c>
      <c r="L13" s="15" t="n">
        <v>3.2</v>
      </c>
      <c r="M13" s="15" t="n">
        <v>2.4</v>
      </c>
      <c r="N13" s="15" t="n">
        <v>2.5</v>
      </c>
      <c r="O13" s="15" t="n">
        <v>2.9</v>
      </c>
      <c r="P13" s="15" t="n">
        <v>3.3</v>
      </c>
      <c r="Q13" s="15" t="n">
        <v>2.3</v>
      </c>
      <c r="R13" s="15" t="n">
        <v>2.6</v>
      </c>
      <c r="S13" s="15" t="n">
        <v>2.6</v>
      </c>
      <c r="T13" s="16">
        <f>(G13*3 + H13*3 + I13*2 + J13*3 + K13*3 + L13*3 + M13*3 + N13*2 + O13*3 + P13*3 + Q13*3 + R13*3 + S13*10) / 44</f>
        <v/>
      </c>
    </row>
    <row r="14">
      <c r="A14" s="12">
        <f>ROW()-2</f>
        <v/>
      </c>
      <c r="B14" s="13" t="inlineStr">
        <is>
          <t>NGUYỄN TÙNG DƯƠNG</t>
        </is>
      </c>
      <c r="C14" s="13" t="n">
        <v>251210833</v>
      </c>
      <c r="D14" s="17" t="inlineStr">
        <is>
          <t>Công nghệ thông tin 1 K66</t>
        </is>
      </c>
      <c r="E14" s="17" t="inlineStr">
        <is>
          <t>duong251210833@lms.utc.edu.vn</t>
        </is>
      </c>
      <c r="F14" s="14" t="inlineStr">
        <is>
          <t>0987650014</t>
        </is>
      </c>
      <c r="G14" s="15" t="n">
        <v>3</v>
      </c>
      <c r="H14" s="15" t="n">
        <v>2.6</v>
      </c>
      <c r="I14" s="15" t="n">
        <v>2.3</v>
      </c>
      <c r="J14" s="15" t="n">
        <v>3.1</v>
      </c>
      <c r="K14" s="15" t="n">
        <v>3</v>
      </c>
      <c r="L14" s="15" t="n">
        <v>2</v>
      </c>
      <c r="M14" s="15" t="n">
        <v>2.9</v>
      </c>
      <c r="N14" s="15" t="n">
        <v>2.4</v>
      </c>
      <c r="O14" s="15" t="n">
        <v>2.2</v>
      </c>
      <c r="P14" s="15" t="n">
        <v>3.6</v>
      </c>
      <c r="Q14" s="15" t="n">
        <v>2.5</v>
      </c>
      <c r="R14" s="15" t="n">
        <v>2.6</v>
      </c>
      <c r="S14" s="15" t="n">
        <v>3.7</v>
      </c>
      <c r="T14" s="16">
        <f>(G14*3 + H14*3 + I14*2 + J14*3 + K14*3 + L14*3 + M14*3 + N14*2 + O14*3 + P14*3 + Q14*3 + R14*3 + S14*10) / 44</f>
        <v/>
      </c>
    </row>
    <row r="15">
      <c r="A15" s="12">
        <f>ROW()-2</f>
        <v/>
      </c>
      <c r="B15" s="13" t="inlineStr">
        <is>
          <t>NGUYỄN VŨ THÀNH DƯƠNG</t>
        </is>
      </c>
      <c r="C15" s="13" t="n">
        <v>251210834</v>
      </c>
      <c r="D15" s="17" t="inlineStr">
        <is>
          <t>Công nghệ thông tin 1 K66</t>
        </is>
      </c>
      <c r="E15" s="17" t="inlineStr">
        <is>
          <t>duong251210834@lms.utc.edu.vn</t>
        </is>
      </c>
      <c r="F15" s="14" t="inlineStr">
        <is>
          <t>0987650015</t>
        </is>
      </c>
      <c r="G15" s="15" t="n">
        <v>2.4</v>
      </c>
      <c r="H15" s="15" t="n">
        <v>4</v>
      </c>
      <c r="I15" s="15" t="n">
        <v>3.1</v>
      </c>
      <c r="J15" s="15" t="n">
        <v>3.6</v>
      </c>
      <c r="K15" s="15" t="n">
        <v>1.8</v>
      </c>
      <c r="L15" s="15" t="n">
        <v>3.8</v>
      </c>
      <c r="M15" s="15" t="n">
        <v>2.1</v>
      </c>
      <c r="N15" s="15" t="n">
        <v>3.6</v>
      </c>
      <c r="O15" s="15" t="n">
        <v>2.3</v>
      </c>
      <c r="P15" s="15" t="n">
        <v>2.4</v>
      </c>
      <c r="Q15" s="15" t="n">
        <v>2.1</v>
      </c>
      <c r="R15" s="15" t="n">
        <v>1.9</v>
      </c>
      <c r="S15" s="15" t="n">
        <v>3</v>
      </c>
      <c r="T15" s="16">
        <f>(G15*3 + H15*3 + I15*2 + J15*3 + K15*3 + L15*3 + M15*3 + N15*2 + O15*3 + P15*3 + Q15*3 + R15*3 + S15*10) / 44</f>
        <v/>
      </c>
    </row>
    <row r="16">
      <c r="A16" s="12">
        <f>ROW()-2</f>
        <v/>
      </c>
      <c r="B16" s="13" t="inlineStr">
        <is>
          <t>Nguyễn Xuân Đại</t>
        </is>
      </c>
      <c r="C16" s="13" t="n">
        <v>241224474</v>
      </c>
      <c r="D16" s="17" t="inlineStr">
        <is>
          <t>Công nghệ thông tin 1 K66</t>
        </is>
      </c>
      <c r="E16" s="17" t="inlineStr">
        <is>
          <t>dai241224474@lms.utc.edu.vn</t>
        </is>
      </c>
      <c r="F16" s="14" t="inlineStr">
        <is>
          <t>0987650016</t>
        </is>
      </c>
      <c r="G16" s="15" t="n">
        <v>2.3</v>
      </c>
      <c r="H16" s="15" t="n">
        <v>3.3</v>
      </c>
      <c r="I16" s="15" t="n">
        <v>2.6</v>
      </c>
      <c r="J16" s="15" t="n">
        <v>2</v>
      </c>
      <c r="K16" s="15" t="n">
        <v>3.4</v>
      </c>
      <c r="L16" s="15" t="n">
        <v>2</v>
      </c>
      <c r="M16" s="15" t="n">
        <v>2.6</v>
      </c>
      <c r="N16" s="15" t="n">
        <v>2.4</v>
      </c>
      <c r="O16" s="15" t="n">
        <v>4</v>
      </c>
      <c r="P16" s="15" t="n">
        <v>3.4</v>
      </c>
      <c r="Q16" s="15" t="n">
        <v>3.8</v>
      </c>
      <c r="R16" s="15" t="n">
        <v>2.8</v>
      </c>
      <c r="S16" s="15" t="n">
        <v>2.6</v>
      </c>
      <c r="T16" s="16">
        <f>(G16*3 + H16*3 + I16*2 + J16*3 + K16*3 + L16*3 + M16*3 + N16*2 + O16*3 + P16*3 + Q16*3 + R16*3 + S16*10) / 44</f>
        <v/>
      </c>
    </row>
    <row r="17">
      <c r="A17" s="12">
        <f>ROW()-2</f>
        <v/>
      </c>
      <c r="B17" s="13" t="inlineStr">
        <is>
          <t>CHỬ TIẾN ĐẠT</t>
        </is>
      </c>
      <c r="C17" s="13" t="n">
        <v>251230836</v>
      </c>
      <c r="D17" s="17" t="inlineStr">
        <is>
          <t>Công nghệ thông tin 1 K66</t>
        </is>
      </c>
      <c r="E17" s="17" t="inlineStr">
        <is>
          <t>dat251230836@lms.utc.edu.vn</t>
        </is>
      </c>
      <c r="F17" s="14" t="inlineStr">
        <is>
          <t>0987650017</t>
        </is>
      </c>
      <c r="G17" s="15" t="n">
        <v>2.6</v>
      </c>
      <c r="H17" s="15" t="n">
        <v>3</v>
      </c>
      <c r="I17" s="15" t="n">
        <v>2.6</v>
      </c>
      <c r="J17" s="15" t="n">
        <v>2.1</v>
      </c>
      <c r="K17" s="15" t="n">
        <v>2.5</v>
      </c>
      <c r="L17" s="15" t="n">
        <v>2.9</v>
      </c>
      <c r="M17" s="15" t="n">
        <v>2.2</v>
      </c>
      <c r="N17" s="15" t="n">
        <v>1.9</v>
      </c>
      <c r="O17" s="15" t="n">
        <v>2.2</v>
      </c>
      <c r="P17" s="15" t="n">
        <v>2.6</v>
      </c>
      <c r="Q17" s="15" t="n">
        <v>2.8</v>
      </c>
      <c r="R17" s="15" t="n">
        <v>2.2</v>
      </c>
      <c r="S17" s="15" t="n">
        <v>3.7</v>
      </c>
      <c r="T17" s="16">
        <f>(G17*3 + H17*3 + I17*2 + J17*3 + K17*3 + L17*3 + M17*3 + N17*2 + O17*3 + P17*3 + Q17*3 + R17*3 + S17*10) / 44</f>
        <v/>
      </c>
    </row>
    <row r="18">
      <c r="A18" s="12">
        <f>ROW()-2</f>
        <v/>
      </c>
      <c r="B18" s="13" t="inlineStr">
        <is>
          <t>PHẠM ANH ĐỨC</t>
        </is>
      </c>
      <c r="C18" s="13" t="n">
        <v>251210848</v>
      </c>
      <c r="D18" s="17" t="inlineStr">
        <is>
          <t>Công nghệ thông tin 1 K66</t>
        </is>
      </c>
      <c r="E18" s="17" t="inlineStr">
        <is>
          <t>duc251210848@lms.utc.edu.vn</t>
        </is>
      </c>
      <c r="F18" s="14" t="inlineStr">
        <is>
          <t>0987650018</t>
        </is>
      </c>
      <c r="G18" s="15" t="n">
        <v>2.8</v>
      </c>
      <c r="H18" s="15" t="n">
        <v>3.9</v>
      </c>
      <c r="I18" s="15" t="n">
        <v>2.6</v>
      </c>
      <c r="J18" s="15" t="n">
        <v>1.9</v>
      </c>
      <c r="K18" s="15" t="n">
        <v>2</v>
      </c>
      <c r="L18" s="15" t="n">
        <v>3</v>
      </c>
      <c r="M18" s="15" t="n">
        <v>3</v>
      </c>
      <c r="N18" s="15" t="n">
        <v>2.4</v>
      </c>
      <c r="O18" s="15" t="n">
        <v>2.4</v>
      </c>
      <c r="P18" s="15" t="n">
        <v>2.2</v>
      </c>
      <c r="Q18" s="15" t="n">
        <v>2.8</v>
      </c>
      <c r="R18" s="15" t="n">
        <v>3.3</v>
      </c>
      <c r="S18" s="15" t="n">
        <v>2</v>
      </c>
      <c r="T18" s="16">
        <f>(G18*3 + H18*3 + I18*2 + J18*3 + K18*3 + L18*3 + M18*3 + N18*2 + O18*3 + P18*3 + Q18*3 + R18*3 + S18*10) / 44</f>
        <v/>
      </c>
    </row>
    <row r="19">
      <c r="A19" s="12">
        <f>ROW()-2</f>
        <v/>
      </c>
      <c r="B19" s="13" t="inlineStr">
        <is>
          <t>PHẠM ANH ĐỨC</t>
        </is>
      </c>
      <c r="C19" s="13" t="n">
        <v>251210849</v>
      </c>
      <c r="D19" s="17" t="inlineStr">
        <is>
          <t>Công nghệ thông tin 1 K66</t>
        </is>
      </c>
      <c r="E19" s="17" t="inlineStr">
        <is>
          <t>duc251210849@lms.utc.edu.vn</t>
        </is>
      </c>
      <c r="F19" s="14" t="inlineStr">
        <is>
          <t>0987650019</t>
        </is>
      </c>
      <c r="G19" s="15" t="n">
        <v>3.4</v>
      </c>
      <c r="H19" s="15" t="n">
        <v>3.5</v>
      </c>
      <c r="I19" s="15" t="n">
        <v>3.6</v>
      </c>
      <c r="J19" s="15" t="n">
        <v>0.1</v>
      </c>
      <c r="K19" s="15" t="n">
        <v>2.7</v>
      </c>
      <c r="L19" s="15" t="n">
        <v>3.1</v>
      </c>
      <c r="M19" s="15" t="n">
        <v>3.5</v>
      </c>
      <c r="N19" s="15" t="n">
        <v>3.2</v>
      </c>
      <c r="O19" s="15" t="n">
        <v>2.3</v>
      </c>
      <c r="P19" s="15" t="n">
        <v>3.1</v>
      </c>
      <c r="Q19" s="15" t="n">
        <v>2.1</v>
      </c>
      <c r="R19" s="15" t="n">
        <v>3.4</v>
      </c>
      <c r="S19" s="15" t="n">
        <v>4</v>
      </c>
      <c r="T19" s="16">
        <f>(G19*3 + H19*3 + I19*2 + J19*3 + K19*3 + L19*3 + M19*3 + N19*2 + O19*3 + P19*3 + Q19*3 + R19*3 + S19*10) / 44</f>
        <v/>
      </c>
    </row>
    <row r="20">
      <c r="A20" s="12">
        <f>ROW()-2</f>
        <v/>
      </c>
      <c r="B20" s="13" t="inlineStr">
        <is>
          <t>NGUYỄN PHÚC HẢI</t>
        </is>
      </c>
      <c r="C20" s="13" t="n">
        <v>251210852</v>
      </c>
      <c r="D20" s="17" t="inlineStr">
        <is>
          <t>Công nghệ thông tin 1 K66</t>
        </is>
      </c>
      <c r="E20" s="17" t="inlineStr">
        <is>
          <t>hai251210852@lms.utc.edu.vn</t>
        </is>
      </c>
      <c r="F20" s="14" t="inlineStr">
        <is>
          <t>0987650020</t>
        </is>
      </c>
      <c r="G20" s="15" t="n">
        <v>3.3</v>
      </c>
      <c r="H20" s="15" t="n">
        <v>3.5</v>
      </c>
      <c r="I20" s="15" t="n">
        <v>3.8</v>
      </c>
      <c r="J20" s="15" t="n">
        <v>0.9</v>
      </c>
      <c r="K20" s="15" t="n">
        <v>3.3</v>
      </c>
      <c r="L20" s="15" t="n">
        <v>1.9</v>
      </c>
      <c r="M20" s="15" t="n">
        <v>1.9</v>
      </c>
      <c r="N20" s="15" t="n">
        <v>3.2</v>
      </c>
      <c r="O20" s="15" t="n">
        <v>1.9</v>
      </c>
      <c r="P20" s="15" t="n">
        <v>3.9</v>
      </c>
      <c r="Q20" s="15" t="n">
        <v>3.6</v>
      </c>
      <c r="R20" s="15" t="n">
        <v>3.2</v>
      </c>
      <c r="S20" s="15" t="n">
        <v>3</v>
      </c>
      <c r="T20" s="16">
        <f>(G20*3 + H20*3 + I20*2 + J20*3 + K20*3 + L20*3 + M20*3 + N20*2 + O20*3 + P20*3 + Q20*3 + R20*3 + S20*10) / 44</f>
        <v/>
      </c>
    </row>
    <row r="21">
      <c r="A21" s="12">
        <f>ROW()-2</f>
        <v/>
      </c>
      <c r="B21" s="13" t="inlineStr">
        <is>
          <t>NGUYỄN TIẾN HẢI</t>
        </is>
      </c>
      <c r="C21" s="13" t="n">
        <v>251230854</v>
      </c>
      <c r="D21" s="17" t="inlineStr">
        <is>
          <t>Công nghệ thông tin 1 K66</t>
        </is>
      </c>
      <c r="E21" s="17" t="inlineStr">
        <is>
          <t>hai251230854@lms.utc.edu.vn</t>
        </is>
      </c>
      <c r="F21" s="14" t="inlineStr">
        <is>
          <t>0987650021</t>
        </is>
      </c>
      <c r="G21" s="15" t="n">
        <v>2.7</v>
      </c>
      <c r="H21" s="15" t="n">
        <v>3.3</v>
      </c>
      <c r="I21" s="15" t="n">
        <v>3.2</v>
      </c>
      <c r="J21" s="15" t="n">
        <v>3.6</v>
      </c>
      <c r="K21" s="15" t="n">
        <v>2</v>
      </c>
      <c r="L21" s="15" t="n">
        <v>3</v>
      </c>
      <c r="M21" s="15" t="n">
        <v>3.4</v>
      </c>
      <c r="N21" s="15" t="n">
        <v>3</v>
      </c>
      <c r="O21" s="15" t="n">
        <v>1.9</v>
      </c>
      <c r="P21" s="15" t="n">
        <v>3.3</v>
      </c>
      <c r="Q21" s="15" t="n">
        <v>1.8</v>
      </c>
      <c r="R21" s="15" t="n">
        <v>4</v>
      </c>
      <c r="S21" s="15" t="n">
        <v>3.9</v>
      </c>
      <c r="T21" s="16">
        <f>(G21*3 + H21*3 + I21*2 + J21*3 + K21*3 + L21*3 + M21*3 + N21*2 + O21*3 + P21*3 + Q21*3 + R21*3 + S21*10) / 44</f>
        <v/>
      </c>
    </row>
    <row r="22">
      <c r="A22" s="12">
        <f>ROW()-2</f>
        <v/>
      </c>
      <c r="B22" s="13" t="inlineStr">
        <is>
          <t>ĐÀM KHÁNH HIỀN</t>
        </is>
      </c>
      <c r="C22" s="13" t="n">
        <v>251230856</v>
      </c>
      <c r="D22" s="17" t="inlineStr">
        <is>
          <t>Công nghệ thông tin 1 K66</t>
        </is>
      </c>
      <c r="E22" s="17" t="inlineStr">
        <is>
          <t>hien251230856@lms.utc.edu.vn</t>
        </is>
      </c>
      <c r="F22" s="14" t="inlineStr">
        <is>
          <t>0987650022</t>
        </is>
      </c>
      <c r="G22" s="15" t="n">
        <v>3.9</v>
      </c>
      <c r="H22" s="15" t="n">
        <v>3.9</v>
      </c>
      <c r="I22" s="15" t="n">
        <v>2.9</v>
      </c>
      <c r="J22" s="15" t="n">
        <v>2.2</v>
      </c>
      <c r="K22" s="15" t="n">
        <v>4</v>
      </c>
      <c r="L22" s="15" t="n">
        <v>4</v>
      </c>
      <c r="M22" s="15" t="n">
        <v>4</v>
      </c>
      <c r="N22" s="15" t="n">
        <v>4</v>
      </c>
      <c r="O22" s="15" t="n">
        <v>3.4</v>
      </c>
      <c r="P22" s="15" t="n">
        <v>1.9</v>
      </c>
      <c r="Q22" s="15" t="n">
        <v>3.6</v>
      </c>
      <c r="R22" s="15" t="n">
        <v>1.9</v>
      </c>
      <c r="S22" s="15" t="n">
        <v>3</v>
      </c>
      <c r="T22" s="16">
        <f>(G22*3 + H22*3 + I22*2 + J22*3 + K22*3 + L22*3 + M22*3 + N22*2 + O22*3 + P22*3 + Q22*3 + R22*3 + S22*10) / 44</f>
        <v/>
      </c>
    </row>
    <row r="23">
      <c r="A23" s="12">
        <f>ROW()-2</f>
        <v/>
      </c>
      <c r="B23" s="13" t="inlineStr">
        <is>
          <t>BÙI TIẾN HIỆP</t>
        </is>
      </c>
      <c r="C23" s="13" t="n">
        <v>251230858</v>
      </c>
      <c r="D23" s="17" t="inlineStr">
        <is>
          <t>Công nghệ thông tin 1 K66</t>
        </is>
      </c>
      <c r="E23" s="17" t="inlineStr">
        <is>
          <t>hiep251230858@lms.utc.edu.vn</t>
        </is>
      </c>
      <c r="F23" s="14" t="inlineStr">
        <is>
          <t>0987650023</t>
        </is>
      </c>
      <c r="G23" s="15" t="n">
        <v>2.9</v>
      </c>
      <c r="H23" s="15" t="n">
        <v>3</v>
      </c>
      <c r="I23" s="15" t="n">
        <v>3.2</v>
      </c>
      <c r="J23" s="15" t="n">
        <v>1</v>
      </c>
      <c r="K23" s="15" t="n">
        <v>3.2</v>
      </c>
      <c r="L23" s="15" t="n">
        <v>3.4</v>
      </c>
      <c r="M23" s="15" t="n">
        <v>1.8</v>
      </c>
      <c r="N23" s="15" t="n">
        <v>2.2</v>
      </c>
      <c r="O23" s="15" t="n">
        <v>3.9</v>
      </c>
      <c r="P23" s="15" t="n">
        <v>1.9</v>
      </c>
      <c r="Q23" s="15" t="n">
        <v>3.6</v>
      </c>
      <c r="R23" s="15" t="n">
        <v>2.4</v>
      </c>
      <c r="S23" s="15" t="n">
        <v>3.1</v>
      </c>
      <c r="T23" s="16">
        <f>(G23*3 + H23*3 + I23*2 + J23*3 + K23*3 + L23*3 + M23*3 + N23*2 + O23*3 + P23*3 + Q23*3 + R23*3 + S23*10) / 44</f>
        <v/>
      </c>
    </row>
    <row r="24">
      <c r="A24" s="12">
        <f>ROW()-2</f>
        <v/>
      </c>
      <c r="B24" s="13" t="inlineStr">
        <is>
          <t>NGUYỄN ANH HIẾU</t>
        </is>
      </c>
      <c r="C24" s="13" t="n">
        <v>251230861</v>
      </c>
      <c r="D24" s="17" t="inlineStr">
        <is>
          <t>Công nghệ thông tin 1 K66</t>
        </is>
      </c>
      <c r="E24" s="17" t="inlineStr">
        <is>
          <t>hieu251230861@lms.utc.edu.vn</t>
        </is>
      </c>
      <c r="F24" s="14" t="inlineStr">
        <is>
          <t>0987650024</t>
        </is>
      </c>
      <c r="G24" s="15" t="n">
        <v>1.9</v>
      </c>
      <c r="H24" s="15" t="n">
        <v>3</v>
      </c>
      <c r="I24" s="15" t="n">
        <v>1.9</v>
      </c>
      <c r="J24" s="15" t="n">
        <v>2.1</v>
      </c>
      <c r="K24" s="15" t="n">
        <v>2.6</v>
      </c>
      <c r="L24" s="15" t="n">
        <v>3.7</v>
      </c>
      <c r="M24" s="15" t="n">
        <v>3.8</v>
      </c>
      <c r="N24" s="15" t="n">
        <v>2</v>
      </c>
      <c r="O24" s="15" t="n">
        <v>2.8</v>
      </c>
      <c r="P24" s="15" t="n">
        <v>4</v>
      </c>
      <c r="Q24" s="15" t="n">
        <v>3.7</v>
      </c>
      <c r="R24" s="15" t="n">
        <v>2.8</v>
      </c>
      <c r="S24" s="15" t="n">
        <v>2.9</v>
      </c>
      <c r="T24" s="16">
        <f>(G24*3 + H24*3 + I24*2 + J24*3 + K24*3 + L24*3 + M24*3 + N24*2 + O24*3 + P24*3 + Q24*3 + R24*3 + S24*10) / 44</f>
        <v/>
      </c>
    </row>
    <row r="25">
      <c r="A25" s="12">
        <f>ROW()-2</f>
        <v/>
      </c>
      <c r="B25" s="13" t="inlineStr">
        <is>
          <t>TRẦN VĂN HIỆU</t>
        </is>
      </c>
      <c r="C25" s="13" t="n">
        <v>251230863</v>
      </c>
      <c r="D25" s="17" t="inlineStr">
        <is>
          <t>Công nghệ thông tin 1 K66</t>
        </is>
      </c>
      <c r="E25" s="17" t="inlineStr">
        <is>
          <t>hieu251230863@lms.utc.edu.vn</t>
        </is>
      </c>
      <c r="F25" s="14" t="inlineStr">
        <is>
          <t>0987650025</t>
        </is>
      </c>
      <c r="G25" s="15" t="n">
        <v>2.8</v>
      </c>
      <c r="H25" s="15" t="n">
        <v>3.5</v>
      </c>
      <c r="I25" s="15" t="n">
        <v>2.5</v>
      </c>
      <c r="J25" s="15" t="n">
        <v>0.2</v>
      </c>
      <c r="K25" s="15" t="n">
        <v>3.4</v>
      </c>
      <c r="L25" s="15" t="n">
        <v>3.8</v>
      </c>
      <c r="M25" s="15" t="n">
        <v>2.1</v>
      </c>
      <c r="N25" s="15" t="n">
        <v>2.9</v>
      </c>
      <c r="O25" s="15" t="n">
        <v>3.1</v>
      </c>
      <c r="P25" s="15" t="n">
        <v>2.1</v>
      </c>
      <c r="Q25" s="15" t="n">
        <v>3.8</v>
      </c>
      <c r="R25" s="15" t="n">
        <v>1.9</v>
      </c>
      <c r="S25" s="15" t="n">
        <v>3.1</v>
      </c>
      <c r="T25" s="16">
        <f>(G25*3 + H25*3 + I25*2 + J25*3 + K25*3 + L25*3 + M25*3 + N25*2 + O25*3 + P25*3 + Q25*3 + R25*3 + S25*10) / 44</f>
        <v/>
      </c>
    </row>
    <row r="26">
      <c r="A26" s="12">
        <f>ROW()-2</f>
        <v/>
      </c>
      <c r="B26" s="13" t="inlineStr">
        <is>
          <t>NGUYỄN VIỆT HOÀNG</t>
        </is>
      </c>
      <c r="C26" s="13" t="n">
        <v>251210866</v>
      </c>
      <c r="D26" s="17" t="inlineStr">
        <is>
          <t>Công nghệ thông tin 1 K66</t>
        </is>
      </c>
      <c r="E26" s="17" t="inlineStr">
        <is>
          <t>hoang251210866@lms.utc.edu.vn</t>
        </is>
      </c>
      <c r="F26" s="14" t="inlineStr">
        <is>
          <t>0987650026</t>
        </is>
      </c>
      <c r="G26" s="15" t="n">
        <v>2.3</v>
      </c>
      <c r="H26" s="15" t="n">
        <v>1.9</v>
      </c>
      <c r="I26" s="15" t="n">
        <v>3.9</v>
      </c>
      <c r="J26" s="15" t="n">
        <v>3.9</v>
      </c>
      <c r="K26" s="15" t="n">
        <v>3.7</v>
      </c>
      <c r="L26" s="15" t="n">
        <v>2.9</v>
      </c>
      <c r="M26" s="15" t="n">
        <v>2.8</v>
      </c>
      <c r="N26" s="15" t="n">
        <v>2.3</v>
      </c>
      <c r="O26" s="15" t="n">
        <v>3.9</v>
      </c>
      <c r="P26" s="15" t="n">
        <v>3.3</v>
      </c>
      <c r="Q26" s="15" t="n">
        <v>3</v>
      </c>
      <c r="R26" s="15" t="n">
        <v>4</v>
      </c>
      <c r="S26" s="15" t="n">
        <v>2.8</v>
      </c>
      <c r="T26" s="16">
        <f>(G26*3 + H26*3 + I26*2 + J26*3 + K26*3 + L26*3 + M26*3 + N26*2 + O26*3 + P26*3 + Q26*3 + R26*3 + S26*10) / 44</f>
        <v/>
      </c>
    </row>
    <row r="27">
      <c r="A27" s="12">
        <f>ROW()-2</f>
        <v/>
      </c>
      <c r="B27" s="13" t="inlineStr">
        <is>
          <t>TRẦN VIỆT HOÀNG</t>
        </is>
      </c>
      <c r="C27" s="13" t="n">
        <v>251210867</v>
      </c>
      <c r="D27" s="17" t="inlineStr">
        <is>
          <t>Công nghệ thông tin 1 K66</t>
        </is>
      </c>
      <c r="E27" s="17" t="inlineStr">
        <is>
          <t>hoang251210867@lms.utc.edu.vn</t>
        </is>
      </c>
      <c r="F27" s="14" t="inlineStr">
        <is>
          <t>0987650027</t>
        </is>
      </c>
      <c r="G27" s="15" t="n">
        <v>3.4</v>
      </c>
      <c r="H27" s="15" t="n">
        <v>3.2</v>
      </c>
      <c r="I27" s="15" t="n">
        <v>2.5</v>
      </c>
      <c r="J27" s="15" t="n">
        <v>4</v>
      </c>
      <c r="K27" s="15" t="n">
        <v>4</v>
      </c>
      <c r="L27" s="15" t="n">
        <v>3</v>
      </c>
      <c r="M27" s="15" t="n">
        <v>2.4</v>
      </c>
      <c r="N27" s="15" t="n">
        <v>2</v>
      </c>
      <c r="O27" s="15" t="n">
        <v>3.8</v>
      </c>
      <c r="P27" s="15" t="n">
        <v>3.5</v>
      </c>
      <c r="Q27" s="15" t="n">
        <v>1.9</v>
      </c>
      <c r="R27" s="15" t="n">
        <v>3.9</v>
      </c>
      <c r="S27" s="15" t="n">
        <v>3.5</v>
      </c>
      <c r="T27" s="16">
        <f>(G27*3 + H27*3 + I27*2 + J27*3 + K27*3 + L27*3 + M27*3 + N27*2 + O27*3 + P27*3 + Q27*3 + R27*3 + S27*10) / 44</f>
        <v/>
      </c>
    </row>
    <row r="28">
      <c r="A28" s="12">
        <f>ROW()-2</f>
        <v/>
      </c>
      <c r="B28" s="13" t="inlineStr">
        <is>
          <t>HOÀNG VĨNH HƯNG</t>
        </is>
      </c>
      <c r="C28" s="13" t="n">
        <v>251210876</v>
      </c>
      <c r="D28" s="17" t="inlineStr">
        <is>
          <t>Công nghệ thông tin 1 K66</t>
        </is>
      </c>
      <c r="E28" s="17" t="inlineStr">
        <is>
          <t>hung251210876@lms.utc.edu.vn</t>
        </is>
      </c>
      <c r="F28" s="14" t="inlineStr">
        <is>
          <t>0987650028</t>
        </is>
      </c>
      <c r="G28" s="15" t="n">
        <v>2.2</v>
      </c>
      <c r="H28" s="15" t="n">
        <v>3.7</v>
      </c>
      <c r="I28" s="15" t="n">
        <v>4</v>
      </c>
      <c r="J28" s="15" t="n">
        <v>3.4</v>
      </c>
      <c r="K28" s="15" t="n">
        <v>2.6</v>
      </c>
      <c r="L28" s="15" t="n">
        <v>2.3</v>
      </c>
      <c r="M28" s="15" t="n">
        <v>3.9</v>
      </c>
      <c r="N28" s="15" t="n">
        <v>3.3</v>
      </c>
      <c r="O28" s="15" t="n">
        <v>2.7</v>
      </c>
      <c r="P28" s="15" t="n">
        <v>3</v>
      </c>
      <c r="Q28" s="15" t="n">
        <v>3.7</v>
      </c>
      <c r="R28" s="15" t="n">
        <v>2.1</v>
      </c>
      <c r="S28" s="15" t="n">
        <v>3.5</v>
      </c>
      <c r="T28" s="16">
        <f>(G28*3 + H28*3 + I28*2 + J28*3 + K28*3 + L28*3 + M28*3 + N28*2 + O28*3 + P28*3 + Q28*3 + R28*3 + S28*10) / 44</f>
        <v/>
      </c>
    </row>
    <row r="29">
      <c r="A29" s="12">
        <f>ROW()-2</f>
        <v/>
      </c>
      <c r="B29" s="13" t="inlineStr">
        <is>
          <t>CHU THỊ HƯƠNG</t>
        </is>
      </c>
      <c r="C29" s="13" t="n">
        <v>251210881</v>
      </c>
      <c r="D29" s="17" t="inlineStr">
        <is>
          <t>Công nghệ thông tin 1 K66</t>
        </is>
      </c>
      <c r="E29" s="17" t="inlineStr">
        <is>
          <t>huong251210881@lms.utc.edu.vn</t>
        </is>
      </c>
      <c r="F29" s="14" t="inlineStr">
        <is>
          <t>0987650029</t>
        </is>
      </c>
      <c r="G29" s="15" t="n">
        <v>2.9</v>
      </c>
      <c r="H29" s="15" t="n">
        <v>2.8</v>
      </c>
      <c r="I29" s="15" t="n">
        <v>2</v>
      </c>
      <c r="J29" s="15" t="n">
        <v>0.4</v>
      </c>
      <c r="K29" s="15" t="n">
        <v>3.7</v>
      </c>
      <c r="L29" s="15" t="n">
        <v>2.8</v>
      </c>
      <c r="M29" s="15" t="n">
        <v>1.8</v>
      </c>
      <c r="N29" s="15" t="n">
        <v>3.3</v>
      </c>
      <c r="O29" s="15" t="n">
        <v>2.4</v>
      </c>
      <c r="P29" s="15" t="n">
        <v>2.8</v>
      </c>
      <c r="Q29" s="15" t="n">
        <v>3.5</v>
      </c>
      <c r="R29" s="15" t="n">
        <v>2.4</v>
      </c>
      <c r="S29" s="15" t="n">
        <v>4</v>
      </c>
      <c r="T29" s="16">
        <f>(G29*3 + H29*3 + I29*2 + J29*3 + K29*3 + L29*3 + M29*3 + N29*2 + O29*3 + P29*3 + Q29*3 + R29*3 + S29*10) / 44</f>
        <v/>
      </c>
    </row>
    <row r="30">
      <c r="A30" s="12">
        <f>ROW()-2</f>
        <v/>
      </c>
      <c r="B30" s="13" t="inlineStr">
        <is>
          <t>NGUYỄN ĐÌNH HUY</t>
        </is>
      </c>
      <c r="C30" s="13" t="n">
        <v>251230871</v>
      </c>
      <c r="D30" s="17" t="inlineStr">
        <is>
          <t>Công nghệ thông tin 1 K66</t>
        </is>
      </c>
      <c r="E30" s="17" t="inlineStr">
        <is>
          <t>huy251230871@lms.utc.edu.vn</t>
        </is>
      </c>
      <c r="F30" s="14" t="inlineStr">
        <is>
          <t>0987650030</t>
        </is>
      </c>
      <c r="G30" s="15" t="n">
        <v>3.6</v>
      </c>
      <c r="H30" s="15" t="n">
        <v>1.9</v>
      </c>
      <c r="I30" s="15" t="n">
        <v>2.2</v>
      </c>
      <c r="J30" s="15" t="n">
        <v>2.5</v>
      </c>
      <c r="K30" s="15" t="n">
        <v>4</v>
      </c>
      <c r="L30" s="15" t="n">
        <v>2.4</v>
      </c>
      <c r="M30" s="15" t="n">
        <v>3.3</v>
      </c>
      <c r="N30" s="15" t="n">
        <v>4</v>
      </c>
      <c r="O30" s="15" t="n">
        <v>2.1</v>
      </c>
      <c r="P30" s="15" t="n">
        <v>4</v>
      </c>
      <c r="Q30" s="15" t="n">
        <v>3.9</v>
      </c>
      <c r="R30" s="15" t="n">
        <v>3.6</v>
      </c>
      <c r="S30" s="15" t="n">
        <v>2.8</v>
      </c>
      <c r="T30" s="16">
        <f>(G30*3 + H30*3 + I30*2 + J30*3 + K30*3 + L30*3 + M30*3 + N30*2 + O30*3 + P30*3 + Q30*3 + R30*3 + S30*10) / 44</f>
        <v/>
      </c>
    </row>
    <row r="31">
      <c r="A31" s="12">
        <f>ROW()-2</f>
        <v/>
      </c>
      <c r="B31" s="13" t="inlineStr">
        <is>
          <t>PHẠM GIA HUY</t>
        </is>
      </c>
      <c r="C31" s="13" t="n">
        <v>251230872</v>
      </c>
      <c r="D31" s="17" t="inlineStr">
        <is>
          <t>Công nghệ thông tin 1 K66</t>
        </is>
      </c>
      <c r="E31" s="17" t="inlineStr">
        <is>
          <t>huy251230872@lms.utc.edu.vn</t>
        </is>
      </c>
      <c r="F31" s="14" t="inlineStr">
        <is>
          <t>0987650031</t>
        </is>
      </c>
      <c r="G31" s="15" t="n">
        <v>2.7</v>
      </c>
      <c r="H31" s="15" t="n">
        <v>2.2</v>
      </c>
      <c r="I31" s="15" t="n">
        <v>2</v>
      </c>
      <c r="J31" s="15" t="n">
        <v>3.6</v>
      </c>
      <c r="K31" s="15" t="n">
        <v>2.2</v>
      </c>
      <c r="L31" s="15" t="n">
        <v>4</v>
      </c>
      <c r="M31" s="15" t="n">
        <v>3.2</v>
      </c>
      <c r="N31" s="15" t="n">
        <v>2.8</v>
      </c>
      <c r="O31" s="15" t="n">
        <v>2.3</v>
      </c>
      <c r="P31" s="15" t="n">
        <v>2.8</v>
      </c>
      <c r="Q31" s="15" t="n">
        <v>3.4</v>
      </c>
      <c r="R31" s="15" t="n">
        <v>3.9</v>
      </c>
      <c r="S31" s="15" t="n">
        <v>4</v>
      </c>
      <c r="T31" s="16">
        <f>(G31*3 + H31*3 + I31*2 + J31*3 + K31*3 + L31*3 + M31*3 + N31*2 + O31*3 + P31*3 + Q31*3 + R31*3 + S31*10) / 44</f>
        <v/>
      </c>
    </row>
    <row r="32">
      <c r="A32" s="12">
        <f>ROW()-2</f>
        <v/>
      </c>
      <c r="B32" s="13" t="inlineStr">
        <is>
          <t>VŨ TĂNG GIA HUY</t>
        </is>
      </c>
      <c r="C32" s="13" t="n">
        <v>251230874</v>
      </c>
      <c r="D32" s="17" t="inlineStr">
        <is>
          <t>Công nghệ thông tin 1 K66</t>
        </is>
      </c>
      <c r="E32" s="17" t="inlineStr">
        <is>
          <t>huy251230874@lms.utc.edu.vn</t>
        </is>
      </c>
      <c r="F32" s="14" t="inlineStr">
        <is>
          <t>0987650032</t>
        </is>
      </c>
      <c r="G32" s="15" t="n">
        <v>1.8</v>
      </c>
      <c r="H32" s="15" t="n">
        <v>3.4</v>
      </c>
      <c r="I32" s="15" t="n">
        <v>3.3</v>
      </c>
      <c r="J32" s="15" t="n">
        <v>4</v>
      </c>
      <c r="K32" s="15" t="n">
        <v>3.3</v>
      </c>
      <c r="L32" s="15" t="n">
        <v>3.3</v>
      </c>
      <c r="M32" s="15" t="n">
        <v>3.4</v>
      </c>
      <c r="N32" s="15" t="n">
        <v>1.9</v>
      </c>
      <c r="O32" s="15" t="n">
        <v>2.5</v>
      </c>
      <c r="P32" s="15" t="n">
        <v>2.3</v>
      </c>
      <c r="Q32" s="15" t="n">
        <v>3</v>
      </c>
      <c r="R32" s="15" t="n">
        <v>3.3</v>
      </c>
      <c r="S32" s="15" t="n">
        <v>2</v>
      </c>
      <c r="T32" s="16">
        <f>(G32*3 + H32*3 + I32*2 + J32*3 + K32*3 + L32*3 + M32*3 + N32*2 + O32*3 + P32*3 + Q32*3 + R32*3 + S32*10) / 44</f>
        <v/>
      </c>
    </row>
    <row r="33">
      <c r="A33" s="12">
        <f>ROW()-2</f>
        <v/>
      </c>
      <c r="B33" s="13" t="inlineStr">
        <is>
          <t>TRẦN QUANG KHẢI</t>
        </is>
      </c>
      <c r="C33" s="13" t="n">
        <v>251230883</v>
      </c>
      <c r="D33" s="17" t="inlineStr">
        <is>
          <t>Công nghệ thông tin 1 K66</t>
        </is>
      </c>
      <c r="E33" s="17" t="inlineStr">
        <is>
          <t>khai251230883@lms.utc.edu.vn</t>
        </is>
      </c>
      <c r="F33" s="14" t="inlineStr">
        <is>
          <t>0987650033</t>
        </is>
      </c>
      <c r="G33" s="15" t="n">
        <v>2.1</v>
      </c>
      <c r="H33" s="15" t="n">
        <v>1.9</v>
      </c>
      <c r="I33" s="15" t="n">
        <v>2.3</v>
      </c>
      <c r="J33" s="15" t="n">
        <v>1.3</v>
      </c>
      <c r="K33" s="15" t="n">
        <v>2.4</v>
      </c>
      <c r="L33" s="15" t="n">
        <v>2.2</v>
      </c>
      <c r="M33" s="15" t="n">
        <v>3.3</v>
      </c>
      <c r="N33" s="15" t="n">
        <v>1.8</v>
      </c>
      <c r="O33" s="15" t="n">
        <v>2.8</v>
      </c>
      <c r="P33" s="15" t="n">
        <v>3.4</v>
      </c>
      <c r="Q33" s="15" t="n">
        <v>3.6</v>
      </c>
      <c r="R33" s="15" t="n">
        <v>1.9</v>
      </c>
      <c r="S33" s="15" t="n">
        <v>1.9</v>
      </c>
      <c r="T33" s="16">
        <f>(G33*3 + H33*3 + I33*2 + J33*3 + K33*3 + L33*3 + M33*3 + N33*2 + O33*3 + P33*3 + Q33*3 + R33*3 + S33*10) / 44</f>
        <v/>
      </c>
    </row>
    <row r="34">
      <c r="A34" s="12">
        <f>ROW()-2</f>
        <v/>
      </c>
      <c r="B34" s="13" t="inlineStr">
        <is>
          <t>NGUYỄN LƯU GIA KHÁNH</t>
        </is>
      </c>
      <c r="C34" s="13" t="n">
        <v>251230886</v>
      </c>
      <c r="D34" s="17" t="inlineStr">
        <is>
          <t>Công nghệ thông tin 1 K66</t>
        </is>
      </c>
      <c r="E34" s="17" t="inlineStr">
        <is>
          <t>khanh251230886@lms.utc.edu.vn</t>
        </is>
      </c>
      <c r="F34" s="14" t="inlineStr">
        <is>
          <t>0987650034</t>
        </is>
      </c>
      <c r="G34" s="15" t="n">
        <v>2.8</v>
      </c>
      <c r="H34" s="15" t="n">
        <v>3.8</v>
      </c>
      <c r="I34" s="15" t="n">
        <v>2.1</v>
      </c>
      <c r="J34" s="15" t="n">
        <v>0.6</v>
      </c>
      <c r="K34" s="15" t="n">
        <v>3.6</v>
      </c>
      <c r="L34" s="15" t="n">
        <v>3</v>
      </c>
      <c r="M34" s="15" t="n">
        <v>3</v>
      </c>
      <c r="N34" s="15" t="n">
        <v>3.8</v>
      </c>
      <c r="O34" s="15" t="n">
        <v>1.9</v>
      </c>
      <c r="P34" s="15" t="n">
        <v>2.1</v>
      </c>
      <c r="Q34" s="15" t="n">
        <v>2.1</v>
      </c>
      <c r="R34" s="15" t="n">
        <v>2.1</v>
      </c>
      <c r="S34" s="15" t="n">
        <v>2.9</v>
      </c>
      <c r="T34" s="16">
        <f>(G34*3 + H34*3 + I34*2 + J34*3 + K34*3 + L34*3 + M34*3 + N34*2 + O34*3 + P34*3 + Q34*3 + R34*3 + S34*10) / 44</f>
        <v/>
      </c>
    </row>
    <row r="35">
      <c r="A35" s="12">
        <f>ROW()-2</f>
        <v/>
      </c>
      <c r="B35" s="13" t="inlineStr">
        <is>
          <t>PHẠM GIA KHÁNH</t>
        </is>
      </c>
      <c r="C35" s="13" t="n">
        <v>251230889</v>
      </c>
      <c r="D35" s="17" t="inlineStr">
        <is>
          <t>Công nghệ thông tin 1 K66</t>
        </is>
      </c>
      <c r="E35" s="17" t="inlineStr">
        <is>
          <t>khanh251230889@lms.utc.edu.vn</t>
        </is>
      </c>
      <c r="F35" s="14" t="inlineStr">
        <is>
          <t>0987650035</t>
        </is>
      </c>
      <c r="G35" s="15" t="n">
        <v>3</v>
      </c>
      <c r="H35" s="15" t="n">
        <v>3.9</v>
      </c>
      <c r="I35" s="15" t="n">
        <v>3.3</v>
      </c>
      <c r="J35" s="15" t="n">
        <v>0.8</v>
      </c>
      <c r="K35" s="15" t="n">
        <v>3.9</v>
      </c>
      <c r="L35" s="15" t="n">
        <v>3.3</v>
      </c>
      <c r="M35" s="15" t="n">
        <v>3.1</v>
      </c>
      <c r="N35" s="15" t="n">
        <v>2.6</v>
      </c>
      <c r="O35" s="15" t="n">
        <v>3.3</v>
      </c>
      <c r="P35" s="15" t="n">
        <v>2.2</v>
      </c>
      <c r="Q35" s="15" t="n">
        <v>2.5</v>
      </c>
      <c r="R35" s="15" t="n">
        <v>2</v>
      </c>
      <c r="S35" s="15" t="n">
        <v>4</v>
      </c>
      <c r="T35" s="16">
        <f>(G35*3 + H35*3 + I35*2 + J35*3 + K35*3 + L35*3 + M35*3 + N35*2 + O35*3 + P35*3 + Q35*3 + R35*3 + S35*10) / 44</f>
        <v/>
      </c>
    </row>
    <row r="36">
      <c r="A36" s="12">
        <f>ROW()-2</f>
        <v/>
      </c>
      <c r="B36" s="13" t="inlineStr">
        <is>
          <t>TRẦN DUY KHÁNH</t>
        </is>
      </c>
      <c r="C36" s="13" t="n">
        <v>251230891</v>
      </c>
      <c r="D36" s="17" t="inlineStr">
        <is>
          <t>Công nghệ thông tin 1 K66</t>
        </is>
      </c>
      <c r="E36" s="17" t="inlineStr">
        <is>
          <t>khanh251230891@lms.utc.edu.vn</t>
        </is>
      </c>
      <c r="F36" s="14" t="inlineStr">
        <is>
          <t>0987650036</t>
        </is>
      </c>
      <c r="G36" s="15" t="n">
        <v>3.9</v>
      </c>
      <c r="H36" s="15" t="n">
        <v>2.8</v>
      </c>
      <c r="I36" s="15" t="n">
        <v>3.6</v>
      </c>
      <c r="J36" s="15" t="n">
        <v>4</v>
      </c>
      <c r="K36" s="15" t="n">
        <v>3.9</v>
      </c>
      <c r="L36" s="15" t="n">
        <v>3.1</v>
      </c>
      <c r="M36" s="15" t="n">
        <v>2.4</v>
      </c>
      <c r="N36" s="15" t="n">
        <v>2.5</v>
      </c>
      <c r="O36" s="15" t="n">
        <v>3.6</v>
      </c>
      <c r="P36" s="15" t="n">
        <v>2.7</v>
      </c>
      <c r="Q36" s="15" t="n">
        <v>2</v>
      </c>
      <c r="R36" s="15" t="n">
        <v>3.3</v>
      </c>
      <c r="S36" s="15" t="n">
        <v>2</v>
      </c>
      <c r="T36" s="16">
        <f>(G36*3 + H36*3 + I36*2 + J36*3 + K36*3 + L36*3 + M36*3 + N36*2 + O36*3 + P36*3 + Q36*3 + R36*3 + S36*10) / 44</f>
        <v/>
      </c>
    </row>
    <row r="37">
      <c r="A37" s="12">
        <f>ROW()-2</f>
        <v/>
      </c>
      <c r="B37" s="13" t="inlineStr">
        <is>
          <t>NGUYỄN THANH LÂM</t>
        </is>
      </c>
      <c r="C37" s="13" t="n">
        <v>251230898</v>
      </c>
      <c r="D37" s="17" t="inlineStr">
        <is>
          <t>Công nghệ thông tin 1 K66</t>
        </is>
      </c>
      <c r="E37" s="17" t="inlineStr">
        <is>
          <t>lam251230898@lms.utc.edu.vn</t>
        </is>
      </c>
      <c r="F37" s="14" t="inlineStr">
        <is>
          <t>0987650037</t>
        </is>
      </c>
      <c r="G37" s="15" t="n">
        <v>2.7</v>
      </c>
      <c r="H37" s="15" t="n">
        <v>3.2</v>
      </c>
      <c r="I37" s="15" t="n">
        <v>2.3</v>
      </c>
      <c r="J37" s="15" t="n">
        <v>2</v>
      </c>
      <c r="K37" s="15" t="n">
        <v>4</v>
      </c>
      <c r="L37" s="15" t="n">
        <v>2.6</v>
      </c>
      <c r="M37" s="15" t="n">
        <v>2.8</v>
      </c>
      <c r="N37" s="15" t="n">
        <v>3.2</v>
      </c>
      <c r="O37" s="15" t="n">
        <v>3.6</v>
      </c>
      <c r="P37" s="15" t="n">
        <v>3</v>
      </c>
      <c r="Q37" s="15" t="n">
        <v>2.6</v>
      </c>
      <c r="R37" s="15" t="n">
        <v>3.4</v>
      </c>
      <c r="S37" s="15" t="n">
        <v>3.1</v>
      </c>
      <c r="T37" s="16">
        <f>(G37*3 + H37*3 + I37*2 + J37*3 + K37*3 + L37*3 + M37*3 + N37*2 + O37*3 + P37*3 + Q37*3 + R37*3 + S37*10) / 44</f>
        <v/>
      </c>
    </row>
    <row r="38">
      <c r="A38" s="12">
        <f>ROW()-2</f>
        <v/>
      </c>
      <c r="B38" s="13" t="inlineStr">
        <is>
          <t>NGUYỄN TÙNG LÂM</t>
        </is>
      </c>
      <c r="C38" s="13" t="n">
        <v>251210899</v>
      </c>
      <c r="D38" s="17" t="inlineStr">
        <is>
          <t>Công nghệ thông tin 1 K66</t>
        </is>
      </c>
      <c r="E38" s="17" t="inlineStr">
        <is>
          <t>lam251210899@lms.utc.edu.vn</t>
        </is>
      </c>
      <c r="F38" s="14" t="inlineStr">
        <is>
          <t>0987650038</t>
        </is>
      </c>
      <c r="G38" s="15" t="n">
        <v>3.6</v>
      </c>
      <c r="H38" s="15" t="n">
        <v>2.5</v>
      </c>
      <c r="I38" s="15" t="n">
        <v>3.7</v>
      </c>
      <c r="J38" s="15" t="n">
        <v>2.9</v>
      </c>
      <c r="K38" s="15" t="n">
        <v>3.2</v>
      </c>
      <c r="L38" s="15" t="n">
        <v>2.8</v>
      </c>
      <c r="M38" s="15" t="n">
        <v>2.4</v>
      </c>
      <c r="N38" s="15" t="n">
        <v>2.3</v>
      </c>
      <c r="O38" s="15" t="n">
        <v>3</v>
      </c>
      <c r="P38" s="15" t="n">
        <v>2.3</v>
      </c>
      <c r="Q38" s="15" t="n">
        <v>3.4</v>
      </c>
      <c r="R38" s="15" t="n">
        <v>3.3</v>
      </c>
      <c r="S38" s="15" t="n">
        <v>2.2</v>
      </c>
      <c r="T38" s="16">
        <f>(G38*3 + H38*3 + I38*2 + J38*3 + K38*3 + L38*3 + M38*3 + N38*2 + O38*3 + P38*3 + Q38*3 + R38*3 + S38*10) / 44</f>
        <v/>
      </c>
    </row>
    <row r="39">
      <c r="A39" s="12">
        <f>ROW()-2</f>
        <v/>
      </c>
      <c r="B39" s="13" t="inlineStr">
        <is>
          <t>NGUYỄN VŨ LÂM</t>
        </is>
      </c>
      <c r="C39" s="13" t="n">
        <v>251230901</v>
      </c>
      <c r="D39" s="17" t="inlineStr">
        <is>
          <t>Công nghệ thông tin 1 K66</t>
        </is>
      </c>
      <c r="E39" s="17" t="inlineStr">
        <is>
          <t>lam251230901@lms.utc.edu.vn</t>
        </is>
      </c>
      <c r="F39" s="14" t="inlineStr">
        <is>
          <t>0987650039</t>
        </is>
      </c>
      <c r="G39" s="15" t="n">
        <v>2.9</v>
      </c>
      <c r="H39" s="15" t="n">
        <v>2.4</v>
      </c>
      <c r="I39" s="15" t="n">
        <v>2.7</v>
      </c>
      <c r="J39" s="15" t="n">
        <v>0.3</v>
      </c>
      <c r="K39" s="15" t="n">
        <v>3.1</v>
      </c>
      <c r="L39" s="15" t="n">
        <v>2</v>
      </c>
      <c r="M39" s="15" t="n">
        <v>3.4</v>
      </c>
      <c r="N39" s="15" t="n">
        <v>3.1</v>
      </c>
      <c r="O39" s="15" t="n">
        <v>2</v>
      </c>
      <c r="P39" s="15" t="n">
        <v>3.2</v>
      </c>
      <c r="Q39" s="15" t="n">
        <v>4</v>
      </c>
      <c r="R39" s="15" t="n">
        <v>2</v>
      </c>
      <c r="S39" s="15" t="n">
        <v>2.6</v>
      </c>
      <c r="T39" s="16">
        <f>(G39*3 + H39*3 + I39*2 + J39*3 + K39*3 + L39*3 + M39*3 + N39*2 + O39*3 + P39*3 + Q39*3 + R39*3 + S39*10) / 44</f>
        <v/>
      </c>
    </row>
    <row r="40">
      <c r="A40" s="12">
        <f>ROW()-2</f>
        <v/>
      </c>
      <c r="B40" s="13" t="inlineStr">
        <is>
          <t>BÙI CHÍ LỘC</t>
        </is>
      </c>
      <c r="C40" s="13" t="n">
        <v>251230911</v>
      </c>
      <c r="D40" s="17" t="inlineStr">
        <is>
          <t>Công nghệ thông tin 1 K66</t>
        </is>
      </c>
      <c r="E40" s="17" t="inlineStr">
        <is>
          <t>loc251230911@lms.utc.edu.vn</t>
        </is>
      </c>
      <c r="F40" s="14" t="inlineStr">
        <is>
          <t>0987650040</t>
        </is>
      </c>
      <c r="G40" s="15" t="n">
        <v>3</v>
      </c>
      <c r="H40" s="15" t="n">
        <v>3.4</v>
      </c>
      <c r="I40" s="15" t="n">
        <v>2.2</v>
      </c>
      <c r="J40" s="15" t="n">
        <v>4</v>
      </c>
      <c r="K40" s="15" t="n">
        <v>2.2</v>
      </c>
      <c r="L40" s="15" t="n">
        <v>2.9</v>
      </c>
      <c r="M40" s="15" t="n">
        <v>2.1</v>
      </c>
      <c r="N40" s="15" t="n">
        <v>3.9</v>
      </c>
      <c r="O40" s="15" t="n">
        <v>2.3</v>
      </c>
      <c r="P40" s="15" t="n">
        <v>3.1</v>
      </c>
      <c r="Q40" s="15" t="n">
        <v>2.3</v>
      </c>
      <c r="R40" s="15" t="n">
        <v>2.9</v>
      </c>
      <c r="S40" s="15" t="n">
        <v>3.8</v>
      </c>
      <c r="T40" s="16">
        <f>(G40*3 + H40*3 + I40*2 + J40*3 + K40*3 + L40*3 + M40*3 + N40*2 + O40*3 + P40*3 + Q40*3 + R40*3 + S40*10) / 44</f>
        <v/>
      </c>
    </row>
    <row r="41">
      <c r="A41" s="12">
        <f>ROW()-2</f>
        <v/>
      </c>
      <c r="B41" s="13" t="inlineStr">
        <is>
          <t>TRẦN ĐỨC LONG</t>
        </is>
      </c>
      <c r="C41" s="13" t="n">
        <v>251230910</v>
      </c>
      <c r="D41" s="17" t="inlineStr">
        <is>
          <t>Công nghệ thông tin 1 K66</t>
        </is>
      </c>
      <c r="E41" s="17" t="inlineStr">
        <is>
          <t>long251230910@lms.utc.edu.vn</t>
        </is>
      </c>
      <c r="F41" s="14" t="inlineStr">
        <is>
          <t>0987650041</t>
        </is>
      </c>
      <c r="G41" s="15" t="n">
        <v>3.7</v>
      </c>
      <c r="H41" s="15" t="n">
        <v>2.3</v>
      </c>
      <c r="I41" s="15" t="n">
        <v>2.4</v>
      </c>
      <c r="J41" s="15" t="n">
        <v>3.3</v>
      </c>
      <c r="K41" s="15" t="n">
        <v>2.7</v>
      </c>
      <c r="L41" s="15" t="n">
        <v>3.4</v>
      </c>
      <c r="M41" s="15" t="n">
        <v>3.9</v>
      </c>
      <c r="N41" s="15" t="n">
        <v>2.3</v>
      </c>
      <c r="O41" s="15" t="n">
        <v>3.4</v>
      </c>
      <c r="P41" s="15" t="n">
        <v>2.1</v>
      </c>
      <c r="Q41" s="15" t="n">
        <v>2.9</v>
      </c>
      <c r="R41" s="15" t="n">
        <v>2.9</v>
      </c>
      <c r="S41" s="15" t="n">
        <v>2.7</v>
      </c>
      <c r="T41" s="16">
        <f>(G41*3 + H41*3 + I41*2 + J41*3 + K41*3 + L41*3 + M41*3 + N41*2 + O41*3 + P41*3 + Q41*3 + R41*3 + S41*10) / 44</f>
        <v/>
      </c>
    </row>
    <row r="42">
      <c r="A42" s="12">
        <f>ROW()-2</f>
        <v/>
      </c>
      <c r="B42" s="13" t="inlineStr">
        <is>
          <t>ĐỖ DUY MẠNH</t>
        </is>
      </c>
      <c r="C42" s="13" t="n">
        <v>251230913</v>
      </c>
      <c r="D42" s="17" t="inlineStr">
        <is>
          <t>Công nghệ thông tin 1 K66</t>
        </is>
      </c>
      <c r="E42" s="17" t="inlineStr">
        <is>
          <t>manh251230913@lms.utc.edu.vn</t>
        </is>
      </c>
      <c r="F42" s="14" t="inlineStr">
        <is>
          <t>0987650042</t>
        </is>
      </c>
      <c r="G42" s="15" t="n">
        <v>3.7</v>
      </c>
      <c r="H42" s="15" t="n">
        <v>3.6</v>
      </c>
      <c r="I42" s="15" t="n">
        <v>3.5</v>
      </c>
      <c r="J42" s="15" t="n">
        <v>2.2</v>
      </c>
      <c r="K42" s="15" t="n">
        <v>2</v>
      </c>
      <c r="L42" s="15" t="n">
        <v>2.2</v>
      </c>
      <c r="M42" s="15" t="n">
        <v>3.1</v>
      </c>
      <c r="N42" s="15" t="n">
        <v>2.5</v>
      </c>
      <c r="O42" s="15" t="n">
        <v>4</v>
      </c>
      <c r="P42" s="15" t="n">
        <v>2.7</v>
      </c>
      <c r="Q42" s="15" t="n">
        <v>2.4</v>
      </c>
      <c r="R42" s="15" t="n">
        <v>2.3</v>
      </c>
      <c r="S42" s="15" t="n">
        <v>2.4</v>
      </c>
      <c r="T42" s="16">
        <f>(G42*3 + H42*3 + I42*2 + J42*3 + K42*3 + L42*3 + M42*3 + N42*2 + O42*3 + P42*3 + Q42*3 + R42*3 + S42*10) / 44</f>
        <v/>
      </c>
    </row>
    <row r="43">
      <c r="A43" s="12">
        <f>ROW()-2</f>
        <v/>
      </c>
      <c r="B43" s="13" t="inlineStr">
        <is>
          <t>TRẦN XUÂN MẠNH</t>
        </is>
      </c>
      <c r="C43" s="13" t="n">
        <v>251230918</v>
      </c>
      <c r="D43" s="17" t="inlineStr">
        <is>
          <t>Công nghệ thông tin 1 K66</t>
        </is>
      </c>
      <c r="E43" s="17" t="inlineStr">
        <is>
          <t>manh251230918@lms.utc.edu.vn</t>
        </is>
      </c>
      <c r="F43" s="14" t="inlineStr">
        <is>
          <t>0987650043</t>
        </is>
      </c>
      <c r="G43" s="15" t="n">
        <v>3</v>
      </c>
      <c r="H43" s="15" t="n">
        <v>2.4</v>
      </c>
      <c r="I43" s="15" t="n">
        <v>2.4</v>
      </c>
      <c r="J43" s="15" t="n">
        <v>3.1</v>
      </c>
      <c r="K43" s="15" t="n">
        <v>2</v>
      </c>
      <c r="L43" s="15" t="n">
        <v>3.6</v>
      </c>
      <c r="M43" s="15" t="n">
        <v>1.9</v>
      </c>
      <c r="N43" s="15" t="n">
        <v>2.3</v>
      </c>
      <c r="O43" s="15" t="n">
        <v>3.9</v>
      </c>
      <c r="P43" s="15" t="n">
        <v>2.7</v>
      </c>
      <c r="Q43" s="15" t="n">
        <v>1.8</v>
      </c>
      <c r="R43" s="15" t="n">
        <v>3.1</v>
      </c>
      <c r="S43" s="15" t="n">
        <v>2.7</v>
      </c>
      <c r="T43" s="16">
        <f>(G43*3 + H43*3 + I43*2 + J43*3 + K43*3 + L43*3 + M43*3 + N43*2 + O43*3 + P43*3 + Q43*3 + R43*3 + S43*10) / 44</f>
        <v/>
      </c>
    </row>
    <row r="44">
      <c r="A44" s="12">
        <f>ROW()-2</f>
        <v/>
      </c>
      <c r="B44" s="13" t="inlineStr">
        <is>
          <t>TRẦN THỊ MƠ</t>
        </is>
      </c>
      <c r="C44" s="13" t="n">
        <v>251230925</v>
      </c>
      <c r="D44" s="17" t="inlineStr">
        <is>
          <t>Công nghệ thông tin 1 K66</t>
        </is>
      </c>
      <c r="E44" s="17" t="inlineStr">
        <is>
          <t>mo251230925@lms.utc.edu.vn</t>
        </is>
      </c>
      <c r="F44" s="14" t="inlineStr">
        <is>
          <t>0987650044</t>
        </is>
      </c>
      <c r="G44" s="15" t="n">
        <v>3.8</v>
      </c>
      <c r="H44" s="15" t="n">
        <v>2.7</v>
      </c>
      <c r="I44" s="15" t="n">
        <v>3</v>
      </c>
      <c r="J44" s="15" t="n">
        <v>1</v>
      </c>
      <c r="K44" s="15" t="n">
        <v>3.6</v>
      </c>
      <c r="L44" s="15" t="n">
        <v>1.9</v>
      </c>
      <c r="M44" s="15" t="n">
        <v>2.8</v>
      </c>
      <c r="N44" s="15" t="n">
        <v>3.5</v>
      </c>
      <c r="O44" s="15" t="n">
        <v>3.4</v>
      </c>
      <c r="P44" s="15" t="n">
        <v>3.9</v>
      </c>
      <c r="Q44" s="15" t="n">
        <v>3.6</v>
      </c>
      <c r="R44" s="15" t="n">
        <v>2.1</v>
      </c>
      <c r="S44" s="15" t="n">
        <v>1.9</v>
      </c>
      <c r="T44" s="16">
        <f>(G44*3 + H44*3 + I44*2 + J44*3 + K44*3 + L44*3 + M44*3 + N44*2 + O44*3 + P44*3 + Q44*3 + R44*3 + S44*10) / 44</f>
        <v/>
      </c>
    </row>
    <row r="45">
      <c r="A45" s="12">
        <f>ROW()-2</f>
        <v/>
      </c>
      <c r="B45" s="13" t="inlineStr">
        <is>
          <t>BÙI HUY PHONG</t>
        </is>
      </c>
      <c r="C45" s="13" t="n">
        <v>251230938</v>
      </c>
      <c r="D45" s="17" t="inlineStr">
        <is>
          <t>Công nghệ thông tin 1 K66</t>
        </is>
      </c>
      <c r="E45" s="17" t="inlineStr">
        <is>
          <t>phong251230938@lms.utc.edu.vn</t>
        </is>
      </c>
      <c r="F45" s="14" t="inlineStr">
        <is>
          <t>0987650045</t>
        </is>
      </c>
      <c r="G45" s="15" t="n">
        <v>3.5</v>
      </c>
      <c r="H45" s="15" t="n">
        <v>3.1</v>
      </c>
      <c r="I45" s="15" t="n">
        <v>3.3</v>
      </c>
      <c r="J45" s="15" t="n">
        <v>1.6</v>
      </c>
      <c r="K45" s="15" t="n">
        <v>2.2</v>
      </c>
      <c r="L45" s="15" t="n">
        <v>2.8</v>
      </c>
      <c r="M45" s="15" t="n">
        <v>3.6</v>
      </c>
      <c r="N45" s="15" t="n">
        <v>2.6</v>
      </c>
      <c r="O45" s="15" t="n">
        <v>2.4</v>
      </c>
      <c r="P45" s="15" t="n">
        <v>3</v>
      </c>
      <c r="Q45" s="15" t="n">
        <v>2.7</v>
      </c>
      <c r="R45" s="15" t="n">
        <v>3.2</v>
      </c>
      <c r="S45" s="15" t="n">
        <v>1.8</v>
      </c>
      <c r="T45" s="16">
        <f>(G45*3 + H45*3 + I45*2 + J45*3 + K45*3 + L45*3 + M45*3 + N45*2 + O45*3 + P45*3 + Q45*3 + R45*3 + S45*10) / 44</f>
        <v/>
      </c>
    </row>
    <row r="46">
      <c r="A46" s="12">
        <f>ROW()-2</f>
        <v/>
      </c>
      <c r="B46" s="13" t="inlineStr">
        <is>
          <t>LÊ TUẤN PHONG</t>
        </is>
      </c>
      <c r="C46" s="13" t="n">
        <v>251230940</v>
      </c>
      <c r="D46" s="17" t="inlineStr">
        <is>
          <t>Công nghệ thông tin 1 K66</t>
        </is>
      </c>
      <c r="E46" s="17" t="inlineStr">
        <is>
          <t>phong251230940@lms.utc.edu.vn</t>
        </is>
      </c>
      <c r="F46" s="14" t="inlineStr">
        <is>
          <t>0987650046</t>
        </is>
      </c>
      <c r="G46" s="15" t="n">
        <v>2.6</v>
      </c>
      <c r="H46" s="15" t="n">
        <v>3.8</v>
      </c>
      <c r="I46" s="15" t="n">
        <v>2.1</v>
      </c>
      <c r="J46" s="15" t="n">
        <v>0.2</v>
      </c>
      <c r="K46" s="15" t="n">
        <v>3.6</v>
      </c>
      <c r="L46" s="15" t="n">
        <v>2.5</v>
      </c>
      <c r="M46" s="15" t="n">
        <v>2.7</v>
      </c>
      <c r="N46" s="15" t="n">
        <v>2.1</v>
      </c>
      <c r="O46" s="15" t="n">
        <v>2.9</v>
      </c>
      <c r="P46" s="15" t="n">
        <v>3.5</v>
      </c>
      <c r="Q46" s="15" t="n">
        <v>3.5</v>
      </c>
      <c r="R46" s="15" t="n">
        <v>2.5</v>
      </c>
      <c r="S46" s="15" t="n">
        <v>3.3</v>
      </c>
      <c r="T46" s="16">
        <f>(G46*3 + H46*3 + I46*2 + J46*3 + K46*3 + L46*3 + M46*3 + N46*2 + O46*3 + P46*3 + Q46*3 + R46*3 + S46*10) / 44</f>
        <v/>
      </c>
    </row>
    <row r="47">
      <c r="A47" s="12">
        <f>ROW()-2</f>
        <v/>
      </c>
      <c r="B47" s="13" t="inlineStr">
        <is>
          <t>NGUYỄN VINH QUANG</t>
        </is>
      </c>
      <c r="C47" s="13" t="n">
        <v>251230947</v>
      </c>
      <c r="D47" s="17" t="inlineStr">
        <is>
          <t>Công nghệ thông tin 1 K66</t>
        </is>
      </c>
      <c r="E47" s="17" t="inlineStr">
        <is>
          <t>quang251230947@lms.utc.edu.vn</t>
        </is>
      </c>
      <c r="F47" s="14" t="inlineStr">
        <is>
          <t>0987650047</t>
        </is>
      </c>
      <c r="G47" s="15" t="n">
        <v>3</v>
      </c>
      <c r="H47" s="15" t="n">
        <v>2.2</v>
      </c>
      <c r="I47" s="15" t="n">
        <v>3.2</v>
      </c>
      <c r="J47" s="15" t="n">
        <v>0.9</v>
      </c>
      <c r="K47" s="15" t="n">
        <v>2</v>
      </c>
      <c r="L47" s="15" t="n">
        <v>1.9</v>
      </c>
      <c r="M47" s="15" t="n">
        <v>2.8</v>
      </c>
      <c r="N47" s="15" t="n">
        <v>2.3</v>
      </c>
      <c r="O47" s="15" t="n">
        <v>2.6</v>
      </c>
      <c r="P47" s="15" t="n">
        <v>3.5</v>
      </c>
      <c r="Q47" s="15" t="n">
        <v>2.5</v>
      </c>
      <c r="R47" s="15" t="n">
        <v>3.7</v>
      </c>
      <c r="S47" s="15" t="n">
        <v>3</v>
      </c>
      <c r="T47" s="16">
        <f>(G47*3 + H47*3 + I47*2 + J47*3 + K47*3 + L47*3 + M47*3 + N47*2 + O47*3 + P47*3 + Q47*3 + R47*3 + S47*10) / 44</f>
        <v/>
      </c>
    </row>
    <row r="48">
      <c r="A48" s="12">
        <f>ROW()-2</f>
        <v/>
      </c>
      <c r="B48" s="13" t="inlineStr">
        <is>
          <t>PHAN ĐỨC NHẬT QUANG</t>
        </is>
      </c>
      <c r="C48" s="13" t="n">
        <v>251230948</v>
      </c>
      <c r="D48" s="17" t="inlineStr">
        <is>
          <t>Công nghệ thông tin 1 K66</t>
        </is>
      </c>
      <c r="E48" s="17" t="inlineStr">
        <is>
          <t>quang251230948@lms.utc.edu.vn</t>
        </is>
      </c>
      <c r="F48" s="14" t="inlineStr">
        <is>
          <t>0987650048</t>
        </is>
      </c>
      <c r="G48" s="15" t="n">
        <v>3.5</v>
      </c>
      <c r="H48" s="15" t="n">
        <v>3.2</v>
      </c>
      <c r="I48" s="15" t="n">
        <v>1.8</v>
      </c>
      <c r="J48" s="15" t="n">
        <v>2.6</v>
      </c>
      <c r="K48" s="15" t="n">
        <v>3.6</v>
      </c>
      <c r="L48" s="15" t="n">
        <v>2.4</v>
      </c>
      <c r="M48" s="15" t="n">
        <v>3.6</v>
      </c>
      <c r="N48" s="15" t="n">
        <v>1.9</v>
      </c>
      <c r="O48" s="15" t="n">
        <v>3.2</v>
      </c>
      <c r="P48" s="15" t="n">
        <v>4</v>
      </c>
      <c r="Q48" s="15" t="n">
        <v>3.4</v>
      </c>
      <c r="R48" s="15" t="n">
        <v>2.8</v>
      </c>
      <c r="S48" s="15" t="n">
        <v>3.8</v>
      </c>
      <c r="T48" s="16">
        <f>(G48*3 + H48*3 + I48*2 + J48*3 + K48*3 + L48*3 + M48*3 + N48*2 + O48*3 + P48*3 + Q48*3 + R48*3 + S48*10) / 44</f>
        <v/>
      </c>
    </row>
    <row r="49">
      <c r="A49" s="12">
        <f>ROW()-2</f>
        <v/>
      </c>
      <c r="B49" s="13" t="inlineStr">
        <is>
          <t>TRẦN ĐỨC SINH</t>
        </is>
      </c>
      <c r="C49" s="13" t="n">
        <v>251210955</v>
      </c>
      <c r="D49" s="17" t="inlineStr">
        <is>
          <t>Công nghệ thông tin 1 K66</t>
        </is>
      </c>
      <c r="E49" s="17" t="inlineStr">
        <is>
          <t>sinh251210955@lms.utc.edu.vn</t>
        </is>
      </c>
      <c r="F49" s="14" t="inlineStr">
        <is>
          <t>0987650049</t>
        </is>
      </c>
      <c r="G49" s="15" t="n">
        <v>2.3</v>
      </c>
      <c r="H49" s="15" t="n">
        <v>3.9</v>
      </c>
      <c r="I49" s="15" t="n">
        <v>2.9</v>
      </c>
      <c r="J49" s="15" t="n">
        <v>0.3</v>
      </c>
      <c r="K49" s="15" t="n">
        <v>3.5</v>
      </c>
      <c r="L49" s="15" t="n">
        <v>2.8</v>
      </c>
      <c r="M49" s="15" t="n">
        <v>4</v>
      </c>
      <c r="N49" s="15" t="n">
        <v>3.4</v>
      </c>
      <c r="O49" s="15" t="n">
        <v>2.3</v>
      </c>
      <c r="P49" s="15" t="n">
        <v>2.3</v>
      </c>
      <c r="Q49" s="15" t="n">
        <v>1.9</v>
      </c>
      <c r="R49" s="15" t="n">
        <v>3.3</v>
      </c>
      <c r="S49" s="15" t="n">
        <v>3.2</v>
      </c>
      <c r="T49" s="16">
        <f>(G49*3 + H49*3 + I49*2 + J49*3 + K49*3 + L49*3 + M49*3 + N49*2 + O49*3 + P49*3 + Q49*3 + R49*3 + S49*10) / 44</f>
        <v/>
      </c>
    </row>
    <row r="50">
      <c r="A50" s="12">
        <f>ROW()-2</f>
        <v/>
      </c>
      <c r="B50" s="13" t="inlineStr">
        <is>
          <t>DƯƠNG TÙNG SƠN</t>
        </is>
      </c>
      <c r="C50" s="13" t="n">
        <v>251230956</v>
      </c>
      <c r="D50" s="17" t="inlineStr">
        <is>
          <t>Công nghệ thông tin 1 K66</t>
        </is>
      </c>
      <c r="E50" s="17" t="inlineStr">
        <is>
          <t>son251230956@lms.utc.edu.vn</t>
        </is>
      </c>
      <c r="F50" s="14" t="inlineStr">
        <is>
          <t>0987650050</t>
        </is>
      </c>
      <c r="G50" s="15" t="n">
        <v>2.5</v>
      </c>
      <c r="H50" s="15" t="n">
        <v>2.4</v>
      </c>
      <c r="I50" s="15" t="n">
        <v>3.4</v>
      </c>
      <c r="J50" s="15" t="n">
        <v>2</v>
      </c>
      <c r="K50" s="15" t="n">
        <v>2.6</v>
      </c>
      <c r="L50" s="15" t="n">
        <v>4</v>
      </c>
      <c r="M50" s="15" t="n">
        <v>2.5</v>
      </c>
      <c r="N50" s="15" t="n">
        <v>2.8</v>
      </c>
      <c r="O50" s="15" t="n">
        <v>4</v>
      </c>
      <c r="P50" s="15" t="n">
        <v>3.3</v>
      </c>
      <c r="Q50" s="15" t="n">
        <v>3.4</v>
      </c>
      <c r="R50" s="15" t="n">
        <v>3.9</v>
      </c>
      <c r="S50" s="15" t="n">
        <v>3.5</v>
      </c>
      <c r="T50" s="16">
        <f>(G50*3 + H50*3 + I50*2 + J50*3 + K50*3 + L50*3 + M50*3 + N50*2 + O50*3 + P50*3 + Q50*3 + R50*3 + S50*10) / 44</f>
        <v/>
      </c>
    </row>
    <row r="51">
      <c r="A51" s="12">
        <f>ROW()-2</f>
        <v/>
      </c>
      <c r="B51" s="13" t="inlineStr">
        <is>
          <t>NGUYỄN ĐỨC THÁI</t>
        </is>
      </c>
      <c r="C51" s="13" t="n">
        <v>251230962</v>
      </c>
      <c r="D51" s="17" t="inlineStr">
        <is>
          <t>Công nghệ thông tin 1 K66</t>
        </is>
      </c>
      <c r="E51" s="17" t="inlineStr">
        <is>
          <t>thai251230962@lms.utc.edu.vn</t>
        </is>
      </c>
      <c r="F51" s="14" t="inlineStr">
        <is>
          <t>0987650051</t>
        </is>
      </c>
      <c r="G51" s="15" t="n">
        <v>2.9</v>
      </c>
      <c r="H51" s="15" t="n">
        <v>1.9</v>
      </c>
      <c r="I51" s="15" t="n">
        <v>2</v>
      </c>
      <c r="J51" s="15" t="n">
        <v>3.1</v>
      </c>
      <c r="K51" s="15" t="n">
        <v>2.7</v>
      </c>
      <c r="L51" s="15" t="n">
        <v>3.2</v>
      </c>
      <c r="M51" s="15" t="n">
        <v>2.5</v>
      </c>
      <c r="N51" s="15" t="n">
        <v>4</v>
      </c>
      <c r="O51" s="15" t="n">
        <v>3.8</v>
      </c>
      <c r="P51" s="15" t="n">
        <v>3.8</v>
      </c>
      <c r="Q51" s="15" t="n">
        <v>3.6</v>
      </c>
      <c r="R51" s="15" t="n">
        <v>3.7</v>
      </c>
      <c r="S51" s="15" t="n">
        <v>2.7</v>
      </c>
      <c r="T51" s="16">
        <f>(G51*3 + H51*3 + I51*2 + J51*3 + K51*3 + L51*3 + M51*3 + N51*2 + O51*3 + P51*3 + Q51*3 + R51*3 + S51*10) / 44</f>
        <v/>
      </c>
    </row>
    <row r="52">
      <c r="A52" s="12">
        <f>ROW()-2</f>
        <v/>
      </c>
      <c r="B52" s="13" t="inlineStr">
        <is>
          <t>TRẦN XUÂN THÁI</t>
        </is>
      </c>
      <c r="C52" s="13" t="n">
        <v>251230964</v>
      </c>
      <c r="D52" s="17" t="inlineStr">
        <is>
          <t>Công nghệ thông tin 1 K66</t>
        </is>
      </c>
      <c r="E52" s="17" t="inlineStr">
        <is>
          <t>thai251230964@lms.utc.edu.vn</t>
        </is>
      </c>
      <c r="F52" s="14" t="inlineStr">
        <is>
          <t>0987650052</t>
        </is>
      </c>
      <c r="G52" s="15" t="n">
        <v>3.7</v>
      </c>
      <c r="H52" s="15" t="n">
        <v>2.2</v>
      </c>
      <c r="I52" s="15" t="n">
        <v>2.8</v>
      </c>
      <c r="J52" s="15" t="n">
        <v>2.3</v>
      </c>
      <c r="K52" s="15" t="n">
        <v>3.2</v>
      </c>
      <c r="L52" s="15" t="n">
        <v>2.6</v>
      </c>
      <c r="M52" s="15" t="n">
        <v>2.7</v>
      </c>
      <c r="N52" s="15" t="n">
        <v>1.9</v>
      </c>
      <c r="O52" s="15" t="n">
        <v>3</v>
      </c>
      <c r="P52" s="15" t="n">
        <v>2.3</v>
      </c>
      <c r="Q52" s="15" t="n">
        <v>2</v>
      </c>
      <c r="R52" s="15" t="n">
        <v>3.3</v>
      </c>
      <c r="S52" s="15" t="n">
        <v>2.3</v>
      </c>
      <c r="T52" s="16">
        <f>(G52*3 + H52*3 + I52*2 + J52*3 + K52*3 + L52*3 + M52*3 + N52*2 + O52*3 + P52*3 + Q52*3 + R52*3 + S52*10) / 44</f>
        <v/>
      </c>
    </row>
    <row r="53">
      <c r="A53" s="12">
        <f>ROW()-2</f>
        <v/>
      </c>
      <c r="B53" s="13" t="inlineStr">
        <is>
          <t>Nguyễn Chính Thắng</t>
        </is>
      </c>
      <c r="C53" s="13" t="n">
        <v>241230851</v>
      </c>
      <c r="D53" s="17" t="inlineStr">
        <is>
          <t>Công nghệ thông tin 1 K66</t>
        </is>
      </c>
      <c r="E53" s="17" t="inlineStr">
        <is>
          <t>thang241230851@lms.utc.edu.vn</t>
        </is>
      </c>
      <c r="F53" s="14" t="inlineStr">
        <is>
          <t>0987650053</t>
        </is>
      </c>
      <c r="G53" s="15" t="n">
        <v>3.9</v>
      </c>
      <c r="H53" s="15" t="n">
        <v>1.8</v>
      </c>
      <c r="I53" s="15" t="n">
        <v>3.7</v>
      </c>
      <c r="J53" s="15" t="n">
        <v>2.1</v>
      </c>
      <c r="K53" s="15" t="n">
        <v>2.1</v>
      </c>
      <c r="L53" s="15" t="n">
        <v>3.9</v>
      </c>
      <c r="M53" s="15" t="n">
        <v>1.8</v>
      </c>
      <c r="N53" s="15" t="n">
        <v>1.9</v>
      </c>
      <c r="O53" s="15" t="n">
        <v>3.1</v>
      </c>
      <c r="P53" s="15" t="n">
        <v>3.4</v>
      </c>
      <c r="Q53" s="15" t="n">
        <v>2.8</v>
      </c>
      <c r="R53" s="15" t="n">
        <v>2.8</v>
      </c>
      <c r="S53" s="15" t="n">
        <v>3.7</v>
      </c>
      <c r="T53" s="16">
        <f>(G53*3 + H53*3 + I53*2 + J53*3 + K53*3 + L53*3 + M53*3 + N53*2 + O53*3 + P53*3 + Q53*3 + R53*3 + S53*10) / 44</f>
        <v/>
      </c>
    </row>
    <row r="54">
      <c r="A54" s="12">
        <f>ROW()-2</f>
        <v/>
      </c>
      <c r="B54" s="13" t="inlineStr">
        <is>
          <t>NGUYỄN CÔNG THÀNH</t>
        </is>
      </c>
      <c r="C54" s="13" t="n">
        <v>251230967</v>
      </c>
      <c r="D54" s="17" t="inlineStr">
        <is>
          <t>Công nghệ thông tin 1 K66</t>
        </is>
      </c>
      <c r="E54" s="17" t="inlineStr">
        <is>
          <t>thanh251230967@lms.utc.edu.vn</t>
        </is>
      </c>
      <c r="F54" s="14" t="inlineStr">
        <is>
          <t>0987650054</t>
        </is>
      </c>
      <c r="G54" s="15" t="n">
        <v>2.2</v>
      </c>
      <c r="H54" s="15" t="n">
        <v>3.9</v>
      </c>
      <c r="I54" s="15" t="n">
        <v>2.7</v>
      </c>
      <c r="J54" s="15" t="n">
        <v>0.3</v>
      </c>
      <c r="K54" s="15" t="n">
        <v>2.6</v>
      </c>
      <c r="L54" s="15" t="n">
        <v>3.8</v>
      </c>
      <c r="M54" s="15" t="n">
        <v>2.6</v>
      </c>
      <c r="N54" s="15" t="n">
        <v>2.3</v>
      </c>
      <c r="O54" s="15" t="n">
        <v>3</v>
      </c>
      <c r="P54" s="15" t="n">
        <v>2.7</v>
      </c>
      <c r="Q54" s="15" t="n">
        <v>3.1</v>
      </c>
      <c r="R54" s="15" t="n">
        <v>2.6</v>
      </c>
      <c r="S54" s="15" t="n">
        <v>2</v>
      </c>
      <c r="T54" s="16">
        <f>(G54*3 + H54*3 + I54*2 + J54*3 + K54*3 + L54*3 + M54*3 + N54*2 + O54*3 + P54*3 + Q54*3 + R54*3 + S54*10) / 44</f>
        <v/>
      </c>
    </row>
    <row r="55">
      <c r="A55" s="12">
        <f>ROW()-2</f>
        <v/>
      </c>
      <c r="B55" s="13" t="inlineStr">
        <is>
          <t>TRẦN KIM THÀNH</t>
        </is>
      </c>
      <c r="C55" s="13" t="n">
        <v>251230970</v>
      </c>
      <c r="D55" s="17" t="inlineStr">
        <is>
          <t>Công nghệ thông tin 1 K66</t>
        </is>
      </c>
      <c r="E55" s="17" t="inlineStr">
        <is>
          <t>thanh251230970@lms.utc.edu.vn</t>
        </is>
      </c>
      <c r="F55" s="14" t="inlineStr">
        <is>
          <t>0987650055</t>
        </is>
      </c>
      <c r="G55" s="15" t="n">
        <v>1.9</v>
      </c>
      <c r="H55" s="15" t="n">
        <v>2.3</v>
      </c>
      <c r="I55" s="15" t="n">
        <v>2.9</v>
      </c>
      <c r="J55" s="15" t="n">
        <v>4</v>
      </c>
      <c r="K55" s="15" t="n">
        <v>2.4</v>
      </c>
      <c r="L55" s="15" t="n">
        <v>2.7</v>
      </c>
      <c r="M55" s="15" t="n">
        <v>3.3</v>
      </c>
      <c r="N55" s="15" t="n">
        <v>2.9</v>
      </c>
      <c r="O55" s="15" t="n">
        <v>2.5</v>
      </c>
      <c r="P55" s="15" t="n">
        <v>3.4</v>
      </c>
      <c r="Q55" s="15" t="n">
        <v>2.3</v>
      </c>
      <c r="R55" s="15" t="n">
        <v>3.6</v>
      </c>
      <c r="S55" s="15" t="n">
        <v>3.4</v>
      </c>
      <c r="T55" s="16">
        <f>(G55*3 + H55*3 + I55*2 + J55*3 + K55*3 + L55*3 + M55*3 + N55*2 + O55*3 + P55*3 + Q55*3 + R55*3 + S55*10) / 44</f>
        <v/>
      </c>
    </row>
    <row r="56">
      <c r="A56" s="12">
        <f>ROW()-2</f>
        <v/>
      </c>
      <c r="B56" s="13" t="inlineStr">
        <is>
          <t>LƯỜNG HƯNG THỊNH</t>
        </is>
      </c>
      <c r="C56" s="13" t="n">
        <v>251210977</v>
      </c>
      <c r="D56" s="17" t="inlineStr">
        <is>
          <t>Công nghệ thông tin 1 K66</t>
        </is>
      </c>
      <c r="E56" s="17" t="inlineStr">
        <is>
          <t>thinh251210977@lms.utc.edu.vn</t>
        </is>
      </c>
      <c r="F56" s="14" t="inlineStr">
        <is>
          <t>0987650056</t>
        </is>
      </c>
      <c r="G56" s="15" t="n">
        <v>3.5</v>
      </c>
      <c r="H56" s="15" t="n">
        <v>2.5</v>
      </c>
      <c r="I56" s="15" t="n">
        <v>2</v>
      </c>
      <c r="J56" s="15" t="n">
        <v>1.5</v>
      </c>
      <c r="K56" s="15" t="n">
        <v>2.2</v>
      </c>
      <c r="L56" s="15" t="n">
        <v>3.8</v>
      </c>
      <c r="M56" s="15" t="n">
        <v>2.7</v>
      </c>
      <c r="N56" s="15" t="n">
        <v>3.6</v>
      </c>
      <c r="O56" s="15" t="n">
        <v>1.9</v>
      </c>
      <c r="P56" s="15" t="n">
        <v>2</v>
      </c>
      <c r="Q56" s="15" t="n">
        <v>2.2</v>
      </c>
      <c r="R56" s="15" t="n">
        <v>3.6</v>
      </c>
      <c r="S56" s="15" t="n">
        <v>3.2</v>
      </c>
      <c r="T56" s="16">
        <f>(G56*3 + H56*3 + I56*2 + J56*3 + K56*3 + L56*3 + M56*3 + N56*2 + O56*3 + P56*3 + Q56*3 + R56*3 + S56*10) / 44</f>
        <v/>
      </c>
    </row>
    <row r="57">
      <c r="A57" s="12">
        <f>ROW()-2</f>
        <v/>
      </c>
      <c r="B57" s="13" t="inlineStr">
        <is>
          <t>LÊ VĂN THUẬN</t>
        </is>
      </c>
      <c r="C57" s="13" t="n">
        <v>251230979</v>
      </c>
      <c r="D57" s="17" t="inlineStr">
        <is>
          <t>Công nghệ thông tin 1 K66</t>
        </is>
      </c>
      <c r="E57" s="17" t="inlineStr">
        <is>
          <t>thuan251230979@lms.utc.edu.vn</t>
        </is>
      </c>
      <c r="F57" s="14" t="inlineStr">
        <is>
          <t>0987650057</t>
        </is>
      </c>
      <c r="G57" s="15" t="n">
        <v>2.9</v>
      </c>
      <c r="H57" s="15" t="n">
        <v>2.4</v>
      </c>
      <c r="I57" s="15" t="n">
        <v>3.4</v>
      </c>
      <c r="J57" s="15" t="n">
        <v>3.8</v>
      </c>
      <c r="K57" s="15" t="n">
        <v>2.3</v>
      </c>
      <c r="L57" s="15" t="n">
        <v>4</v>
      </c>
      <c r="M57" s="15" t="n">
        <v>2.1</v>
      </c>
      <c r="N57" s="15" t="n">
        <v>2.4</v>
      </c>
      <c r="O57" s="15" t="n">
        <v>2.6</v>
      </c>
      <c r="P57" s="15" t="n">
        <v>3.3</v>
      </c>
      <c r="Q57" s="15" t="n">
        <v>3.2</v>
      </c>
      <c r="R57" s="15" t="n">
        <v>2.5</v>
      </c>
      <c r="S57" s="15" t="n">
        <v>1.9</v>
      </c>
      <c r="T57" s="16">
        <f>(G57*3 + H57*3 + I57*2 + J57*3 + K57*3 + L57*3 + M57*3 + N57*2 + O57*3 + P57*3 + Q57*3 + R57*3 + S57*10) / 44</f>
        <v/>
      </c>
    </row>
    <row r="58">
      <c r="A58" s="12">
        <f>ROW()-2</f>
        <v/>
      </c>
      <c r="B58" s="13" t="inlineStr">
        <is>
          <t>NGUYỄN MINH TIẾN</t>
        </is>
      </c>
      <c r="C58" s="13" t="n">
        <v>251210982</v>
      </c>
      <c r="D58" s="17" t="inlineStr">
        <is>
          <t>Công nghệ thông tin 1 K66</t>
        </is>
      </c>
      <c r="E58" s="17" t="inlineStr">
        <is>
          <t>tien251210982@lms.utc.edu.vn</t>
        </is>
      </c>
      <c r="F58" s="14" t="inlineStr">
        <is>
          <t>0987650058</t>
        </is>
      </c>
      <c r="G58" s="15" t="n">
        <v>3.4</v>
      </c>
      <c r="H58" s="15" t="n">
        <v>2.3</v>
      </c>
      <c r="I58" s="15" t="n">
        <v>3.8</v>
      </c>
      <c r="J58" s="15" t="n">
        <v>3.3</v>
      </c>
      <c r="K58" s="15" t="n">
        <v>2.7</v>
      </c>
      <c r="L58" s="15" t="n">
        <v>1.8</v>
      </c>
      <c r="M58" s="15" t="n">
        <v>3.8</v>
      </c>
      <c r="N58" s="15" t="n">
        <v>2.1</v>
      </c>
      <c r="O58" s="15" t="n">
        <v>2.3</v>
      </c>
      <c r="P58" s="15" t="n">
        <v>1.8</v>
      </c>
      <c r="Q58" s="15" t="n">
        <v>2</v>
      </c>
      <c r="R58" s="15" t="n">
        <v>2.7</v>
      </c>
      <c r="S58" s="15" t="n">
        <v>2.2</v>
      </c>
      <c r="T58" s="16">
        <f>(G58*3 + H58*3 + I58*2 + J58*3 + K58*3 + L58*3 + M58*3 + N58*2 + O58*3 + P58*3 + Q58*3 + R58*3 + S58*10) / 44</f>
        <v/>
      </c>
    </row>
    <row r="59">
      <c r="A59" s="12">
        <f>ROW()-2</f>
        <v/>
      </c>
      <c r="B59" s="13" t="inlineStr">
        <is>
          <t>NGUYỄN TRƯỜNG TIẾN</t>
        </is>
      </c>
      <c r="C59" s="13" t="n">
        <v>251230983</v>
      </c>
      <c r="D59" s="17" t="inlineStr">
        <is>
          <t>Công nghệ thông tin 1 K66</t>
        </is>
      </c>
      <c r="E59" s="17" t="inlineStr">
        <is>
          <t>tien251230983@lms.utc.edu.vn</t>
        </is>
      </c>
      <c r="F59" s="14" t="inlineStr">
        <is>
          <t>0987650059</t>
        </is>
      </c>
      <c r="G59" s="15" t="n">
        <v>2.2</v>
      </c>
      <c r="H59" s="15" t="n">
        <v>3.3</v>
      </c>
      <c r="I59" s="15" t="n">
        <v>3.6</v>
      </c>
      <c r="J59" s="15" t="n">
        <v>2</v>
      </c>
      <c r="K59" s="15" t="n">
        <v>2.9</v>
      </c>
      <c r="L59" s="15" t="n">
        <v>2</v>
      </c>
      <c r="M59" s="15" t="n">
        <v>3.6</v>
      </c>
      <c r="N59" s="15" t="n">
        <v>3.9</v>
      </c>
      <c r="O59" s="15" t="n">
        <v>3.9</v>
      </c>
      <c r="P59" s="15" t="n">
        <v>3.7</v>
      </c>
      <c r="Q59" s="15" t="n">
        <v>2.1</v>
      </c>
      <c r="R59" s="15" t="n">
        <v>1.9</v>
      </c>
      <c r="S59" s="15" t="n">
        <v>2.5</v>
      </c>
      <c r="T59" s="16">
        <f>(G59*3 + H59*3 + I59*2 + J59*3 + K59*3 + L59*3 + M59*3 + N59*2 + O59*3 + P59*3 + Q59*3 + R59*3 + S59*10) / 44</f>
        <v/>
      </c>
    </row>
    <row r="60">
      <c r="A60" s="12">
        <f>ROW()-2</f>
        <v/>
      </c>
      <c r="B60" s="13" t="inlineStr">
        <is>
          <t>NGUYỄN VĂN TIÊN</t>
        </is>
      </c>
      <c r="C60" s="13" t="n">
        <v>251230981</v>
      </c>
      <c r="D60" s="17" t="inlineStr">
        <is>
          <t>Công nghệ thông tin 1 K66</t>
        </is>
      </c>
      <c r="E60" s="17" t="inlineStr">
        <is>
          <t>tien251230981@lms.utc.edu.vn</t>
        </is>
      </c>
      <c r="F60" s="14" t="inlineStr">
        <is>
          <t>0987650060</t>
        </is>
      </c>
      <c r="G60" s="15" t="n">
        <v>2.3</v>
      </c>
      <c r="H60" s="15" t="n">
        <v>3.9</v>
      </c>
      <c r="I60" s="15" t="n">
        <v>2.6</v>
      </c>
      <c r="J60" s="15" t="n">
        <v>2.5</v>
      </c>
      <c r="K60" s="15" t="n">
        <v>4</v>
      </c>
      <c r="L60" s="15" t="n">
        <v>2.1</v>
      </c>
      <c r="M60" s="15" t="n">
        <v>2.7</v>
      </c>
      <c r="N60" s="15" t="n">
        <v>3.6</v>
      </c>
      <c r="O60" s="15" t="n">
        <v>3.3</v>
      </c>
      <c r="P60" s="15" t="n">
        <v>2.9</v>
      </c>
      <c r="Q60" s="15" t="n">
        <v>3.7</v>
      </c>
      <c r="R60" s="15" t="n">
        <v>3.2</v>
      </c>
      <c r="S60" s="15" t="n">
        <v>2.2</v>
      </c>
      <c r="T60" s="16">
        <f>(G60*3 + H60*3 + I60*2 + J60*3 + K60*3 + L60*3 + M60*3 + N60*2 + O60*3 + P60*3 + Q60*3 + R60*3 + S60*10) / 44</f>
        <v/>
      </c>
    </row>
    <row r="61">
      <c r="A61" s="12">
        <f>ROW()-2</f>
        <v/>
      </c>
      <c r="B61" s="13" t="inlineStr">
        <is>
          <t>NGUYỄN ĐỨC TRỌNG</t>
        </is>
      </c>
      <c r="C61" s="13" t="n">
        <v>251230986</v>
      </c>
      <c r="D61" s="17" t="inlineStr">
        <is>
          <t>Công nghệ thông tin 1 K66</t>
        </is>
      </c>
      <c r="E61" s="17" t="inlineStr">
        <is>
          <t>trong251230986@lms.utc.edu.vn</t>
        </is>
      </c>
      <c r="F61" s="14" t="inlineStr">
        <is>
          <t>0987650061</t>
        </is>
      </c>
      <c r="G61" s="15" t="n">
        <v>1.8</v>
      </c>
      <c r="H61" s="15" t="n">
        <v>2.6</v>
      </c>
      <c r="I61" s="15" t="n">
        <v>3.8</v>
      </c>
      <c r="J61" s="15" t="n">
        <v>3</v>
      </c>
      <c r="K61" s="15" t="n">
        <v>3</v>
      </c>
      <c r="L61" s="15" t="n">
        <v>2.4</v>
      </c>
      <c r="M61" s="15" t="n">
        <v>2.7</v>
      </c>
      <c r="N61" s="15" t="n">
        <v>2.4</v>
      </c>
      <c r="O61" s="15" t="n">
        <v>2.5</v>
      </c>
      <c r="P61" s="15" t="n">
        <v>1.9</v>
      </c>
      <c r="Q61" s="15" t="n">
        <v>3.1</v>
      </c>
      <c r="R61" s="15" t="n">
        <v>2.3</v>
      </c>
      <c r="S61" s="15" t="n">
        <v>2.1</v>
      </c>
      <c r="T61" s="16">
        <f>(G61*3 + H61*3 + I61*2 + J61*3 + K61*3 + L61*3 + M61*3 + N61*2 + O61*3 + P61*3 + Q61*3 + R61*3 + S61*10) / 44</f>
        <v/>
      </c>
    </row>
    <row r="62">
      <c r="A62" s="12">
        <f>ROW()-2</f>
        <v/>
      </c>
      <c r="B62" s="13" t="inlineStr">
        <is>
          <t>GIANG TUẤN TÚ</t>
        </is>
      </c>
      <c r="C62" s="13" t="n">
        <v>251210989</v>
      </c>
      <c r="D62" s="17" t="inlineStr">
        <is>
          <t>Công nghệ thông tin 1 K66</t>
        </is>
      </c>
      <c r="E62" s="17" t="inlineStr">
        <is>
          <t>tu251210989@lms.utc.edu.vn</t>
        </is>
      </c>
      <c r="F62" s="14" t="inlineStr">
        <is>
          <t>0987650062</t>
        </is>
      </c>
      <c r="G62" s="15" t="n">
        <v>1.8</v>
      </c>
      <c r="H62" s="15" t="n">
        <v>3</v>
      </c>
      <c r="I62" s="15" t="n">
        <v>3.3</v>
      </c>
      <c r="J62" s="15" t="n">
        <v>2.5</v>
      </c>
      <c r="K62" s="15" t="n">
        <v>3.6</v>
      </c>
      <c r="L62" s="15" t="n">
        <v>2.2</v>
      </c>
      <c r="M62" s="15" t="n">
        <v>2.5</v>
      </c>
      <c r="N62" s="15" t="n">
        <v>2.7</v>
      </c>
      <c r="O62" s="15" t="n">
        <v>3.3</v>
      </c>
      <c r="P62" s="15" t="n">
        <v>3.7</v>
      </c>
      <c r="Q62" s="15" t="n">
        <v>3.5</v>
      </c>
      <c r="R62" s="15" t="n">
        <v>3.8</v>
      </c>
      <c r="S62" s="15" t="n">
        <v>2.4</v>
      </c>
      <c r="T62" s="16">
        <f>(G62*3 + H62*3 + I62*2 + J62*3 + K62*3 + L62*3 + M62*3 + N62*2 + O62*3 + P62*3 + Q62*3 + R62*3 + S62*10) / 44</f>
        <v/>
      </c>
    </row>
    <row r="63">
      <c r="A63" s="12">
        <f>ROW()-2</f>
        <v/>
      </c>
      <c r="B63" s="13" t="inlineStr">
        <is>
          <t>NGUYỄN DUY TUẤN</t>
        </is>
      </c>
      <c r="C63" s="13" t="n">
        <v>251210992</v>
      </c>
      <c r="D63" s="17" t="inlineStr">
        <is>
          <t>Công nghệ thông tin 1 K66</t>
        </is>
      </c>
      <c r="E63" s="17" t="inlineStr">
        <is>
          <t>tuan251210992@lms.utc.edu.vn</t>
        </is>
      </c>
      <c r="F63" s="14" t="inlineStr">
        <is>
          <t>0987650063</t>
        </is>
      </c>
      <c r="G63" s="15" t="n">
        <v>2.4</v>
      </c>
      <c r="H63" s="15" t="n">
        <v>1.9</v>
      </c>
      <c r="I63" s="15" t="n">
        <v>3.4</v>
      </c>
      <c r="J63" s="15" t="n">
        <v>3.7</v>
      </c>
      <c r="K63" s="15" t="n">
        <v>2.8</v>
      </c>
      <c r="L63" s="15" t="n">
        <v>3.9</v>
      </c>
      <c r="M63" s="15" t="n">
        <v>3.6</v>
      </c>
      <c r="N63" s="15" t="n">
        <v>1.9</v>
      </c>
      <c r="O63" s="15" t="n">
        <v>3.2</v>
      </c>
      <c r="P63" s="15" t="n">
        <v>2.1</v>
      </c>
      <c r="Q63" s="15" t="n">
        <v>1.8</v>
      </c>
      <c r="R63" s="15" t="n">
        <v>3.5</v>
      </c>
      <c r="S63" s="15" t="n">
        <v>1.9</v>
      </c>
      <c r="T63" s="16">
        <f>(G63*3 + H63*3 + I63*2 + J63*3 + K63*3 + L63*3 + M63*3 + N63*2 + O63*3 + P63*3 + Q63*3 + R63*3 + S63*10) / 44</f>
        <v/>
      </c>
    </row>
    <row r="64">
      <c r="A64" s="12">
        <f>ROW()-2</f>
        <v/>
      </c>
      <c r="B64" s="13" t="inlineStr">
        <is>
          <t>VŨ ANH TUẤN</t>
        </is>
      </c>
      <c r="C64" s="13" t="n">
        <v>251230994</v>
      </c>
      <c r="D64" s="17" t="inlineStr">
        <is>
          <t>Công nghệ thông tin 1 K66</t>
        </is>
      </c>
      <c r="E64" s="17" t="inlineStr">
        <is>
          <t>tuan251230994@lms.utc.edu.vn</t>
        </is>
      </c>
      <c r="F64" s="14" t="inlineStr">
        <is>
          <t>0987650064</t>
        </is>
      </c>
      <c r="G64" s="15" t="n">
        <v>2.1</v>
      </c>
      <c r="H64" s="15" t="n">
        <v>2</v>
      </c>
      <c r="I64" s="15" t="n">
        <v>2.7</v>
      </c>
      <c r="J64" s="15" t="n">
        <v>2.9</v>
      </c>
      <c r="K64" s="15" t="n">
        <v>2.1</v>
      </c>
      <c r="L64" s="15" t="n">
        <v>3.3</v>
      </c>
      <c r="M64" s="15" t="n">
        <v>3.5</v>
      </c>
      <c r="N64" s="15" t="n">
        <v>2.4</v>
      </c>
      <c r="O64" s="15" t="n">
        <v>2.9</v>
      </c>
      <c r="P64" s="15" t="n">
        <v>3.9</v>
      </c>
      <c r="Q64" s="15" t="n">
        <v>2</v>
      </c>
      <c r="R64" s="15" t="n">
        <v>3.1</v>
      </c>
      <c r="S64" s="15" t="n">
        <v>3.4</v>
      </c>
      <c r="T64" s="16">
        <f>(G64*3 + H64*3 + I64*2 + J64*3 + K64*3 + L64*3 + M64*3 + N64*2 + O64*3 + P64*3 + Q64*3 + R64*3 + S64*10) / 44</f>
        <v/>
      </c>
    </row>
    <row r="65">
      <c r="A65" s="12">
        <f>ROW()-2</f>
        <v/>
      </c>
      <c r="B65" s="13" t="inlineStr">
        <is>
          <t>ĐINH VĂN TUYÊN</t>
        </is>
      </c>
      <c r="C65" s="13" t="n">
        <v>251230995</v>
      </c>
      <c r="D65" s="17" t="inlineStr">
        <is>
          <t>Công nghệ thông tin 1 K66</t>
        </is>
      </c>
      <c r="E65" s="17" t="inlineStr">
        <is>
          <t>tuyen251230995@lms.utc.edu.vn</t>
        </is>
      </c>
      <c r="F65" s="14" t="inlineStr">
        <is>
          <t>0987650065</t>
        </is>
      </c>
      <c r="G65" s="15" t="n">
        <v>3</v>
      </c>
      <c r="H65" s="15" t="n">
        <v>2.2</v>
      </c>
      <c r="I65" s="15" t="n">
        <v>1.8</v>
      </c>
      <c r="J65" s="15" t="n">
        <v>2.3</v>
      </c>
      <c r="K65" s="15" t="n">
        <v>3.5</v>
      </c>
      <c r="L65" s="15" t="n">
        <v>2</v>
      </c>
      <c r="M65" s="15" t="n">
        <v>2.8</v>
      </c>
      <c r="N65" s="15" t="n">
        <v>2.3</v>
      </c>
      <c r="O65" s="15" t="n">
        <v>2</v>
      </c>
      <c r="P65" s="15" t="n">
        <v>3</v>
      </c>
      <c r="Q65" s="15" t="n">
        <v>3.1</v>
      </c>
      <c r="R65" s="15" t="n">
        <v>3.3</v>
      </c>
      <c r="S65" s="15" t="n">
        <v>2.7</v>
      </c>
      <c r="T65" s="16">
        <f>(G65*3 + H65*3 + I65*2 + J65*3 + K65*3 + L65*3 + M65*3 + N65*2 + O65*3 + P65*3 + Q65*3 + R65*3 + S65*10) / 44</f>
        <v/>
      </c>
    </row>
    <row r="66">
      <c r="A66" s="12">
        <f>ROW()-2</f>
        <v/>
      </c>
      <c r="B66" s="13" t="inlineStr">
        <is>
          <t>HOÀNG PHÚC VINH</t>
        </is>
      </c>
      <c r="C66" s="13" t="n">
        <v>251211001</v>
      </c>
      <c r="D66" s="17" t="inlineStr">
        <is>
          <t>Công nghệ thông tin 1 K66</t>
        </is>
      </c>
      <c r="E66" s="17" t="inlineStr">
        <is>
          <t>vinh251211001@lms.utc.edu.vn</t>
        </is>
      </c>
      <c r="F66" s="14" t="inlineStr">
        <is>
          <t>0987650066</t>
        </is>
      </c>
      <c r="G66" s="15" t="n">
        <v>3</v>
      </c>
      <c r="H66" s="15" t="n">
        <v>3.7</v>
      </c>
      <c r="I66" s="15" t="n">
        <v>2.5</v>
      </c>
      <c r="J66" s="15" t="n">
        <v>2.9</v>
      </c>
      <c r="K66" s="15" t="n">
        <v>3.9</v>
      </c>
      <c r="L66" s="15" t="n">
        <v>2.4</v>
      </c>
      <c r="M66" s="15" t="n">
        <v>4</v>
      </c>
      <c r="N66" s="15" t="n">
        <v>3.8</v>
      </c>
      <c r="O66" s="15" t="n">
        <v>2.7</v>
      </c>
      <c r="P66" s="15" t="n">
        <v>2.8</v>
      </c>
      <c r="Q66" s="15" t="n">
        <v>2.2</v>
      </c>
      <c r="R66" s="15" t="n">
        <v>2.5</v>
      </c>
      <c r="S66" s="15" t="n">
        <v>3.5</v>
      </c>
      <c r="T66" s="16">
        <f>(G66*3 + H66*3 + I66*2 + J66*3 + K66*3 + L66*3 + M66*3 + N66*2 + O66*3 + P66*3 + Q66*3 + R66*3 + S66*10) / 44</f>
        <v/>
      </c>
    </row>
    <row r="67">
      <c r="A67" s="12">
        <f>ROW()-2</f>
        <v/>
      </c>
      <c r="B67" s="13" t="inlineStr">
        <is>
          <t>VŨ TIẾN VINH</t>
        </is>
      </c>
      <c r="C67" s="13" t="n">
        <v>251211004</v>
      </c>
      <c r="D67" s="17" t="inlineStr">
        <is>
          <t>Công nghệ thông tin 1 K66</t>
        </is>
      </c>
      <c r="E67" s="17" t="inlineStr">
        <is>
          <t>vinh251211004@lms.utc.edu.vn</t>
        </is>
      </c>
      <c r="F67" s="14" t="inlineStr">
        <is>
          <t>0987650067</t>
        </is>
      </c>
      <c r="G67" s="15" t="n">
        <v>2.7</v>
      </c>
      <c r="H67" s="15" t="n">
        <v>3.9</v>
      </c>
      <c r="I67" s="15" t="n">
        <v>3.5</v>
      </c>
      <c r="J67" s="15" t="n">
        <v>0.2</v>
      </c>
      <c r="K67" s="15" t="n">
        <v>2.3</v>
      </c>
      <c r="L67" s="15" t="n">
        <v>3.1</v>
      </c>
      <c r="M67" s="15" t="n">
        <v>3.5</v>
      </c>
      <c r="N67" s="15" t="n">
        <v>2.8</v>
      </c>
      <c r="O67" s="15" t="n">
        <v>3.8</v>
      </c>
      <c r="P67" s="15" t="n">
        <v>3.7</v>
      </c>
      <c r="Q67" s="15" t="n">
        <v>2</v>
      </c>
      <c r="R67" s="15" t="n">
        <v>2.9</v>
      </c>
      <c r="S67" s="15" t="n">
        <v>2</v>
      </c>
      <c r="T67" s="16">
        <f>(G67*3 + H67*3 + I67*2 + J67*3 + K67*3 + L67*3 + M67*3 + N67*2 + O67*3 + P67*3 + Q67*3 + R67*3 + S67*10) / 44</f>
        <v/>
      </c>
    </row>
    <row r="68">
      <c r="A68" s="12">
        <f>ROW()-2</f>
        <v/>
      </c>
      <c r="B68" s="13" t="inlineStr">
        <is>
          <t>HOÀNG VIỆT ANH</t>
        </is>
      </c>
      <c r="C68" s="13" t="n">
        <v>251210798</v>
      </c>
      <c r="D68" s="17" t="inlineStr">
        <is>
          <t>Công nghệ thông tin 2 K66</t>
        </is>
      </c>
      <c r="E68" s="17" t="inlineStr">
        <is>
          <t>anh251210798@lms.utc.edu.vn</t>
        </is>
      </c>
      <c r="F68" s="14" t="inlineStr">
        <is>
          <t>0987650068</t>
        </is>
      </c>
      <c r="G68" s="15" t="n">
        <v>2.6</v>
      </c>
      <c r="H68" s="15" t="n">
        <v>3.3</v>
      </c>
      <c r="I68" s="15" t="n">
        <v>1.8</v>
      </c>
      <c r="J68" s="15" t="n">
        <v>2.4</v>
      </c>
      <c r="K68" s="15" t="n">
        <v>3.6</v>
      </c>
      <c r="L68" s="15" t="n">
        <v>2.1</v>
      </c>
      <c r="M68" s="15" t="n">
        <v>2.9</v>
      </c>
      <c r="N68" s="15" t="n">
        <v>4</v>
      </c>
      <c r="O68" s="15" t="n">
        <v>3.4</v>
      </c>
      <c r="P68" s="15" t="n">
        <v>2.5</v>
      </c>
      <c r="Q68" s="15" t="n">
        <v>2</v>
      </c>
      <c r="R68" s="15" t="n">
        <v>2.9</v>
      </c>
      <c r="S68" s="15" t="n">
        <v>2.9</v>
      </c>
      <c r="T68" s="16">
        <f>(G68*3 + H68*3 + I68*2 + J68*3 + K68*3 + L68*3 + M68*3 + N68*2 + O68*3 + P68*3 + Q68*3 + R68*3 + S68*10) / 44</f>
        <v/>
      </c>
    </row>
    <row r="69">
      <c r="A69" s="12">
        <f>ROW()-2</f>
        <v/>
      </c>
      <c r="B69" s="13" t="inlineStr">
        <is>
          <t>LÃ TUẤN ANH</t>
        </is>
      </c>
      <c r="C69" s="13" t="n">
        <v>251230799</v>
      </c>
      <c r="D69" s="17" t="inlineStr">
        <is>
          <t>Công nghệ thông tin 2 K66</t>
        </is>
      </c>
      <c r="E69" s="17" t="inlineStr">
        <is>
          <t>anh251230799@lms.utc.edu.vn</t>
        </is>
      </c>
      <c r="F69" s="14" t="inlineStr">
        <is>
          <t>0987650069</t>
        </is>
      </c>
      <c r="G69" s="15" t="n">
        <v>3.2</v>
      </c>
      <c r="H69" s="15" t="n">
        <v>2.4</v>
      </c>
      <c r="I69" s="15" t="n">
        <v>2.6</v>
      </c>
      <c r="J69" s="15" t="n">
        <v>1.5</v>
      </c>
      <c r="K69" s="15" t="n">
        <v>2.3</v>
      </c>
      <c r="L69" s="15" t="n">
        <v>1.9</v>
      </c>
      <c r="M69" s="15" t="n">
        <v>2.5</v>
      </c>
      <c r="N69" s="15" t="n">
        <v>2.3</v>
      </c>
      <c r="O69" s="15" t="n">
        <v>3.4</v>
      </c>
      <c r="P69" s="15" t="n">
        <v>3.1</v>
      </c>
      <c r="Q69" s="15" t="n">
        <v>3.9</v>
      </c>
      <c r="R69" s="15" t="n">
        <v>2.3</v>
      </c>
      <c r="S69" s="15" t="n">
        <v>3.4</v>
      </c>
      <c r="T69" s="16">
        <f>(G69*3 + H69*3 + I69*2 + J69*3 + K69*3 + L69*3 + M69*3 + N69*2 + O69*3 + P69*3 + Q69*3 + R69*3 + S69*10) / 44</f>
        <v/>
      </c>
    </row>
    <row r="70">
      <c r="A70" s="12">
        <f>ROW()-2</f>
        <v/>
      </c>
      <c r="B70" s="13" t="inlineStr">
        <is>
          <t>NGUYỄN CÔNG TUẤN ANH</t>
        </is>
      </c>
      <c r="C70" s="13" t="n">
        <v>251230802</v>
      </c>
      <c r="D70" s="17" t="inlineStr">
        <is>
          <t>Công nghệ thông tin 2 K66</t>
        </is>
      </c>
      <c r="E70" s="17" t="inlineStr">
        <is>
          <t>anh251230802@lms.utc.edu.vn</t>
        </is>
      </c>
      <c r="F70" s="14" t="inlineStr">
        <is>
          <t>0987650070</t>
        </is>
      </c>
      <c r="G70" s="15" t="n">
        <v>2</v>
      </c>
      <c r="H70" s="15" t="n">
        <v>3.7</v>
      </c>
      <c r="I70" s="15" t="n">
        <v>1.9</v>
      </c>
      <c r="J70" s="15" t="n">
        <v>4</v>
      </c>
      <c r="K70" s="15" t="n">
        <v>3.5</v>
      </c>
      <c r="L70" s="15" t="n">
        <v>2.7</v>
      </c>
      <c r="M70" s="15" t="n">
        <v>2.7</v>
      </c>
      <c r="N70" s="15" t="n">
        <v>1.9</v>
      </c>
      <c r="O70" s="15" t="n">
        <v>2.4</v>
      </c>
      <c r="P70" s="15" t="n">
        <v>3.9</v>
      </c>
      <c r="Q70" s="15" t="n">
        <v>2.2</v>
      </c>
      <c r="R70" s="15" t="n">
        <v>2.4</v>
      </c>
      <c r="S70" s="15" t="n">
        <v>2.8</v>
      </c>
      <c r="T70" s="16">
        <f>(G70*3 + H70*3 + I70*2 + J70*3 + K70*3 + L70*3 + M70*3 + N70*2 + O70*3 + P70*3 + Q70*3 + R70*3 + S70*10) / 44</f>
        <v/>
      </c>
    </row>
    <row r="71">
      <c r="A71" s="12">
        <f>ROW()-2</f>
        <v/>
      </c>
      <c r="B71" s="13" t="inlineStr">
        <is>
          <t>NGUYỄN TUẤN ANH</t>
        </is>
      </c>
      <c r="C71" s="13" t="n">
        <v>251230806</v>
      </c>
      <c r="D71" s="17" t="inlineStr">
        <is>
          <t>Công nghệ thông tin 2 K66</t>
        </is>
      </c>
      <c r="E71" s="17" t="inlineStr">
        <is>
          <t>anh251230806@lms.utc.edu.vn</t>
        </is>
      </c>
      <c r="F71" s="14" t="inlineStr">
        <is>
          <t>0987650071</t>
        </is>
      </c>
      <c r="G71" s="15" t="n">
        <v>2.3</v>
      </c>
      <c r="H71" s="15" t="n">
        <v>3.9</v>
      </c>
      <c r="I71" s="15" t="n">
        <v>3.6</v>
      </c>
      <c r="J71" s="15" t="n">
        <v>1.2</v>
      </c>
      <c r="K71" s="15" t="n">
        <v>3.7</v>
      </c>
      <c r="L71" s="15" t="n">
        <v>2.5</v>
      </c>
      <c r="M71" s="15" t="n">
        <v>2.3</v>
      </c>
      <c r="N71" s="15" t="n">
        <v>2.6</v>
      </c>
      <c r="O71" s="15" t="n">
        <v>1.8</v>
      </c>
      <c r="P71" s="15" t="n">
        <v>3.5</v>
      </c>
      <c r="Q71" s="15" t="n">
        <v>3.5</v>
      </c>
      <c r="R71" s="15" t="n">
        <v>2.7</v>
      </c>
      <c r="S71" s="15" t="n">
        <v>3.9</v>
      </c>
      <c r="T71" s="16">
        <f>(G71*3 + H71*3 + I71*2 + J71*3 + K71*3 + L71*3 + M71*3 + N71*2 + O71*3 + P71*3 + Q71*3 + R71*3 + S71*10) / 44</f>
        <v/>
      </c>
    </row>
    <row r="72">
      <c r="A72" s="12">
        <f>ROW()-2</f>
        <v/>
      </c>
      <c r="B72" s="13" t="inlineStr">
        <is>
          <t>LÊ CÔNG CƯƠNG</t>
        </is>
      </c>
      <c r="C72" s="13" t="n">
        <v>251230817</v>
      </c>
      <c r="D72" s="17" t="inlineStr">
        <is>
          <t>Công nghệ thông tin 2 K66</t>
        </is>
      </c>
      <c r="E72" s="17" t="inlineStr">
        <is>
          <t>cuong251230817@lms.utc.edu.vn</t>
        </is>
      </c>
      <c r="F72" s="14" t="inlineStr">
        <is>
          <t>0987650072</t>
        </is>
      </c>
      <c r="G72" s="15" t="n">
        <v>1.9</v>
      </c>
      <c r="H72" s="15" t="n">
        <v>3.3</v>
      </c>
      <c r="I72" s="15" t="n">
        <v>2.1</v>
      </c>
      <c r="J72" s="15" t="n">
        <v>3</v>
      </c>
      <c r="K72" s="15" t="n">
        <v>2.1</v>
      </c>
      <c r="L72" s="15" t="n">
        <v>2.1</v>
      </c>
      <c r="M72" s="15" t="n">
        <v>2.7</v>
      </c>
      <c r="N72" s="15" t="n">
        <v>3.2</v>
      </c>
      <c r="O72" s="15" t="n">
        <v>2.7</v>
      </c>
      <c r="P72" s="15" t="n">
        <v>2.3</v>
      </c>
      <c r="Q72" s="15" t="n">
        <v>3.3</v>
      </c>
      <c r="R72" s="15" t="n">
        <v>2.7</v>
      </c>
      <c r="S72" s="15" t="n">
        <v>2.8</v>
      </c>
      <c r="T72" s="16">
        <f>(G72*3 + H72*3 + I72*2 + J72*3 + K72*3 + L72*3 + M72*3 + N72*2 + O72*3 + P72*3 + Q72*3 + R72*3 + S72*10) / 44</f>
        <v/>
      </c>
    </row>
    <row r="73">
      <c r="A73" s="12">
        <f>ROW()-2</f>
        <v/>
      </c>
      <c r="B73" s="13" t="inlineStr">
        <is>
          <t>NGUYỄN ĐẠI CƯƠNG</t>
        </is>
      </c>
      <c r="C73" s="13" t="n">
        <v>251230819</v>
      </c>
      <c r="D73" s="17" t="inlineStr">
        <is>
          <t>Công nghệ thông tin 2 K66</t>
        </is>
      </c>
      <c r="E73" s="17" t="inlineStr">
        <is>
          <t>cuong251230819@lms.utc.edu.vn</t>
        </is>
      </c>
      <c r="F73" s="14" t="inlineStr">
        <is>
          <t>0987650073</t>
        </is>
      </c>
      <c r="G73" s="15" t="n">
        <v>3.2</v>
      </c>
      <c r="H73" s="15" t="n">
        <v>3.7</v>
      </c>
      <c r="I73" s="15" t="n">
        <v>3.2</v>
      </c>
      <c r="J73" s="15" t="n">
        <v>2.7</v>
      </c>
      <c r="K73" s="15" t="n">
        <v>3.8</v>
      </c>
      <c r="L73" s="15" t="n">
        <v>2.2</v>
      </c>
      <c r="M73" s="15" t="n">
        <v>1.8</v>
      </c>
      <c r="N73" s="15" t="n">
        <v>3</v>
      </c>
      <c r="O73" s="15" t="n">
        <v>2.1</v>
      </c>
      <c r="P73" s="15" t="n">
        <v>2.1</v>
      </c>
      <c r="Q73" s="15" t="n">
        <v>2.2</v>
      </c>
      <c r="R73" s="15" t="n">
        <v>3.4</v>
      </c>
      <c r="S73" s="15" t="n">
        <v>2.4</v>
      </c>
      <c r="T73" s="16">
        <f>(G73*3 + H73*3 + I73*2 + J73*3 + K73*3 + L73*3 + M73*3 + N73*2 + O73*3 + P73*3 + Q73*3 + R73*3 + S73*10) / 44</f>
        <v/>
      </c>
    </row>
    <row r="74">
      <c r="A74" s="12">
        <f>ROW()-2</f>
        <v/>
      </c>
      <c r="B74" s="13" t="inlineStr">
        <is>
          <t>NGUYỄN LÂN DŨNG</t>
        </is>
      </c>
      <c r="C74" s="13" t="n">
        <v>251210827</v>
      </c>
      <c r="D74" s="17" t="inlineStr">
        <is>
          <t>Công nghệ thông tin 2 K66</t>
        </is>
      </c>
      <c r="E74" s="17" t="inlineStr">
        <is>
          <t>dung251210827@lms.utc.edu.vn</t>
        </is>
      </c>
      <c r="F74" s="14" t="inlineStr">
        <is>
          <t>0987650074</t>
        </is>
      </c>
      <c r="G74" s="15" t="n">
        <v>1.9</v>
      </c>
      <c r="H74" s="15" t="n">
        <v>3.8</v>
      </c>
      <c r="I74" s="15" t="n">
        <v>2</v>
      </c>
      <c r="J74" s="15" t="n">
        <v>3.9</v>
      </c>
      <c r="K74" s="15" t="n">
        <v>2.2</v>
      </c>
      <c r="L74" s="15" t="n">
        <v>3.3</v>
      </c>
      <c r="M74" s="15" t="n">
        <v>3.3</v>
      </c>
      <c r="N74" s="15" t="n">
        <v>3</v>
      </c>
      <c r="O74" s="15" t="n">
        <v>3.3</v>
      </c>
      <c r="P74" s="15" t="n">
        <v>3.8</v>
      </c>
      <c r="Q74" s="15" t="n">
        <v>2.1</v>
      </c>
      <c r="R74" s="15" t="n">
        <v>3.4</v>
      </c>
      <c r="S74" s="15" t="n">
        <v>2.6</v>
      </c>
      <c r="T74" s="16">
        <f>(G74*3 + H74*3 + I74*2 + J74*3 + K74*3 + L74*3 + M74*3 + N74*2 + O74*3 + P74*3 + Q74*3 + R74*3 + S74*10) / 44</f>
        <v/>
      </c>
    </row>
    <row r="75">
      <c r="A75" s="12">
        <f>ROW()-2</f>
        <v/>
      </c>
      <c r="B75" s="13" t="inlineStr">
        <is>
          <t>TRẦN QUỐC DŨNG</t>
        </is>
      </c>
      <c r="C75" s="13" t="n">
        <v>251230828</v>
      </c>
      <c r="D75" s="17" t="inlineStr">
        <is>
          <t>Công nghệ thông tin 2 K66</t>
        </is>
      </c>
      <c r="E75" s="17" t="inlineStr">
        <is>
          <t>dung251230828@lms.utc.edu.vn</t>
        </is>
      </c>
      <c r="F75" s="14" t="inlineStr">
        <is>
          <t>0987650075</t>
        </is>
      </c>
      <c r="G75" s="15" t="n">
        <v>2.6</v>
      </c>
      <c r="H75" s="15" t="n">
        <v>4</v>
      </c>
      <c r="I75" s="15" t="n">
        <v>2.6</v>
      </c>
      <c r="J75" s="15" t="n">
        <v>0.8</v>
      </c>
      <c r="K75" s="15" t="n">
        <v>1.8</v>
      </c>
      <c r="L75" s="15" t="n">
        <v>2.3</v>
      </c>
      <c r="M75" s="15" t="n">
        <v>3.4</v>
      </c>
      <c r="N75" s="15" t="n">
        <v>2.3</v>
      </c>
      <c r="O75" s="15" t="n">
        <v>2.9</v>
      </c>
      <c r="P75" s="15" t="n">
        <v>3.8</v>
      </c>
      <c r="Q75" s="15" t="n">
        <v>3.4</v>
      </c>
      <c r="R75" s="15" t="n">
        <v>1.8</v>
      </c>
      <c r="S75" s="15" t="n">
        <v>1.9</v>
      </c>
      <c r="T75" s="16">
        <f>(G75*3 + H75*3 + I75*2 + J75*3 + K75*3 + L75*3 + M75*3 + N75*2 + O75*3 + P75*3 + Q75*3 + R75*3 + S75*10) / 44</f>
        <v/>
      </c>
    </row>
    <row r="76">
      <c r="A76" s="12">
        <f>ROW()-2</f>
        <v/>
      </c>
      <c r="B76" s="13" t="inlineStr">
        <is>
          <t>NGUYỄN BÁ DƯƠNG</t>
        </is>
      </c>
      <c r="C76" s="13" t="n">
        <v>251210831</v>
      </c>
      <c r="D76" s="17" t="inlineStr">
        <is>
          <t>Công nghệ thông tin 2 K66</t>
        </is>
      </c>
      <c r="E76" s="17" t="inlineStr">
        <is>
          <t>duong251210831@lms.utc.edu.vn</t>
        </is>
      </c>
      <c r="F76" s="14" t="inlineStr">
        <is>
          <t>0987650076</t>
        </is>
      </c>
      <c r="G76" s="15" t="n">
        <v>2.8</v>
      </c>
      <c r="H76" s="15" t="n">
        <v>2.3</v>
      </c>
      <c r="I76" s="15" t="n">
        <v>2.2</v>
      </c>
      <c r="J76" s="15" t="n">
        <v>3.7</v>
      </c>
      <c r="K76" s="15" t="n">
        <v>2.8</v>
      </c>
      <c r="L76" s="15" t="n">
        <v>3</v>
      </c>
      <c r="M76" s="15" t="n">
        <v>1.9</v>
      </c>
      <c r="N76" s="15" t="n">
        <v>3.3</v>
      </c>
      <c r="O76" s="15" t="n">
        <v>1.8</v>
      </c>
      <c r="P76" s="15" t="n">
        <v>3.5</v>
      </c>
      <c r="Q76" s="15" t="n">
        <v>3.2</v>
      </c>
      <c r="R76" s="15" t="n">
        <v>1.8</v>
      </c>
      <c r="S76" s="15" t="n">
        <v>2.5</v>
      </c>
      <c r="T76" s="16">
        <f>(G76*3 + H76*3 + I76*2 + J76*3 + K76*3 + L76*3 + M76*3 + N76*2 + O76*3 + P76*3 + Q76*3 + R76*3 + S76*10) / 44</f>
        <v/>
      </c>
    </row>
    <row r="77">
      <c r="A77" s="12">
        <f>ROW()-2</f>
        <v/>
      </c>
      <c r="B77" s="13" t="inlineStr">
        <is>
          <t>PHAN TÙNG DƯƠNG</t>
        </is>
      </c>
      <c r="C77" s="13" t="n">
        <v>251230835</v>
      </c>
      <c r="D77" s="17" t="inlineStr">
        <is>
          <t>Công nghệ thông tin 2 K66</t>
        </is>
      </c>
      <c r="E77" s="17" t="inlineStr">
        <is>
          <t>duong251230835@lms.utc.edu.vn</t>
        </is>
      </c>
      <c r="F77" s="14" t="inlineStr">
        <is>
          <t>0987650077</t>
        </is>
      </c>
      <c r="G77" s="15" t="n">
        <v>3.8</v>
      </c>
      <c r="H77" s="15" t="n">
        <v>1.8</v>
      </c>
      <c r="I77" s="15" t="n">
        <v>2.9</v>
      </c>
      <c r="J77" s="15" t="n">
        <v>3</v>
      </c>
      <c r="K77" s="15" t="n">
        <v>1.8</v>
      </c>
      <c r="L77" s="15" t="n">
        <v>2.4</v>
      </c>
      <c r="M77" s="15" t="n">
        <v>3.2</v>
      </c>
      <c r="N77" s="15" t="n">
        <v>3.1</v>
      </c>
      <c r="O77" s="15" t="n">
        <v>2.6</v>
      </c>
      <c r="P77" s="15" t="n">
        <v>3.5</v>
      </c>
      <c r="Q77" s="15" t="n">
        <v>1.8</v>
      </c>
      <c r="R77" s="15" t="n">
        <v>3</v>
      </c>
      <c r="S77" s="15" t="n">
        <v>3.9</v>
      </c>
      <c r="T77" s="16">
        <f>(G77*3 + H77*3 + I77*2 + J77*3 + K77*3 + L77*3 + M77*3 + N77*2 + O77*3 + P77*3 + Q77*3 + R77*3 + S77*10) / 44</f>
        <v/>
      </c>
    </row>
    <row r="78">
      <c r="A78" s="12">
        <f>ROW()-2</f>
        <v/>
      </c>
      <c r="B78" s="13" t="inlineStr">
        <is>
          <t>DOÃN CÔNG DUY</t>
        </is>
      </c>
      <c r="C78" s="13" t="n">
        <v>251230829</v>
      </c>
      <c r="D78" s="17" t="inlineStr">
        <is>
          <t>Công nghệ thông tin 2 K66</t>
        </is>
      </c>
      <c r="E78" s="17" t="inlineStr">
        <is>
          <t>duy251230829@lms.utc.edu.vn</t>
        </is>
      </c>
      <c r="F78" s="14" t="inlineStr">
        <is>
          <t>0987650078</t>
        </is>
      </c>
      <c r="G78" s="15" t="n">
        <v>3.6</v>
      </c>
      <c r="H78" s="15" t="n">
        <v>3.9</v>
      </c>
      <c r="I78" s="15" t="n">
        <v>3</v>
      </c>
      <c r="J78" s="15" t="n">
        <v>2.6</v>
      </c>
      <c r="K78" s="15" t="n">
        <v>3.9</v>
      </c>
      <c r="L78" s="15" t="n">
        <v>3.6</v>
      </c>
      <c r="M78" s="15" t="n">
        <v>4</v>
      </c>
      <c r="N78" s="15" t="n">
        <v>3.5</v>
      </c>
      <c r="O78" s="15" t="n">
        <v>3.2</v>
      </c>
      <c r="P78" s="15" t="n">
        <v>3.7</v>
      </c>
      <c r="Q78" s="15" t="n">
        <v>3.3</v>
      </c>
      <c r="R78" s="15" t="n">
        <v>3.6</v>
      </c>
      <c r="S78" s="15" t="n">
        <v>3</v>
      </c>
      <c r="T78" s="16">
        <f>(G78*3 + H78*3 + I78*2 + J78*3 + K78*3 + L78*3 + M78*3 + N78*2 + O78*3 + P78*3 + Q78*3 + R78*3 + S78*10) / 44</f>
        <v/>
      </c>
    </row>
    <row r="79">
      <c r="A79" s="12">
        <f>ROW()-2</f>
        <v/>
      </c>
      <c r="B79" s="13" t="inlineStr">
        <is>
          <t>NGUYỄN VĂN DUY</t>
        </is>
      </c>
      <c r="C79" s="13" t="n">
        <v>251230830</v>
      </c>
      <c r="D79" s="17" t="inlineStr">
        <is>
          <t>Công nghệ thông tin 2 K66</t>
        </is>
      </c>
      <c r="E79" s="17" t="inlineStr">
        <is>
          <t>duy251230830@lms.utc.edu.vn</t>
        </is>
      </c>
      <c r="F79" s="14" t="inlineStr">
        <is>
          <t>0987650079</t>
        </is>
      </c>
      <c r="G79" s="15" t="n">
        <v>4</v>
      </c>
      <c r="H79" s="15" t="n">
        <v>3.6</v>
      </c>
      <c r="I79" s="15" t="n">
        <v>3</v>
      </c>
      <c r="J79" s="15" t="n">
        <v>3.9</v>
      </c>
      <c r="K79" s="15" t="n">
        <v>3.9</v>
      </c>
      <c r="L79" s="15" t="n">
        <v>2.5</v>
      </c>
      <c r="M79" s="15" t="n">
        <v>1.9</v>
      </c>
      <c r="N79" s="15" t="n">
        <v>4</v>
      </c>
      <c r="O79" s="15" t="n">
        <v>3.7</v>
      </c>
      <c r="P79" s="15" t="n">
        <v>3.5</v>
      </c>
      <c r="Q79" s="15" t="n">
        <v>2.2</v>
      </c>
      <c r="R79" s="15" t="n">
        <v>3</v>
      </c>
      <c r="S79" s="15" t="n">
        <v>3.1</v>
      </c>
      <c r="T79" s="16">
        <f>(G79*3 + H79*3 + I79*2 + J79*3 + K79*3 + L79*3 + M79*3 + N79*2 + O79*3 + P79*3 + Q79*3 + R79*3 + S79*10) / 44</f>
        <v/>
      </c>
    </row>
    <row r="80">
      <c r="A80" s="12">
        <f>ROW()-2</f>
        <v/>
      </c>
      <c r="B80" s="13" t="inlineStr">
        <is>
          <t>HOÀNG THÀNH ĐẠT</t>
        </is>
      </c>
      <c r="C80" s="13" t="n">
        <v>251230837</v>
      </c>
      <c r="D80" s="17" t="inlineStr">
        <is>
          <t>Công nghệ thông tin 2 K66</t>
        </is>
      </c>
      <c r="E80" s="17" t="inlineStr">
        <is>
          <t>dat251230837@lms.utc.edu.vn</t>
        </is>
      </c>
      <c r="F80" s="14" t="inlineStr">
        <is>
          <t>0987650080</t>
        </is>
      </c>
      <c r="G80" s="15" t="n">
        <v>3.1</v>
      </c>
      <c r="H80" s="15" t="n">
        <v>2.8</v>
      </c>
      <c r="I80" s="15" t="n">
        <v>2.6</v>
      </c>
      <c r="J80" s="15" t="n">
        <v>1.7</v>
      </c>
      <c r="K80" s="15" t="n">
        <v>3.1</v>
      </c>
      <c r="L80" s="15" t="n">
        <v>3.2</v>
      </c>
      <c r="M80" s="15" t="n">
        <v>3.4</v>
      </c>
      <c r="N80" s="15" t="n">
        <v>2.2</v>
      </c>
      <c r="O80" s="15" t="n">
        <v>3.3</v>
      </c>
      <c r="P80" s="15" t="n">
        <v>2.1</v>
      </c>
      <c r="Q80" s="15" t="n">
        <v>2.2</v>
      </c>
      <c r="R80" s="15" t="n">
        <v>3.3</v>
      </c>
      <c r="S80" s="15" t="n">
        <v>3</v>
      </c>
      <c r="T80" s="16">
        <f>(G80*3 + H80*3 + I80*2 + J80*3 + K80*3 + L80*3 + M80*3 + N80*2 + O80*3 + P80*3 + Q80*3 + R80*3 + S80*10) / 44</f>
        <v/>
      </c>
    </row>
    <row r="81">
      <c r="A81" s="12">
        <f>ROW()-2</f>
        <v/>
      </c>
      <c r="B81" s="13" t="inlineStr">
        <is>
          <t>LÊ TRẦN TIẾN ĐẠT</t>
        </is>
      </c>
      <c r="C81" s="13" t="n">
        <v>251210838</v>
      </c>
      <c r="D81" s="17" t="inlineStr">
        <is>
          <t>Công nghệ thông tin 2 K66</t>
        </is>
      </c>
      <c r="E81" s="17" t="inlineStr">
        <is>
          <t>dat251210838@lms.utc.edu.vn</t>
        </is>
      </c>
      <c r="F81" s="14" t="inlineStr">
        <is>
          <t>0987650081</t>
        </is>
      </c>
      <c r="G81" s="15" t="n">
        <v>3.6</v>
      </c>
      <c r="H81" s="15" t="n">
        <v>2.3</v>
      </c>
      <c r="I81" s="15" t="n">
        <v>3.9</v>
      </c>
      <c r="J81" s="15" t="n">
        <v>2.3</v>
      </c>
      <c r="K81" s="15" t="n">
        <v>2.7</v>
      </c>
      <c r="L81" s="15" t="n">
        <v>2.5</v>
      </c>
      <c r="M81" s="15" t="n">
        <v>3.7</v>
      </c>
      <c r="N81" s="15" t="n">
        <v>2.4</v>
      </c>
      <c r="O81" s="15" t="n">
        <v>2.4</v>
      </c>
      <c r="P81" s="15" t="n">
        <v>2.9</v>
      </c>
      <c r="Q81" s="15" t="n">
        <v>2.5</v>
      </c>
      <c r="R81" s="15" t="n">
        <v>2</v>
      </c>
      <c r="S81" s="15" t="n">
        <v>3.5</v>
      </c>
      <c r="T81" s="16">
        <f>(G81*3 + H81*3 + I81*2 + J81*3 + K81*3 + L81*3 + M81*3 + N81*2 + O81*3 + P81*3 + Q81*3 + R81*3 + S81*10) / 44</f>
        <v/>
      </c>
    </row>
    <row r="82">
      <c r="A82" s="12">
        <f>ROW()-2</f>
        <v/>
      </c>
      <c r="B82" s="13" t="inlineStr">
        <is>
          <t>NGUYỄN TIẾN ĐẠT</t>
        </is>
      </c>
      <c r="C82" s="13" t="n">
        <v>251210839</v>
      </c>
      <c r="D82" s="17" t="inlineStr">
        <is>
          <t>Công nghệ thông tin 2 K66</t>
        </is>
      </c>
      <c r="E82" s="17" t="inlineStr">
        <is>
          <t>dat251210839@lms.utc.edu.vn</t>
        </is>
      </c>
      <c r="F82" s="14" t="inlineStr">
        <is>
          <t>0987650082</t>
        </is>
      </c>
      <c r="G82" s="15" t="n">
        <v>3.6</v>
      </c>
      <c r="H82" s="15" t="n">
        <v>1.8</v>
      </c>
      <c r="I82" s="15" t="n">
        <v>2.1</v>
      </c>
      <c r="J82" s="15" t="n">
        <v>2.7</v>
      </c>
      <c r="K82" s="15" t="n">
        <v>2.3</v>
      </c>
      <c r="L82" s="15" t="n">
        <v>2.8</v>
      </c>
      <c r="M82" s="15" t="n">
        <v>3.1</v>
      </c>
      <c r="N82" s="15" t="n">
        <v>2.9</v>
      </c>
      <c r="O82" s="15" t="n">
        <v>2.6</v>
      </c>
      <c r="P82" s="15" t="n">
        <v>4</v>
      </c>
      <c r="Q82" s="15" t="n">
        <v>3.7</v>
      </c>
      <c r="R82" s="15" t="n">
        <v>2.8</v>
      </c>
      <c r="S82" s="15" t="n">
        <v>2.3</v>
      </c>
      <c r="T82" s="16">
        <f>(G82*3 + H82*3 + I82*2 + J82*3 + K82*3 + L82*3 + M82*3 + N82*2 + O82*3 + P82*3 + Q82*3 + R82*3 + S82*10) / 44</f>
        <v/>
      </c>
    </row>
    <row r="83">
      <c r="A83" s="12">
        <f>ROW()-2</f>
        <v/>
      </c>
      <c r="B83" s="13" t="inlineStr">
        <is>
          <t>PHẠM TIẾN ĐẠT</t>
        </is>
      </c>
      <c r="C83" s="13" t="n">
        <v>251230840</v>
      </c>
      <c r="D83" s="17" t="inlineStr">
        <is>
          <t>Công nghệ thông tin 2 K66</t>
        </is>
      </c>
      <c r="E83" s="17" t="inlineStr">
        <is>
          <t>dat251230840@lms.utc.edu.vn</t>
        </is>
      </c>
      <c r="F83" s="14" t="inlineStr">
        <is>
          <t>0987650083</t>
        </is>
      </c>
      <c r="G83" s="15" t="n">
        <v>2.7</v>
      </c>
      <c r="H83" s="15" t="n">
        <v>2.8</v>
      </c>
      <c r="I83" s="15" t="n">
        <v>3.8</v>
      </c>
      <c r="J83" s="15" t="n">
        <v>3.2</v>
      </c>
      <c r="K83" s="15" t="n">
        <v>2.2</v>
      </c>
      <c r="L83" s="15" t="n">
        <v>4</v>
      </c>
      <c r="M83" s="15" t="n">
        <v>3.4</v>
      </c>
      <c r="N83" s="15" t="n">
        <v>2.4</v>
      </c>
      <c r="O83" s="15" t="n">
        <v>3</v>
      </c>
      <c r="P83" s="15" t="n">
        <v>3</v>
      </c>
      <c r="Q83" s="15" t="n">
        <v>3.3</v>
      </c>
      <c r="R83" s="15" t="n">
        <v>2.2</v>
      </c>
      <c r="S83" s="15" t="n">
        <v>4</v>
      </c>
      <c r="T83" s="16">
        <f>(G83*3 + H83*3 + I83*2 + J83*3 + K83*3 + L83*3 + M83*3 + N83*2 + O83*3 + P83*3 + Q83*3 + R83*3 + S83*10) / 44</f>
        <v/>
      </c>
    </row>
    <row r="84">
      <c r="A84" s="12">
        <f>ROW()-2</f>
        <v/>
      </c>
      <c r="B84" s="13" t="inlineStr">
        <is>
          <t>LƯƠNG ĐÌNH ĐOÀN</t>
        </is>
      </c>
      <c r="C84" s="13" t="n">
        <v>251210842</v>
      </c>
      <c r="D84" s="17" t="inlineStr">
        <is>
          <t>Công nghệ thông tin 2 K66</t>
        </is>
      </c>
      <c r="E84" s="17" t="inlineStr">
        <is>
          <t>doan251210842@lms.utc.edu.vn</t>
        </is>
      </c>
      <c r="F84" s="14" t="inlineStr">
        <is>
          <t>0987650084</t>
        </is>
      </c>
      <c r="G84" s="15" t="n">
        <v>3.2</v>
      </c>
      <c r="H84" s="15" t="n">
        <v>2.7</v>
      </c>
      <c r="I84" s="15" t="n">
        <v>2.8</v>
      </c>
      <c r="J84" s="15" t="n">
        <v>1</v>
      </c>
      <c r="K84" s="15" t="n">
        <v>3.3</v>
      </c>
      <c r="L84" s="15" t="n">
        <v>2.8</v>
      </c>
      <c r="M84" s="15" t="n">
        <v>2.1</v>
      </c>
      <c r="N84" s="15" t="n">
        <v>2.8</v>
      </c>
      <c r="O84" s="15" t="n">
        <v>3.7</v>
      </c>
      <c r="P84" s="15" t="n">
        <v>3.4</v>
      </c>
      <c r="Q84" s="15" t="n">
        <v>3.6</v>
      </c>
      <c r="R84" s="15" t="n">
        <v>2.5</v>
      </c>
      <c r="S84" s="15" t="n">
        <v>1.8</v>
      </c>
      <c r="T84" s="16">
        <f>(G84*3 + H84*3 + I84*2 + J84*3 + K84*3 + L84*3 + M84*3 + N84*2 + O84*3 + P84*3 + Q84*3 + R84*3 + S84*10) / 44</f>
        <v/>
      </c>
    </row>
    <row r="85">
      <c r="A85" s="12">
        <f>ROW()-2</f>
        <v/>
      </c>
      <c r="B85" s="13" t="inlineStr">
        <is>
          <t>DƯƠNG VIỆT ĐỨC</t>
        </is>
      </c>
      <c r="C85" s="13" t="n">
        <v>251230844</v>
      </c>
      <c r="D85" s="17" t="inlineStr">
        <is>
          <t>Công nghệ thông tin 2 K66</t>
        </is>
      </c>
      <c r="E85" s="17" t="inlineStr">
        <is>
          <t>duc251230844@lms.utc.edu.vn</t>
        </is>
      </c>
      <c r="F85" s="14" t="inlineStr">
        <is>
          <t>0987650085</t>
        </is>
      </c>
      <c r="G85" s="15" t="n">
        <v>2.1</v>
      </c>
      <c r="H85" s="15" t="n">
        <v>3.9</v>
      </c>
      <c r="I85" s="15" t="n">
        <v>1.8</v>
      </c>
      <c r="J85" s="15" t="n">
        <v>0.7</v>
      </c>
      <c r="K85" s="15" t="n">
        <v>3.4</v>
      </c>
      <c r="L85" s="15" t="n">
        <v>2.4</v>
      </c>
      <c r="M85" s="15" t="n">
        <v>3.6</v>
      </c>
      <c r="N85" s="15" t="n">
        <v>4</v>
      </c>
      <c r="O85" s="15" t="n">
        <v>1.8</v>
      </c>
      <c r="P85" s="15" t="n">
        <v>2.4</v>
      </c>
      <c r="Q85" s="15" t="n">
        <v>3.3</v>
      </c>
      <c r="R85" s="15" t="n">
        <v>2.2</v>
      </c>
      <c r="S85" s="15" t="n">
        <v>2.9</v>
      </c>
      <c r="T85" s="16">
        <f>(G85*3 + H85*3 + I85*2 + J85*3 + K85*3 + L85*3 + M85*3 + N85*2 + O85*3 + P85*3 + Q85*3 + R85*3 + S85*10) / 44</f>
        <v/>
      </c>
    </row>
    <row r="86">
      <c r="A86" s="12">
        <f>ROW()-2</f>
        <v/>
      </c>
      <c r="B86" s="13" t="inlineStr">
        <is>
          <t>MAI ANH ĐỨC</t>
        </is>
      </c>
      <c r="C86" s="13" t="n">
        <v>251210845</v>
      </c>
      <c r="D86" s="17" t="inlineStr">
        <is>
          <t>Công nghệ thông tin 2 K66</t>
        </is>
      </c>
      <c r="E86" s="17" t="inlineStr">
        <is>
          <t>duc251210845@lms.utc.edu.vn</t>
        </is>
      </c>
      <c r="F86" s="14" t="inlineStr">
        <is>
          <t>0987650086</t>
        </is>
      </c>
      <c r="G86" s="15" t="n">
        <v>3.8</v>
      </c>
      <c r="H86" s="15" t="n">
        <v>2.3</v>
      </c>
      <c r="I86" s="15" t="n">
        <v>3.8</v>
      </c>
      <c r="J86" s="15" t="n">
        <v>2.5</v>
      </c>
      <c r="K86" s="15" t="n">
        <v>1.9</v>
      </c>
      <c r="L86" s="15" t="n">
        <v>2.8</v>
      </c>
      <c r="M86" s="15" t="n">
        <v>2</v>
      </c>
      <c r="N86" s="15" t="n">
        <v>1.8</v>
      </c>
      <c r="O86" s="15" t="n">
        <v>2.3</v>
      </c>
      <c r="P86" s="15" t="n">
        <v>4</v>
      </c>
      <c r="Q86" s="15" t="n">
        <v>4</v>
      </c>
      <c r="R86" s="15" t="n">
        <v>1.8</v>
      </c>
      <c r="S86" s="15" t="n">
        <v>2.3</v>
      </c>
      <c r="T86" s="16">
        <f>(G86*3 + H86*3 + I86*2 + J86*3 + K86*3 + L86*3 + M86*3 + N86*2 + O86*3 + P86*3 + Q86*3 + R86*3 + S86*10) / 44</f>
        <v/>
      </c>
    </row>
    <row r="87">
      <c r="A87" s="12">
        <f>ROW()-2</f>
        <v/>
      </c>
      <c r="B87" s="13" t="inlineStr">
        <is>
          <t>ĐẶNG TRUNG HIẾU</t>
        </is>
      </c>
      <c r="C87" s="13" t="n">
        <v>251210860</v>
      </c>
      <c r="D87" s="17" t="inlineStr">
        <is>
          <t>Công nghệ thông tin 2 K66</t>
        </is>
      </c>
      <c r="E87" s="17" t="inlineStr">
        <is>
          <t>hieu251210860@lms.utc.edu.vn</t>
        </is>
      </c>
      <c r="F87" s="14" t="inlineStr">
        <is>
          <t>0987650087</t>
        </is>
      </c>
      <c r="G87" s="15" t="n">
        <v>3.9</v>
      </c>
      <c r="H87" s="15" t="n">
        <v>3.9</v>
      </c>
      <c r="I87" s="15" t="n">
        <v>2.8</v>
      </c>
      <c r="J87" s="15" t="n">
        <v>3.3</v>
      </c>
      <c r="K87" s="15" t="n">
        <v>2.9</v>
      </c>
      <c r="L87" s="15" t="n">
        <v>2</v>
      </c>
      <c r="M87" s="15" t="n">
        <v>2.5</v>
      </c>
      <c r="N87" s="15" t="n">
        <v>3.4</v>
      </c>
      <c r="O87" s="15" t="n">
        <v>2.3</v>
      </c>
      <c r="P87" s="15" t="n">
        <v>3.4</v>
      </c>
      <c r="Q87" s="15" t="n">
        <v>1.8</v>
      </c>
      <c r="R87" s="15" t="n">
        <v>4</v>
      </c>
      <c r="S87" s="15" t="n">
        <v>2.1</v>
      </c>
      <c r="T87" s="16">
        <f>(G87*3 + H87*3 + I87*2 + J87*3 + K87*3 + L87*3 + M87*3 + N87*2 + O87*3 + P87*3 + Q87*3 + R87*3 + S87*10) / 44</f>
        <v/>
      </c>
    </row>
    <row r="88">
      <c r="A88" s="12">
        <f>ROW()-2</f>
        <v/>
      </c>
      <c r="B88" s="13" t="inlineStr">
        <is>
          <t>ĐINH NGUYỄN MINH HIẾU</t>
        </is>
      </c>
      <c r="C88" s="13" t="n">
        <v>251230859</v>
      </c>
      <c r="D88" s="17" t="inlineStr">
        <is>
          <t>Công nghệ thông tin 2 K66</t>
        </is>
      </c>
      <c r="E88" s="17" t="inlineStr">
        <is>
          <t>hieu251230859@lms.utc.edu.vn</t>
        </is>
      </c>
      <c r="F88" s="14" t="inlineStr">
        <is>
          <t>0987650088</t>
        </is>
      </c>
      <c r="G88" s="15" t="n">
        <v>3.6</v>
      </c>
      <c r="H88" s="15" t="n">
        <v>3.5</v>
      </c>
      <c r="I88" s="15" t="n">
        <v>2</v>
      </c>
      <c r="J88" s="15" t="n">
        <v>2.6</v>
      </c>
      <c r="K88" s="15" t="n">
        <v>3.2</v>
      </c>
      <c r="L88" s="15" t="n">
        <v>4</v>
      </c>
      <c r="M88" s="15" t="n">
        <v>2.4</v>
      </c>
      <c r="N88" s="15" t="n">
        <v>3.7</v>
      </c>
      <c r="O88" s="15" t="n">
        <v>3.3</v>
      </c>
      <c r="P88" s="15" t="n">
        <v>4</v>
      </c>
      <c r="Q88" s="15" t="n">
        <v>3.5</v>
      </c>
      <c r="R88" s="15" t="n">
        <v>4</v>
      </c>
      <c r="S88" s="15" t="n">
        <v>3.6</v>
      </c>
      <c r="T88" s="16">
        <f>(G88*3 + H88*3 + I88*2 + J88*3 + K88*3 + L88*3 + M88*3 + N88*2 + O88*3 + P88*3 + Q88*3 + R88*3 + S88*10) / 44</f>
        <v/>
      </c>
    </row>
    <row r="89">
      <c r="A89" s="12">
        <f>ROW()-2</f>
        <v/>
      </c>
      <c r="B89" s="13" t="inlineStr">
        <is>
          <t>NGUYỄN MINH HIẾU</t>
        </is>
      </c>
      <c r="C89" s="13" t="n">
        <v>251210862</v>
      </c>
      <c r="D89" s="17" t="inlineStr">
        <is>
          <t>Công nghệ thông tin 2 K66</t>
        </is>
      </c>
      <c r="E89" s="17" t="inlineStr">
        <is>
          <t>hieu251210862@lms.utc.edu.vn</t>
        </is>
      </c>
      <c r="F89" s="14" t="inlineStr">
        <is>
          <t>0987650089</t>
        </is>
      </c>
      <c r="G89" s="15" t="n">
        <v>2.6</v>
      </c>
      <c r="H89" s="15" t="n">
        <v>3.9</v>
      </c>
      <c r="I89" s="15" t="n">
        <v>2.9</v>
      </c>
      <c r="J89" s="15" t="n">
        <v>1.9</v>
      </c>
      <c r="K89" s="15" t="n">
        <v>3.2</v>
      </c>
      <c r="L89" s="15" t="n">
        <v>3.4</v>
      </c>
      <c r="M89" s="15" t="n">
        <v>2</v>
      </c>
      <c r="N89" s="15" t="n">
        <v>1.9</v>
      </c>
      <c r="O89" s="15" t="n">
        <v>2</v>
      </c>
      <c r="P89" s="15" t="n">
        <v>2.8</v>
      </c>
      <c r="Q89" s="15" t="n">
        <v>2</v>
      </c>
      <c r="R89" s="15" t="n">
        <v>3.2</v>
      </c>
      <c r="S89" s="15" t="n">
        <v>3.5</v>
      </c>
      <c r="T89" s="16">
        <f>(G89*3 + H89*3 + I89*2 + J89*3 + K89*3 + L89*3 + M89*3 + N89*2 + O89*3 + P89*3 + Q89*3 + R89*3 + S89*10) / 44</f>
        <v/>
      </c>
    </row>
    <row r="90">
      <c r="A90" s="12">
        <f>ROW()-2</f>
        <v/>
      </c>
      <c r="B90" s="13" t="inlineStr">
        <is>
          <t>ĐÀO VIỆT HOÀNG</t>
        </is>
      </c>
      <c r="C90" s="13" t="n">
        <v>251230864</v>
      </c>
      <c r="D90" s="17" t="inlineStr">
        <is>
          <t>Công nghệ thông tin 2 K66</t>
        </is>
      </c>
      <c r="E90" s="17" t="inlineStr">
        <is>
          <t>hoang251230864@lms.utc.edu.vn</t>
        </is>
      </c>
      <c r="F90" s="14" t="inlineStr">
        <is>
          <t>0987650090</t>
        </is>
      </c>
      <c r="G90" s="15" t="n">
        <v>2.5</v>
      </c>
      <c r="H90" s="15" t="n">
        <v>3.9</v>
      </c>
      <c r="I90" s="15" t="n">
        <v>2.8</v>
      </c>
      <c r="J90" s="15" t="n">
        <v>2.4</v>
      </c>
      <c r="K90" s="15" t="n">
        <v>3.4</v>
      </c>
      <c r="L90" s="15" t="n">
        <v>3</v>
      </c>
      <c r="M90" s="15" t="n">
        <v>2</v>
      </c>
      <c r="N90" s="15" t="n">
        <v>3.8</v>
      </c>
      <c r="O90" s="15" t="n">
        <v>1.9</v>
      </c>
      <c r="P90" s="15" t="n">
        <v>3.7</v>
      </c>
      <c r="Q90" s="15" t="n">
        <v>3.3</v>
      </c>
      <c r="R90" s="15" t="n">
        <v>4</v>
      </c>
      <c r="S90" s="15" t="n">
        <v>2.3</v>
      </c>
      <c r="T90" s="16">
        <f>(G90*3 + H90*3 + I90*2 + J90*3 + K90*3 + L90*3 + M90*3 + N90*2 + O90*3 + P90*3 + Q90*3 + R90*3 + S90*10) / 44</f>
        <v/>
      </c>
    </row>
    <row r="91">
      <c r="A91" s="12">
        <f>ROW()-2</f>
        <v/>
      </c>
      <c r="B91" s="13" t="inlineStr">
        <is>
          <t>NGÔ XUÂN HUÂN</t>
        </is>
      </c>
      <c r="C91" s="13" t="n">
        <v>251230868</v>
      </c>
      <c r="D91" s="17" t="inlineStr">
        <is>
          <t>Công nghệ thông tin 2 K66</t>
        </is>
      </c>
      <c r="E91" s="17" t="inlineStr">
        <is>
          <t>huan251230868@lms.utc.edu.vn</t>
        </is>
      </c>
      <c r="F91" s="14" t="inlineStr">
        <is>
          <t>0987650091</t>
        </is>
      </c>
      <c r="G91" s="15" t="n">
        <v>2.6</v>
      </c>
      <c r="H91" s="15" t="n">
        <v>3.2</v>
      </c>
      <c r="I91" s="15" t="n">
        <v>3.5</v>
      </c>
      <c r="J91" s="15" t="n">
        <v>1.1</v>
      </c>
      <c r="K91" s="15" t="n">
        <v>3.7</v>
      </c>
      <c r="L91" s="15" t="n">
        <v>2.6</v>
      </c>
      <c r="M91" s="15" t="n">
        <v>3</v>
      </c>
      <c r="N91" s="15" t="n">
        <v>2.1</v>
      </c>
      <c r="O91" s="15" t="n">
        <v>2.2</v>
      </c>
      <c r="P91" s="15" t="n">
        <v>2.1</v>
      </c>
      <c r="Q91" s="15" t="n">
        <v>2.9</v>
      </c>
      <c r="R91" s="15" t="n">
        <v>4</v>
      </c>
      <c r="S91" s="15" t="n">
        <v>2.4</v>
      </c>
      <c r="T91" s="16">
        <f>(G91*3 + H91*3 + I91*2 + J91*3 + K91*3 + L91*3 + M91*3 + N91*2 + O91*3 + P91*3 + Q91*3 + R91*3 + S91*10) / 44</f>
        <v/>
      </c>
    </row>
    <row r="92">
      <c r="A92" s="12">
        <f>ROW()-2</f>
        <v/>
      </c>
      <c r="B92" s="13" t="inlineStr">
        <is>
          <t>TRẦN ĐỨC HUÂN</t>
        </is>
      </c>
      <c r="C92" s="13" t="n">
        <v>251230869</v>
      </c>
      <c r="D92" s="17" t="inlineStr">
        <is>
          <t>Công nghệ thông tin 2 K66</t>
        </is>
      </c>
      <c r="E92" s="17" t="inlineStr">
        <is>
          <t>huan251230869@lms.utc.edu.vn</t>
        </is>
      </c>
      <c r="F92" s="14" t="inlineStr">
        <is>
          <t>0987650092</t>
        </is>
      </c>
      <c r="G92" s="15" t="n">
        <v>3</v>
      </c>
      <c r="H92" s="15" t="n">
        <v>2.7</v>
      </c>
      <c r="I92" s="15" t="n">
        <v>3.4</v>
      </c>
      <c r="J92" s="15" t="n">
        <v>1.1</v>
      </c>
      <c r="K92" s="15" t="n">
        <v>2.5</v>
      </c>
      <c r="L92" s="15" t="n">
        <v>3.1</v>
      </c>
      <c r="M92" s="15" t="n">
        <v>3.5</v>
      </c>
      <c r="N92" s="15" t="n">
        <v>4</v>
      </c>
      <c r="O92" s="15" t="n">
        <v>3.9</v>
      </c>
      <c r="P92" s="15" t="n">
        <v>3.8</v>
      </c>
      <c r="Q92" s="15" t="n">
        <v>2.9</v>
      </c>
      <c r="R92" s="15" t="n">
        <v>2.1</v>
      </c>
      <c r="S92" s="15" t="n">
        <v>3.8</v>
      </c>
      <c r="T92" s="16">
        <f>(G92*3 + H92*3 + I92*2 + J92*3 + K92*3 + L92*3 + M92*3 + N92*2 + O92*3 + P92*3 + Q92*3 + R92*3 + S92*10) / 44</f>
        <v/>
      </c>
    </row>
    <row r="93">
      <c r="A93" s="12">
        <f>ROW()-2</f>
        <v/>
      </c>
      <c r="B93" s="13" t="inlineStr">
        <is>
          <t>HOÀNG TRỌNG HƯNG</t>
        </is>
      </c>
      <c r="C93" s="13" t="n">
        <v>251210875</v>
      </c>
      <c r="D93" s="17" t="inlineStr">
        <is>
          <t>Công nghệ thông tin 2 K66</t>
        </is>
      </c>
      <c r="E93" s="17" t="inlineStr">
        <is>
          <t>hung251210875@lms.utc.edu.vn</t>
        </is>
      </c>
      <c r="F93" s="14" t="inlineStr">
        <is>
          <t>0987650093</t>
        </is>
      </c>
      <c r="G93" s="15" t="n">
        <v>2.3</v>
      </c>
      <c r="H93" s="15" t="n">
        <v>2.7</v>
      </c>
      <c r="I93" s="15" t="n">
        <v>2.2</v>
      </c>
      <c r="J93" s="15" t="n">
        <v>3.8</v>
      </c>
      <c r="K93" s="15" t="n">
        <v>3.3</v>
      </c>
      <c r="L93" s="15" t="n">
        <v>2.8</v>
      </c>
      <c r="M93" s="15" t="n">
        <v>2.6</v>
      </c>
      <c r="N93" s="15" t="n">
        <v>3.8</v>
      </c>
      <c r="O93" s="15" t="n">
        <v>2.5</v>
      </c>
      <c r="P93" s="15" t="n">
        <v>3.7</v>
      </c>
      <c r="Q93" s="15" t="n">
        <v>3.1</v>
      </c>
      <c r="R93" s="15" t="n">
        <v>3.1</v>
      </c>
      <c r="S93" s="15" t="n">
        <v>2.6</v>
      </c>
      <c r="T93" s="16">
        <f>(G93*3 + H93*3 + I93*2 + J93*3 + K93*3 + L93*3 + M93*3 + N93*2 + O93*3 + P93*3 + Q93*3 + R93*3 + S93*10) / 44</f>
        <v/>
      </c>
    </row>
    <row r="94">
      <c r="A94" s="12">
        <f>ROW()-2</f>
        <v/>
      </c>
      <c r="B94" s="13" t="inlineStr">
        <is>
          <t>NGUYỄN DUY HƯNG</t>
        </is>
      </c>
      <c r="C94" s="13" t="n">
        <v>251230877</v>
      </c>
      <c r="D94" s="17" t="inlineStr">
        <is>
          <t>Công nghệ thông tin 2 K66</t>
        </is>
      </c>
      <c r="E94" s="17" t="inlineStr">
        <is>
          <t>hung251230877@lms.utc.edu.vn</t>
        </is>
      </c>
      <c r="F94" s="14" t="inlineStr">
        <is>
          <t>0987650094</t>
        </is>
      </c>
      <c r="G94" s="15" t="n">
        <v>3.7</v>
      </c>
      <c r="H94" s="15" t="n">
        <v>2</v>
      </c>
      <c r="I94" s="15" t="n">
        <v>4</v>
      </c>
      <c r="J94" s="15" t="n">
        <v>0.9</v>
      </c>
      <c r="K94" s="15" t="n">
        <v>4</v>
      </c>
      <c r="L94" s="15" t="n">
        <v>3.6</v>
      </c>
      <c r="M94" s="15" t="n">
        <v>3.4</v>
      </c>
      <c r="N94" s="15" t="n">
        <v>2.4</v>
      </c>
      <c r="O94" s="15" t="n">
        <v>3.2</v>
      </c>
      <c r="P94" s="15" t="n">
        <v>2.2</v>
      </c>
      <c r="Q94" s="15" t="n">
        <v>3.8</v>
      </c>
      <c r="R94" s="15" t="n">
        <v>3.8</v>
      </c>
      <c r="S94" s="15" t="n">
        <v>1.9</v>
      </c>
      <c r="T94" s="16">
        <f>(G94*3 + H94*3 + I94*2 + J94*3 + K94*3 + L94*3 + M94*3 + N94*2 + O94*3 + P94*3 + Q94*3 + R94*3 + S94*10) / 44</f>
        <v/>
      </c>
    </row>
    <row r="95">
      <c r="A95" s="12">
        <f>ROW()-2</f>
        <v/>
      </c>
      <c r="B95" s="13" t="inlineStr">
        <is>
          <t>HOÀNG KỲ KHANG</t>
        </is>
      </c>
      <c r="C95" s="13" t="n">
        <v>251230884</v>
      </c>
      <c r="D95" s="17" t="inlineStr">
        <is>
          <t>Công nghệ thông tin 2 K66</t>
        </is>
      </c>
      <c r="E95" s="17" t="inlineStr">
        <is>
          <t>khang251230884@lms.utc.edu.vn</t>
        </is>
      </c>
      <c r="F95" s="14" t="inlineStr">
        <is>
          <t>0987650095</t>
        </is>
      </c>
      <c r="G95" s="15" t="n">
        <v>4</v>
      </c>
      <c r="H95" s="15" t="n">
        <v>4</v>
      </c>
      <c r="I95" s="15" t="n">
        <v>2.1</v>
      </c>
      <c r="J95" s="15" t="n">
        <v>1.9</v>
      </c>
      <c r="K95" s="15" t="n">
        <v>3.7</v>
      </c>
      <c r="L95" s="15" t="n">
        <v>3.3</v>
      </c>
      <c r="M95" s="15" t="n">
        <v>1.8</v>
      </c>
      <c r="N95" s="15" t="n">
        <v>4</v>
      </c>
      <c r="O95" s="15" t="n">
        <v>3.3</v>
      </c>
      <c r="P95" s="15" t="n">
        <v>3</v>
      </c>
      <c r="Q95" s="15" t="n">
        <v>2.7</v>
      </c>
      <c r="R95" s="15" t="n">
        <v>3.3</v>
      </c>
      <c r="S95" s="15" t="n">
        <v>2.3</v>
      </c>
      <c r="T95" s="16">
        <f>(G95*3 + H95*3 + I95*2 + J95*3 + K95*3 + L95*3 + M95*3 + N95*2 + O95*3 + P95*3 + Q95*3 + R95*3 + S95*10) / 44</f>
        <v/>
      </c>
    </row>
    <row r="96">
      <c r="A96" s="12">
        <f>ROW()-2</f>
        <v/>
      </c>
      <c r="B96" s="13" t="inlineStr">
        <is>
          <t>LÊ HOÀNG GIA KHÁNH</t>
        </is>
      </c>
      <c r="C96" s="13" t="n">
        <v>251210885</v>
      </c>
      <c r="D96" s="17" t="inlineStr">
        <is>
          <t>Công nghệ thông tin 2 K66</t>
        </is>
      </c>
      <c r="E96" s="17" t="inlineStr">
        <is>
          <t>khanh251210885@lms.utc.edu.vn</t>
        </is>
      </c>
      <c r="F96" s="14" t="inlineStr">
        <is>
          <t>0987650096</t>
        </is>
      </c>
      <c r="G96" s="15" t="n">
        <v>3.7</v>
      </c>
      <c r="H96" s="15" t="n">
        <v>3.6</v>
      </c>
      <c r="I96" s="15" t="n">
        <v>3.4</v>
      </c>
      <c r="J96" s="15" t="n">
        <v>3.5</v>
      </c>
      <c r="K96" s="15" t="n">
        <v>3.1</v>
      </c>
      <c r="L96" s="15" t="n">
        <v>2.6</v>
      </c>
      <c r="M96" s="15" t="n">
        <v>2.3</v>
      </c>
      <c r="N96" s="15" t="n">
        <v>2.8</v>
      </c>
      <c r="O96" s="15" t="n">
        <v>2.2</v>
      </c>
      <c r="P96" s="15" t="n">
        <v>2.6</v>
      </c>
      <c r="Q96" s="15" t="n">
        <v>4</v>
      </c>
      <c r="R96" s="15" t="n">
        <v>3.6</v>
      </c>
      <c r="S96" s="15" t="n">
        <v>2</v>
      </c>
      <c r="T96" s="16">
        <f>(G96*3 + H96*3 + I96*2 + J96*3 + K96*3 + L96*3 + M96*3 + N96*2 + O96*3 + P96*3 + Q96*3 + R96*3 + S96*10) / 44</f>
        <v/>
      </c>
    </row>
    <row r="97">
      <c r="A97" s="12">
        <f>ROW()-2</f>
        <v/>
      </c>
      <c r="B97" s="13" t="inlineStr">
        <is>
          <t>NGUYỄN TRỌNG KHÁNH</t>
        </is>
      </c>
      <c r="C97" s="13" t="n">
        <v>251210888</v>
      </c>
      <c r="D97" s="17" t="inlineStr">
        <is>
          <t>Công nghệ thông tin 2 K66</t>
        </is>
      </c>
      <c r="E97" s="17" t="inlineStr">
        <is>
          <t>khanh251210888@lms.utc.edu.vn</t>
        </is>
      </c>
      <c r="F97" s="14" t="inlineStr">
        <is>
          <t>0987650097</t>
        </is>
      </c>
      <c r="G97" s="15" t="n">
        <v>2.6</v>
      </c>
      <c r="H97" s="15" t="n">
        <v>2.9</v>
      </c>
      <c r="I97" s="15" t="n">
        <v>2.7</v>
      </c>
      <c r="J97" s="15" t="n">
        <v>3.1</v>
      </c>
      <c r="K97" s="15" t="n">
        <v>3.3</v>
      </c>
      <c r="L97" s="15" t="n">
        <v>3.1</v>
      </c>
      <c r="M97" s="15" t="n">
        <v>3.9</v>
      </c>
      <c r="N97" s="15" t="n">
        <v>2</v>
      </c>
      <c r="O97" s="15" t="n">
        <v>3.6</v>
      </c>
      <c r="P97" s="15" t="n">
        <v>2.6</v>
      </c>
      <c r="Q97" s="15" t="n">
        <v>3.1</v>
      </c>
      <c r="R97" s="15" t="n">
        <v>1.8</v>
      </c>
      <c r="S97" s="15" t="n">
        <v>2.8</v>
      </c>
      <c r="T97" s="16">
        <f>(G97*3 + H97*3 + I97*2 + J97*3 + K97*3 + L97*3 + M97*3 + N97*2 + O97*3 + P97*3 + Q97*3 + R97*3 + S97*10) / 44</f>
        <v/>
      </c>
    </row>
    <row r="98">
      <c r="A98" s="12">
        <f>ROW()-2</f>
        <v/>
      </c>
      <c r="B98" s="13" t="inlineStr">
        <is>
          <t>NGUYỄN ANH KHOA</t>
        </is>
      </c>
      <c r="C98" s="13" t="n">
        <v>251230892</v>
      </c>
      <c r="D98" s="17" t="inlineStr">
        <is>
          <t>Công nghệ thông tin 2 K66</t>
        </is>
      </c>
      <c r="E98" s="17" t="inlineStr">
        <is>
          <t>khoa251230892@lms.utc.edu.vn</t>
        </is>
      </c>
      <c r="F98" s="14" t="inlineStr">
        <is>
          <t>0987650098</t>
        </is>
      </c>
      <c r="G98" s="15" t="n">
        <v>2.8</v>
      </c>
      <c r="H98" s="15" t="n">
        <v>2.6</v>
      </c>
      <c r="I98" s="15" t="n">
        <v>2.1</v>
      </c>
      <c r="J98" s="15" t="n">
        <v>2.2</v>
      </c>
      <c r="K98" s="15" t="n">
        <v>3</v>
      </c>
      <c r="L98" s="15" t="n">
        <v>2.4</v>
      </c>
      <c r="M98" s="15" t="n">
        <v>2.3</v>
      </c>
      <c r="N98" s="15" t="n">
        <v>3</v>
      </c>
      <c r="O98" s="15" t="n">
        <v>3.9</v>
      </c>
      <c r="P98" s="15" t="n">
        <v>2.9</v>
      </c>
      <c r="Q98" s="15" t="n">
        <v>3</v>
      </c>
      <c r="R98" s="15" t="n">
        <v>3.7</v>
      </c>
      <c r="S98" s="15" t="n">
        <v>3.1</v>
      </c>
      <c r="T98" s="16">
        <f>(G98*3 + H98*3 + I98*2 + J98*3 + K98*3 + L98*3 + M98*3 + N98*2 + O98*3 + P98*3 + Q98*3 + R98*3 + S98*10) / 44</f>
        <v/>
      </c>
    </row>
    <row r="99">
      <c r="A99" s="12">
        <f>ROW()-2</f>
        <v/>
      </c>
      <c r="B99" s="13" t="inlineStr">
        <is>
          <t>HÀ VĂN KIÊN</t>
        </is>
      </c>
      <c r="C99" s="13" t="n">
        <v>251230895</v>
      </c>
      <c r="D99" s="17" t="inlineStr">
        <is>
          <t>Công nghệ thông tin 2 K66</t>
        </is>
      </c>
      <c r="E99" s="17" t="inlineStr">
        <is>
          <t>kien251230895@lms.utc.edu.vn</t>
        </is>
      </c>
      <c r="F99" s="14" t="inlineStr">
        <is>
          <t>0987650099</t>
        </is>
      </c>
      <c r="G99" s="15" t="n">
        <v>3.1</v>
      </c>
      <c r="H99" s="15" t="n">
        <v>2.1</v>
      </c>
      <c r="I99" s="15" t="n">
        <v>2.5</v>
      </c>
      <c r="J99" s="15" t="n">
        <v>1.6</v>
      </c>
      <c r="K99" s="15" t="n">
        <v>2.6</v>
      </c>
      <c r="L99" s="15" t="n">
        <v>2.5</v>
      </c>
      <c r="M99" s="15" t="n">
        <v>3</v>
      </c>
      <c r="N99" s="15" t="n">
        <v>3.5</v>
      </c>
      <c r="O99" s="15" t="n">
        <v>2.3</v>
      </c>
      <c r="P99" s="15" t="n">
        <v>3.3</v>
      </c>
      <c r="Q99" s="15" t="n">
        <v>2.8</v>
      </c>
      <c r="R99" s="15" t="n">
        <v>3.3</v>
      </c>
      <c r="S99" s="15" t="n">
        <v>2.2</v>
      </c>
      <c r="T99" s="16">
        <f>(G99*3 + H99*3 + I99*2 + J99*3 + K99*3 + L99*3 + M99*3 + N99*2 + O99*3 + P99*3 + Q99*3 + R99*3 + S99*10) / 44</f>
        <v/>
      </c>
    </row>
    <row r="100">
      <c r="A100" s="12">
        <f>ROW()-2</f>
        <v/>
      </c>
      <c r="B100" s="13" t="inlineStr">
        <is>
          <t>NGUYỄN TRUNG KIÊN</t>
        </is>
      </c>
      <c r="C100" s="13" t="n">
        <v>251230896</v>
      </c>
      <c r="D100" s="17" t="inlineStr">
        <is>
          <t>Công nghệ thông tin 2 K66</t>
        </is>
      </c>
      <c r="E100" s="17" t="inlineStr">
        <is>
          <t>kien251230896@lms.utc.edu.vn</t>
        </is>
      </c>
      <c r="F100" s="14" t="inlineStr">
        <is>
          <t>0987650100</t>
        </is>
      </c>
      <c r="G100" s="15" t="n">
        <v>2.2</v>
      </c>
      <c r="H100" s="15" t="n">
        <v>1.9</v>
      </c>
      <c r="I100" s="15" t="n">
        <v>2.8</v>
      </c>
      <c r="J100" s="15" t="n">
        <v>3.9</v>
      </c>
      <c r="K100" s="15" t="n">
        <v>3.7</v>
      </c>
      <c r="L100" s="15" t="n">
        <v>2.6</v>
      </c>
      <c r="M100" s="15" t="n">
        <v>1.8</v>
      </c>
      <c r="N100" s="15" t="n">
        <v>2.5</v>
      </c>
      <c r="O100" s="15" t="n">
        <v>4</v>
      </c>
      <c r="P100" s="15" t="n">
        <v>3.4</v>
      </c>
      <c r="Q100" s="15" t="n">
        <v>3.2</v>
      </c>
      <c r="R100" s="15" t="n">
        <v>2.5</v>
      </c>
      <c r="S100" s="15" t="n">
        <v>3.6</v>
      </c>
      <c r="T100" s="16">
        <f>(G100*3 + H100*3 + I100*2 + J100*3 + K100*3 + L100*3 + M100*3 + N100*2 + O100*3 + P100*3 + Q100*3 + R100*3 + S100*10) / 44</f>
        <v/>
      </c>
    </row>
    <row r="101">
      <c r="A101" s="12">
        <f>ROW()-2</f>
        <v/>
      </c>
      <c r="B101" s="13" t="inlineStr">
        <is>
          <t>CHU HẢI LÂM</t>
        </is>
      </c>
      <c r="C101" s="13" t="n">
        <v>251210897</v>
      </c>
      <c r="D101" s="17" t="inlineStr">
        <is>
          <t>Công nghệ thông tin 2 K66</t>
        </is>
      </c>
      <c r="E101" s="17" t="inlineStr">
        <is>
          <t>lam251210897@lms.utc.edu.vn</t>
        </is>
      </c>
      <c r="F101" s="14" t="inlineStr">
        <is>
          <t>0987650101</t>
        </is>
      </c>
      <c r="G101" s="15" t="n">
        <v>3.3</v>
      </c>
      <c r="H101" s="15" t="n">
        <v>2.7</v>
      </c>
      <c r="I101" s="15" t="n">
        <v>2</v>
      </c>
      <c r="J101" s="15" t="n">
        <v>2.1</v>
      </c>
      <c r="K101" s="15" t="n">
        <v>3</v>
      </c>
      <c r="L101" s="15" t="n">
        <v>1.9</v>
      </c>
      <c r="M101" s="15" t="n">
        <v>3.1</v>
      </c>
      <c r="N101" s="15" t="n">
        <v>2.8</v>
      </c>
      <c r="O101" s="15" t="n">
        <v>3.6</v>
      </c>
      <c r="P101" s="15" t="n">
        <v>2.1</v>
      </c>
      <c r="Q101" s="15" t="n">
        <v>3.6</v>
      </c>
      <c r="R101" s="15" t="n">
        <v>2.2</v>
      </c>
      <c r="S101" s="15" t="n">
        <v>2.7</v>
      </c>
      <c r="T101" s="16">
        <f>(G101*3 + H101*3 + I101*2 + J101*3 + K101*3 + L101*3 + M101*3 + N101*2 + O101*3 + P101*3 + Q101*3 + R101*3 + S101*10) / 44</f>
        <v/>
      </c>
    </row>
    <row r="102">
      <c r="A102" s="12">
        <f>ROW()-2</f>
        <v/>
      </c>
      <c r="B102" s="13" t="inlineStr">
        <is>
          <t>NGUYỄN THỊ NGỌC LỆ</t>
        </is>
      </c>
      <c r="C102" s="13" t="n">
        <v>251230902</v>
      </c>
      <c r="D102" s="17" t="inlineStr">
        <is>
          <t>Công nghệ thông tin 2 K66</t>
        </is>
      </c>
      <c r="E102" s="17" t="inlineStr">
        <is>
          <t>le251230902@lms.utc.edu.vn</t>
        </is>
      </c>
      <c r="F102" s="14" t="inlineStr">
        <is>
          <t>0987650102</t>
        </is>
      </c>
      <c r="G102" s="15" t="n">
        <v>3.2</v>
      </c>
      <c r="H102" s="15" t="n">
        <v>3.2</v>
      </c>
      <c r="I102" s="15" t="n">
        <v>2</v>
      </c>
      <c r="J102" s="15" t="n">
        <v>0.9</v>
      </c>
      <c r="K102" s="15" t="n">
        <v>3.6</v>
      </c>
      <c r="L102" s="15" t="n">
        <v>4</v>
      </c>
      <c r="M102" s="15" t="n">
        <v>3.6</v>
      </c>
      <c r="N102" s="15" t="n">
        <v>2.4</v>
      </c>
      <c r="O102" s="15" t="n">
        <v>2</v>
      </c>
      <c r="P102" s="15" t="n">
        <v>2.1</v>
      </c>
      <c r="Q102" s="15" t="n">
        <v>2</v>
      </c>
      <c r="R102" s="15" t="n">
        <v>1.9</v>
      </c>
      <c r="S102" s="15" t="n">
        <v>2.2</v>
      </c>
      <c r="T102" s="16">
        <f>(G102*3 + H102*3 + I102*2 + J102*3 + K102*3 + L102*3 + M102*3 + N102*2 + O102*3 + P102*3 + Q102*3 + R102*3 + S102*10) / 44</f>
        <v/>
      </c>
    </row>
    <row r="103">
      <c r="A103" s="12">
        <f>ROW()-2</f>
        <v/>
      </c>
      <c r="B103" s="13" t="inlineStr">
        <is>
          <t>ĐỖ PHẠM HẢI LONG</t>
        </is>
      </c>
      <c r="C103" s="13" t="n">
        <v>251230906</v>
      </c>
      <c r="D103" s="17" t="inlineStr">
        <is>
          <t>Công nghệ thông tin 2 K66</t>
        </is>
      </c>
      <c r="E103" s="17" t="inlineStr">
        <is>
          <t>long251230906@lms.utc.edu.vn</t>
        </is>
      </c>
      <c r="F103" s="14" t="inlineStr">
        <is>
          <t>0987650103</t>
        </is>
      </c>
      <c r="G103" s="15" t="n">
        <v>1.9</v>
      </c>
      <c r="H103" s="15" t="n">
        <v>2.1</v>
      </c>
      <c r="I103" s="15" t="n">
        <v>3.2</v>
      </c>
      <c r="J103" s="15" t="n">
        <v>2.4</v>
      </c>
      <c r="K103" s="15" t="n">
        <v>3.8</v>
      </c>
      <c r="L103" s="15" t="n">
        <v>2</v>
      </c>
      <c r="M103" s="15" t="n">
        <v>3.6</v>
      </c>
      <c r="N103" s="15" t="n">
        <v>3.1</v>
      </c>
      <c r="O103" s="15" t="n">
        <v>2.3</v>
      </c>
      <c r="P103" s="15" t="n">
        <v>2.2</v>
      </c>
      <c r="Q103" s="15" t="n">
        <v>3.6</v>
      </c>
      <c r="R103" s="15" t="n">
        <v>2.3</v>
      </c>
      <c r="S103" s="15" t="n">
        <v>4</v>
      </c>
      <c r="T103" s="16">
        <f>(G103*3 + H103*3 + I103*2 + J103*3 + K103*3 + L103*3 + M103*3 + N103*2 + O103*3 + P103*3 + Q103*3 + R103*3 + S103*10) / 44</f>
        <v/>
      </c>
    </row>
    <row r="104">
      <c r="A104" s="12">
        <f>ROW()-2</f>
        <v/>
      </c>
      <c r="B104" s="13" t="inlineStr">
        <is>
          <t>NGUYỄN THÀNH LONG</t>
        </is>
      </c>
      <c r="C104" s="13" t="n">
        <v>251210908</v>
      </c>
      <c r="D104" s="17" t="inlineStr">
        <is>
          <t>Công nghệ thông tin 2 K66</t>
        </is>
      </c>
      <c r="E104" s="17" t="inlineStr">
        <is>
          <t>long251210908@lms.utc.edu.vn</t>
        </is>
      </c>
      <c r="F104" s="14" t="inlineStr">
        <is>
          <t>0987650104</t>
        </is>
      </c>
      <c r="G104" s="15" t="n">
        <v>2.3</v>
      </c>
      <c r="H104" s="15" t="n">
        <v>1.8</v>
      </c>
      <c r="I104" s="15" t="n">
        <v>1.9</v>
      </c>
      <c r="J104" s="15" t="n">
        <v>0.8</v>
      </c>
      <c r="K104" s="15" t="n">
        <v>3.2</v>
      </c>
      <c r="L104" s="15" t="n">
        <v>2.7</v>
      </c>
      <c r="M104" s="15" t="n">
        <v>2.6</v>
      </c>
      <c r="N104" s="15" t="n">
        <v>2.4</v>
      </c>
      <c r="O104" s="15" t="n">
        <v>2.2</v>
      </c>
      <c r="P104" s="15" t="n">
        <v>2.9</v>
      </c>
      <c r="Q104" s="15" t="n">
        <v>3.8</v>
      </c>
      <c r="R104" s="15" t="n">
        <v>2.3</v>
      </c>
      <c r="S104" s="15" t="n">
        <v>2.4</v>
      </c>
      <c r="T104" s="16">
        <f>(G104*3 + H104*3 + I104*2 + J104*3 + K104*3 + L104*3 + M104*3 + N104*2 + O104*3 + P104*3 + Q104*3 + R104*3 + S104*10) / 44</f>
        <v/>
      </c>
    </row>
    <row r="105">
      <c r="A105" s="12">
        <f>ROW()-2</f>
        <v/>
      </c>
      <c r="B105" s="13" t="inlineStr">
        <is>
          <t>NGUYỄN VĂN MẠNH</t>
        </is>
      </c>
      <c r="C105" s="13" t="n">
        <v>251210916</v>
      </c>
      <c r="D105" s="17" t="inlineStr">
        <is>
          <t>Công nghệ thông tin 2 K66</t>
        </is>
      </c>
      <c r="E105" s="17" t="inlineStr">
        <is>
          <t>manh251210916@lms.utc.edu.vn</t>
        </is>
      </c>
      <c r="F105" s="14" t="inlineStr">
        <is>
          <t>0987650105</t>
        </is>
      </c>
      <c r="G105" s="15" t="n">
        <v>3.7</v>
      </c>
      <c r="H105" s="15" t="n">
        <v>3.6</v>
      </c>
      <c r="I105" s="15" t="n">
        <v>3.7</v>
      </c>
      <c r="J105" s="15" t="n">
        <v>2.4</v>
      </c>
      <c r="K105" s="15" t="n">
        <v>4</v>
      </c>
      <c r="L105" s="15" t="n">
        <v>3.1</v>
      </c>
      <c r="M105" s="15" t="n">
        <v>2</v>
      </c>
      <c r="N105" s="15" t="n">
        <v>3.8</v>
      </c>
      <c r="O105" s="15" t="n">
        <v>2.4</v>
      </c>
      <c r="P105" s="15" t="n">
        <v>2.3</v>
      </c>
      <c r="Q105" s="15" t="n">
        <v>3.1</v>
      </c>
      <c r="R105" s="15" t="n">
        <v>3.8</v>
      </c>
      <c r="S105" s="15" t="n">
        <v>2.1</v>
      </c>
      <c r="T105" s="16">
        <f>(G105*3 + H105*3 + I105*2 + J105*3 + K105*3 + L105*3 + M105*3 + N105*2 + O105*3 + P105*3 + Q105*3 + R105*3 + S105*10) / 44</f>
        <v/>
      </c>
    </row>
    <row r="106">
      <c r="A106" s="12">
        <f>ROW()-2</f>
        <v/>
      </c>
      <c r="B106" s="13" t="inlineStr">
        <is>
          <t>VŨ ĐỨC MẠNH</t>
        </is>
      </c>
      <c r="C106" s="13" t="n">
        <v>251210919</v>
      </c>
      <c r="D106" s="17" t="inlineStr">
        <is>
          <t>Công nghệ thông tin 2 K66</t>
        </is>
      </c>
      <c r="E106" s="17" t="inlineStr">
        <is>
          <t>manh251210919@lms.utc.edu.vn</t>
        </is>
      </c>
      <c r="F106" s="14" t="inlineStr">
        <is>
          <t>0987650106</t>
        </is>
      </c>
      <c r="G106" s="15" t="n">
        <v>2.1</v>
      </c>
      <c r="H106" s="15" t="n">
        <v>3.8</v>
      </c>
      <c r="I106" s="15" t="n">
        <v>2.8</v>
      </c>
      <c r="J106" s="15" t="n">
        <v>2.8</v>
      </c>
      <c r="K106" s="15" t="n">
        <v>3.1</v>
      </c>
      <c r="L106" s="15" t="n">
        <v>3.7</v>
      </c>
      <c r="M106" s="15" t="n">
        <v>2.4</v>
      </c>
      <c r="N106" s="15" t="n">
        <v>4</v>
      </c>
      <c r="O106" s="15" t="n">
        <v>2.1</v>
      </c>
      <c r="P106" s="15" t="n">
        <v>2.3</v>
      </c>
      <c r="Q106" s="15" t="n">
        <v>2.9</v>
      </c>
      <c r="R106" s="15" t="n">
        <v>2.6</v>
      </c>
      <c r="S106" s="15" t="n">
        <v>3.7</v>
      </c>
      <c r="T106" s="16">
        <f>(G106*3 + H106*3 + I106*2 + J106*3 + K106*3 + L106*3 + M106*3 + N106*2 + O106*3 + P106*3 + Q106*3 + R106*3 + S106*10) / 44</f>
        <v/>
      </c>
    </row>
    <row r="107">
      <c r="A107" s="12">
        <f>ROW()-2</f>
        <v/>
      </c>
      <c r="B107" s="13" t="inlineStr">
        <is>
          <t>TRƯƠNG THỊ LY NA</t>
        </is>
      </c>
      <c r="C107" s="13" t="n">
        <v>251230926</v>
      </c>
      <c r="D107" s="17" t="inlineStr">
        <is>
          <t>Công nghệ thông tin 2 K66</t>
        </is>
      </c>
      <c r="E107" s="17" t="inlineStr">
        <is>
          <t>na251230926@lms.utc.edu.vn</t>
        </is>
      </c>
      <c r="F107" s="14" t="inlineStr">
        <is>
          <t>0987650107</t>
        </is>
      </c>
      <c r="G107" s="15" t="n">
        <v>2.6</v>
      </c>
      <c r="H107" s="15" t="n">
        <v>1.8</v>
      </c>
      <c r="I107" s="15" t="n">
        <v>2.7</v>
      </c>
      <c r="J107" s="15" t="n">
        <v>3.5</v>
      </c>
      <c r="K107" s="15" t="n">
        <v>1.9</v>
      </c>
      <c r="L107" s="15" t="n">
        <v>3.6</v>
      </c>
      <c r="M107" s="15" t="n">
        <v>3.5</v>
      </c>
      <c r="N107" s="15" t="n">
        <v>1.9</v>
      </c>
      <c r="O107" s="15" t="n">
        <v>2.1</v>
      </c>
      <c r="P107" s="15" t="n">
        <v>1.8</v>
      </c>
      <c r="Q107" s="15" t="n">
        <v>2.5</v>
      </c>
      <c r="R107" s="15" t="n">
        <v>3.1</v>
      </c>
      <c r="S107" s="15" t="n">
        <v>2.3</v>
      </c>
      <c r="T107" s="16">
        <f>(G107*3 + H107*3 + I107*2 + J107*3 + K107*3 + L107*3 + M107*3 + N107*2 + O107*3 + P107*3 + Q107*3 + R107*3 + S107*10) / 44</f>
        <v/>
      </c>
    </row>
    <row r="108">
      <c r="A108" s="12">
        <f>ROW()-2</f>
        <v/>
      </c>
      <c r="B108" s="13" t="inlineStr">
        <is>
          <t>NGUYỄN ĐỨC NAM</t>
        </is>
      </c>
      <c r="C108" s="13" t="n">
        <v>251230928</v>
      </c>
      <c r="D108" s="17" t="inlineStr">
        <is>
          <t>Công nghệ thông tin 2 K66</t>
        </is>
      </c>
      <c r="E108" s="17" t="inlineStr">
        <is>
          <t>nam251230928@lms.utc.edu.vn</t>
        </is>
      </c>
      <c r="F108" s="14" t="inlineStr">
        <is>
          <t>0987650108</t>
        </is>
      </c>
      <c r="G108" s="15" t="n">
        <v>2.4</v>
      </c>
      <c r="H108" s="15" t="n">
        <v>3.8</v>
      </c>
      <c r="I108" s="15" t="n">
        <v>3.2</v>
      </c>
      <c r="J108" s="15" t="n">
        <v>3.2</v>
      </c>
      <c r="K108" s="15" t="n">
        <v>3.1</v>
      </c>
      <c r="L108" s="15" t="n">
        <v>3.7</v>
      </c>
      <c r="M108" s="15" t="n">
        <v>3.3</v>
      </c>
      <c r="N108" s="15" t="n">
        <v>3.6</v>
      </c>
      <c r="O108" s="15" t="n">
        <v>3.8</v>
      </c>
      <c r="P108" s="15" t="n">
        <v>2.8</v>
      </c>
      <c r="Q108" s="15" t="n">
        <v>2.9</v>
      </c>
      <c r="R108" s="15" t="n">
        <v>2.3</v>
      </c>
      <c r="S108" s="15" t="n">
        <v>2.5</v>
      </c>
      <c r="T108" s="16">
        <f>(G108*3 + H108*3 + I108*2 + J108*3 + K108*3 + L108*3 + M108*3 + N108*2 + O108*3 + P108*3 + Q108*3 + R108*3 + S108*10) / 44</f>
        <v/>
      </c>
    </row>
    <row r="109">
      <c r="A109" s="12">
        <f>ROW()-2</f>
        <v/>
      </c>
      <c r="B109" s="13" t="inlineStr">
        <is>
          <t>NGUYỄN PHƯƠNG NAM</t>
        </is>
      </c>
      <c r="C109" s="13" t="n">
        <v>251230930</v>
      </c>
      <c r="D109" s="17" t="inlineStr">
        <is>
          <t>Công nghệ thông tin 2 K66</t>
        </is>
      </c>
      <c r="E109" s="17" t="inlineStr">
        <is>
          <t>nam251230930@lms.utc.edu.vn</t>
        </is>
      </c>
      <c r="F109" s="14" t="inlineStr">
        <is>
          <t>0987650109</t>
        </is>
      </c>
      <c r="G109" s="15" t="n">
        <v>4</v>
      </c>
      <c r="H109" s="15" t="n">
        <v>3.4</v>
      </c>
      <c r="I109" s="15" t="n">
        <v>2.5</v>
      </c>
      <c r="J109" s="15" t="n">
        <v>3.1</v>
      </c>
      <c r="K109" s="15" t="n">
        <v>3.8</v>
      </c>
      <c r="L109" s="15" t="n">
        <v>2.2</v>
      </c>
      <c r="M109" s="15" t="n">
        <v>2.4</v>
      </c>
      <c r="N109" s="15" t="n">
        <v>2.7</v>
      </c>
      <c r="O109" s="15" t="n">
        <v>2.1</v>
      </c>
      <c r="P109" s="15" t="n">
        <v>2</v>
      </c>
      <c r="Q109" s="15" t="n">
        <v>3.4</v>
      </c>
      <c r="R109" s="15" t="n">
        <v>4</v>
      </c>
      <c r="S109" s="15" t="n">
        <v>2.9</v>
      </c>
      <c r="T109" s="16">
        <f>(G109*3 + H109*3 + I109*2 + J109*3 + K109*3 + L109*3 + M109*3 + N109*2 + O109*3 + P109*3 + Q109*3 + R109*3 + S109*10) / 44</f>
        <v/>
      </c>
    </row>
    <row r="110">
      <c r="A110" s="12">
        <f>ROW()-2</f>
        <v/>
      </c>
      <c r="B110" s="13" t="inlineStr">
        <is>
          <t>TRẦN ĐÌNH NAM</t>
        </is>
      </c>
      <c r="C110" s="13" t="n">
        <v>251230931</v>
      </c>
      <c r="D110" s="17" t="inlineStr">
        <is>
          <t>Công nghệ thông tin 2 K66</t>
        </is>
      </c>
      <c r="E110" s="17" t="inlineStr">
        <is>
          <t>nam251230931@lms.utc.edu.vn</t>
        </is>
      </c>
      <c r="F110" s="14" t="inlineStr">
        <is>
          <t>0987650110</t>
        </is>
      </c>
      <c r="G110" s="15" t="n">
        <v>3.2</v>
      </c>
      <c r="H110" s="15" t="n">
        <v>3.4</v>
      </c>
      <c r="I110" s="15" t="n">
        <v>2.1</v>
      </c>
      <c r="J110" s="15" t="n">
        <v>1.8</v>
      </c>
      <c r="K110" s="15" t="n">
        <v>3</v>
      </c>
      <c r="L110" s="15" t="n">
        <v>2.6</v>
      </c>
      <c r="M110" s="15" t="n">
        <v>2.7</v>
      </c>
      <c r="N110" s="15" t="n">
        <v>1.9</v>
      </c>
      <c r="O110" s="15" t="n">
        <v>1.9</v>
      </c>
      <c r="P110" s="15" t="n">
        <v>2.4</v>
      </c>
      <c r="Q110" s="15" t="n">
        <v>3.1</v>
      </c>
      <c r="R110" s="15" t="n">
        <v>3.1</v>
      </c>
      <c r="S110" s="15" t="n">
        <v>4</v>
      </c>
      <c r="T110" s="16">
        <f>(G110*3 + H110*3 + I110*2 + J110*3 + K110*3 + L110*3 + M110*3 + N110*2 + O110*3 + P110*3 + Q110*3 + R110*3 + S110*10) / 44</f>
        <v/>
      </c>
    </row>
    <row r="111">
      <c r="A111" s="12">
        <f>ROW()-2</f>
        <v/>
      </c>
      <c r="B111" s="13" t="inlineStr">
        <is>
          <t>NGUYỄN KHÔI NGUYÊN</t>
        </is>
      </c>
      <c r="C111" s="13" t="n">
        <v>251210934</v>
      </c>
      <c r="D111" s="17" t="inlineStr">
        <is>
          <t>Công nghệ thông tin 2 K66</t>
        </is>
      </c>
      <c r="E111" s="17" t="inlineStr">
        <is>
          <t>nguyen251210934@lms.utc.edu.vn</t>
        </is>
      </c>
      <c r="F111" s="14" t="inlineStr">
        <is>
          <t>0987650111</t>
        </is>
      </c>
      <c r="G111" s="15" t="n">
        <v>2.2</v>
      </c>
      <c r="H111" s="15" t="n">
        <v>2.5</v>
      </c>
      <c r="I111" s="15" t="n">
        <v>3.8</v>
      </c>
      <c r="J111" s="15" t="n">
        <v>1</v>
      </c>
      <c r="K111" s="15" t="n">
        <v>3.4</v>
      </c>
      <c r="L111" s="15" t="n">
        <v>2.4</v>
      </c>
      <c r="M111" s="15" t="n">
        <v>2.8</v>
      </c>
      <c r="N111" s="15" t="n">
        <v>3.5</v>
      </c>
      <c r="O111" s="15" t="n">
        <v>2.5</v>
      </c>
      <c r="P111" s="15" t="n">
        <v>2.5</v>
      </c>
      <c r="Q111" s="15" t="n">
        <v>3.3</v>
      </c>
      <c r="R111" s="15" t="n">
        <v>3.6</v>
      </c>
      <c r="S111" s="15" t="n">
        <v>3.3</v>
      </c>
      <c r="T111" s="16">
        <f>(G111*3 + H111*3 + I111*2 + J111*3 + K111*3 + L111*3 + M111*3 + N111*2 + O111*3 + P111*3 + Q111*3 + R111*3 + S111*10) / 44</f>
        <v/>
      </c>
    </row>
    <row r="112">
      <c r="A112" s="12">
        <f>ROW()-2</f>
        <v/>
      </c>
      <c r="B112" s="13" t="inlineStr">
        <is>
          <t>NGUYỄN HOÀNG NHẬT</t>
        </is>
      </c>
      <c r="C112" s="13" t="n">
        <v>251230937</v>
      </c>
      <c r="D112" s="17" t="inlineStr">
        <is>
          <t>Công nghệ thông tin 2 K66</t>
        </is>
      </c>
      <c r="E112" s="17" t="inlineStr">
        <is>
          <t>nhat251230937@lms.utc.edu.vn</t>
        </is>
      </c>
      <c r="F112" s="14" t="inlineStr">
        <is>
          <t>0987650112</t>
        </is>
      </c>
      <c r="G112" s="15" t="n">
        <v>3.7</v>
      </c>
      <c r="H112" s="15" t="n">
        <v>3.9</v>
      </c>
      <c r="I112" s="15" t="n">
        <v>2</v>
      </c>
      <c r="J112" s="15" t="n">
        <v>3</v>
      </c>
      <c r="K112" s="15" t="n">
        <v>2.3</v>
      </c>
      <c r="L112" s="15" t="n">
        <v>3.2</v>
      </c>
      <c r="M112" s="15" t="n">
        <v>3.2</v>
      </c>
      <c r="N112" s="15" t="n">
        <v>4</v>
      </c>
      <c r="O112" s="15" t="n">
        <v>4</v>
      </c>
      <c r="P112" s="15" t="n">
        <v>2.7</v>
      </c>
      <c r="Q112" s="15" t="n">
        <v>3.5</v>
      </c>
      <c r="R112" s="15" t="n">
        <v>4</v>
      </c>
      <c r="S112" s="15" t="n">
        <v>3.3</v>
      </c>
      <c r="T112" s="16">
        <f>(G112*3 + H112*3 + I112*2 + J112*3 + K112*3 + L112*3 + M112*3 + N112*2 + O112*3 + P112*3 + Q112*3 + R112*3 + S112*10) / 44</f>
        <v/>
      </c>
    </row>
    <row r="113">
      <c r="A113" s="12">
        <f>ROW()-2</f>
        <v/>
      </c>
      <c r="B113" s="13" t="inlineStr">
        <is>
          <t>NGUYỄN HOÀNG PHÚC</t>
        </is>
      </c>
      <c r="C113" s="13" t="n">
        <v>251230942</v>
      </c>
      <c r="D113" s="17" t="inlineStr">
        <is>
          <t>Công nghệ thông tin 2 K66</t>
        </is>
      </c>
      <c r="E113" s="17" t="inlineStr">
        <is>
          <t>phuc251230942@lms.utc.edu.vn</t>
        </is>
      </c>
      <c r="F113" s="14" t="inlineStr">
        <is>
          <t>0987650113</t>
        </is>
      </c>
      <c r="G113" s="15" t="n">
        <v>3.5</v>
      </c>
      <c r="H113" s="15" t="n">
        <v>2.8</v>
      </c>
      <c r="I113" s="15" t="n">
        <v>3.7</v>
      </c>
      <c r="J113" s="15" t="n">
        <v>1.7</v>
      </c>
      <c r="K113" s="15" t="n">
        <v>3.1</v>
      </c>
      <c r="L113" s="15" t="n">
        <v>3.5</v>
      </c>
      <c r="M113" s="15" t="n">
        <v>2.9</v>
      </c>
      <c r="N113" s="15" t="n">
        <v>2.8</v>
      </c>
      <c r="O113" s="15" t="n">
        <v>2.8</v>
      </c>
      <c r="P113" s="15" t="n">
        <v>3.3</v>
      </c>
      <c r="Q113" s="15" t="n">
        <v>2.2</v>
      </c>
      <c r="R113" s="15" t="n">
        <v>3.2</v>
      </c>
      <c r="S113" s="15" t="n">
        <v>4</v>
      </c>
      <c r="T113" s="16">
        <f>(G113*3 + H113*3 + I113*2 + J113*3 + K113*3 + L113*3 + M113*3 + N113*2 + O113*3 + P113*3 + Q113*3 + R113*3 + S113*10) / 44</f>
        <v/>
      </c>
    </row>
    <row r="114">
      <c r="A114" s="12">
        <f>ROW()-2</f>
        <v/>
      </c>
      <c r="B114" s="13" t="inlineStr">
        <is>
          <t>HOÀNG MINH PHƯƠNG</t>
        </is>
      </c>
      <c r="C114" s="13" t="n">
        <v>251230945</v>
      </c>
      <c r="D114" s="17" t="inlineStr">
        <is>
          <t>Công nghệ thông tin 2 K66</t>
        </is>
      </c>
      <c r="E114" s="17" t="inlineStr">
        <is>
          <t>phuong251230945@lms.utc.edu.vn</t>
        </is>
      </c>
      <c r="F114" s="14" t="inlineStr">
        <is>
          <t>0987650114</t>
        </is>
      </c>
      <c r="G114" s="15" t="n">
        <v>4</v>
      </c>
      <c r="H114" s="15" t="n">
        <v>3.5</v>
      </c>
      <c r="I114" s="15" t="n">
        <v>2</v>
      </c>
      <c r="J114" s="15" t="n">
        <v>1.8</v>
      </c>
      <c r="K114" s="15" t="n">
        <v>2.8</v>
      </c>
      <c r="L114" s="15" t="n">
        <v>4</v>
      </c>
      <c r="M114" s="15" t="n">
        <v>2</v>
      </c>
      <c r="N114" s="15" t="n">
        <v>3</v>
      </c>
      <c r="O114" s="15" t="n">
        <v>3.8</v>
      </c>
      <c r="P114" s="15" t="n">
        <v>1.9</v>
      </c>
      <c r="Q114" s="15" t="n">
        <v>3.1</v>
      </c>
      <c r="R114" s="15" t="n">
        <v>3.9</v>
      </c>
      <c r="S114" s="15" t="n">
        <v>1.8</v>
      </c>
      <c r="T114" s="16">
        <f>(G114*3 + H114*3 + I114*2 + J114*3 + K114*3 + L114*3 + M114*3 + N114*2 + O114*3 + P114*3 + Q114*3 + R114*3 + S114*10) / 44</f>
        <v/>
      </c>
    </row>
    <row r="115">
      <c r="A115" s="12">
        <f>ROW()-2</f>
        <v/>
      </c>
      <c r="B115" s="13" t="inlineStr">
        <is>
          <t>HOÀNG XUÂN PHƯƠNG</t>
        </is>
      </c>
      <c r="C115" s="13" t="n">
        <v>251230946</v>
      </c>
      <c r="D115" s="17" t="inlineStr">
        <is>
          <t>Công nghệ thông tin 2 K66</t>
        </is>
      </c>
      <c r="E115" s="17" t="inlineStr">
        <is>
          <t>phuong251230946@lms.utc.edu.vn</t>
        </is>
      </c>
      <c r="F115" s="14" t="inlineStr">
        <is>
          <t>0987650115</t>
        </is>
      </c>
      <c r="G115" s="15" t="n">
        <v>2.4</v>
      </c>
      <c r="H115" s="15" t="n">
        <v>3.1</v>
      </c>
      <c r="I115" s="15" t="n">
        <v>3.2</v>
      </c>
      <c r="J115" s="15" t="n">
        <v>2.8</v>
      </c>
      <c r="K115" s="15" t="n">
        <v>3</v>
      </c>
      <c r="L115" s="15" t="n">
        <v>2.1</v>
      </c>
      <c r="M115" s="15" t="n">
        <v>2.9</v>
      </c>
      <c r="N115" s="15" t="n">
        <v>4</v>
      </c>
      <c r="O115" s="15" t="n">
        <v>3.9</v>
      </c>
      <c r="P115" s="15" t="n">
        <v>2.7</v>
      </c>
      <c r="Q115" s="15" t="n">
        <v>3.1</v>
      </c>
      <c r="R115" s="15" t="n">
        <v>2.7</v>
      </c>
      <c r="S115" s="15" t="n">
        <v>2.3</v>
      </c>
      <c r="T115" s="16">
        <f>(G115*3 + H115*3 + I115*2 + J115*3 + K115*3 + L115*3 + M115*3 + N115*2 + O115*3 + P115*3 + Q115*3 + R115*3 + S115*10) / 44</f>
        <v/>
      </c>
    </row>
    <row r="116">
      <c r="A116" s="12">
        <f>ROW()-2</f>
        <v/>
      </c>
      <c r="B116" s="13" t="inlineStr">
        <is>
          <t>NGUYỄN QUANG QUÂN</t>
        </is>
      </c>
      <c r="C116" s="13" t="n">
        <v>251230951</v>
      </c>
      <c r="D116" s="17" t="inlineStr">
        <is>
          <t>Công nghệ thông tin 2 K66</t>
        </is>
      </c>
      <c r="E116" s="17" t="inlineStr">
        <is>
          <t>quan251230951@lms.utc.edu.vn</t>
        </is>
      </c>
      <c r="F116" s="14" t="inlineStr">
        <is>
          <t>0987650116</t>
        </is>
      </c>
      <c r="G116" s="15" t="n">
        <v>4</v>
      </c>
      <c r="H116" s="15" t="n">
        <v>4</v>
      </c>
      <c r="I116" s="15" t="n">
        <v>2.8</v>
      </c>
      <c r="J116" s="15" t="n">
        <v>3.4</v>
      </c>
      <c r="K116" s="15" t="n">
        <v>1.8</v>
      </c>
      <c r="L116" s="15" t="n">
        <v>2.9</v>
      </c>
      <c r="M116" s="15" t="n">
        <v>2.4</v>
      </c>
      <c r="N116" s="15" t="n">
        <v>3.9</v>
      </c>
      <c r="O116" s="15" t="n">
        <v>3.2</v>
      </c>
      <c r="P116" s="15" t="n">
        <v>3.1</v>
      </c>
      <c r="Q116" s="15" t="n">
        <v>3.2</v>
      </c>
      <c r="R116" s="15" t="n">
        <v>2.8</v>
      </c>
      <c r="S116" s="15" t="n">
        <v>3.7</v>
      </c>
      <c r="T116" s="16">
        <f>(G116*3 + H116*3 + I116*2 + J116*3 + K116*3 + L116*3 + M116*3 + N116*2 + O116*3 + P116*3 + Q116*3 + R116*3 + S116*10) / 44</f>
        <v/>
      </c>
    </row>
    <row r="117">
      <c r="A117" s="12">
        <f>ROW()-2</f>
        <v/>
      </c>
      <c r="B117" s="13" t="inlineStr">
        <is>
          <t>TỐNG QUANG QUÝ</t>
        </is>
      </c>
      <c r="C117" s="13" t="n">
        <v>251230952</v>
      </c>
      <c r="D117" s="17" t="inlineStr">
        <is>
          <t>Công nghệ thông tin 2 K66</t>
        </is>
      </c>
      <c r="E117" s="17" t="inlineStr">
        <is>
          <t>quy251230952@lms.utc.edu.vn</t>
        </is>
      </c>
      <c r="F117" s="14" t="inlineStr">
        <is>
          <t>0987650117</t>
        </is>
      </c>
      <c r="G117" s="15" t="n">
        <v>3</v>
      </c>
      <c r="H117" s="15" t="n">
        <v>3.1</v>
      </c>
      <c r="I117" s="15" t="n">
        <v>2.5</v>
      </c>
      <c r="J117" s="15" t="n">
        <v>3.7</v>
      </c>
      <c r="K117" s="15" t="n">
        <v>3.1</v>
      </c>
      <c r="L117" s="15" t="n">
        <v>4</v>
      </c>
      <c r="M117" s="15" t="n">
        <v>3.8</v>
      </c>
      <c r="N117" s="15" t="n">
        <v>2.4</v>
      </c>
      <c r="O117" s="15" t="n">
        <v>2.2</v>
      </c>
      <c r="P117" s="15" t="n">
        <v>3.7</v>
      </c>
      <c r="Q117" s="15" t="n">
        <v>2.9</v>
      </c>
      <c r="R117" s="15" t="n">
        <v>2.9</v>
      </c>
      <c r="S117" s="15" t="n">
        <v>3.4</v>
      </c>
      <c r="T117" s="16">
        <f>(G117*3 + H117*3 + I117*2 + J117*3 + K117*3 + L117*3 + M117*3 + N117*2 + O117*3 + P117*3 + Q117*3 + R117*3 + S117*10) / 44</f>
        <v/>
      </c>
    </row>
    <row r="118">
      <c r="A118" s="12">
        <f>ROW()-2</f>
        <v/>
      </c>
      <c r="B118" s="13" t="inlineStr">
        <is>
          <t>NGUYỄN ANH QUYỀN</t>
        </is>
      </c>
      <c r="C118" s="13" t="n">
        <v>251210953</v>
      </c>
      <c r="D118" s="17" t="inlineStr">
        <is>
          <t>Công nghệ thông tin 2 K66</t>
        </is>
      </c>
      <c r="E118" s="17" t="inlineStr">
        <is>
          <t>quyen251210953@lms.utc.edu.vn</t>
        </is>
      </c>
      <c r="F118" s="14" t="inlineStr">
        <is>
          <t>0987650118</t>
        </is>
      </c>
      <c r="G118" s="15" t="n">
        <v>3.8</v>
      </c>
      <c r="H118" s="15" t="n">
        <v>3.6</v>
      </c>
      <c r="I118" s="15" t="n">
        <v>3.4</v>
      </c>
      <c r="J118" s="15" t="n">
        <v>0.5</v>
      </c>
      <c r="K118" s="15" t="n">
        <v>2.6</v>
      </c>
      <c r="L118" s="15" t="n">
        <v>3.1</v>
      </c>
      <c r="M118" s="15" t="n">
        <v>2.9</v>
      </c>
      <c r="N118" s="15" t="n">
        <v>3.6</v>
      </c>
      <c r="O118" s="15" t="n">
        <v>2.7</v>
      </c>
      <c r="P118" s="15" t="n">
        <v>2.6</v>
      </c>
      <c r="Q118" s="15" t="n">
        <v>3.8</v>
      </c>
      <c r="R118" s="15" t="n">
        <v>2.7</v>
      </c>
      <c r="S118" s="15" t="n">
        <v>2.4</v>
      </c>
      <c r="T118" s="16">
        <f>(G118*3 + H118*3 + I118*2 + J118*3 + K118*3 + L118*3 + M118*3 + N118*2 + O118*3 + P118*3 + Q118*3 + R118*3 + S118*10) / 44</f>
        <v/>
      </c>
    </row>
    <row r="119">
      <c r="A119" s="12">
        <f>ROW()-2</f>
        <v/>
      </c>
      <c r="B119" s="13" t="inlineStr">
        <is>
          <t>LƯU CHÍ QUYẾT</t>
        </is>
      </c>
      <c r="C119" s="13" t="n">
        <v>251230954</v>
      </c>
      <c r="D119" s="17" t="inlineStr">
        <is>
          <t>Công nghệ thông tin 2 K66</t>
        </is>
      </c>
      <c r="E119" s="17" t="inlineStr">
        <is>
          <t>quyet251230954@lms.utc.edu.vn</t>
        </is>
      </c>
      <c r="F119" s="14" t="inlineStr">
        <is>
          <t>0987650119</t>
        </is>
      </c>
      <c r="G119" s="15" t="n">
        <v>3.1</v>
      </c>
      <c r="H119" s="15" t="n">
        <v>3.4</v>
      </c>
      <c r="I119" s="15" t="n">
        <v>3.9</v>
      </c>
      <c r="J119" s="15" t="n">
        <v>3.1</v>
      </c>
      <c r="K119" s="15" t="n">
        <v>1.9</v>
      </c>
      <c r="L119" s="15" t="n">
        <v>3.2</v>
      </c>
      <c r="M119" s="15" t="n">
        <v>2.5</v>
      </c>
      <c r="N119" s="15" t="n">
        <v>2.8</v>
      </c>
      <c r="O119" s="15" t="n">
        <v>3.2</v>
      </c>
      <c r="P119" s="15" t="n">
        <v>3.4</v>
      </c>
      <c r="Q119" s="15" t="n">
        <v>3.2</v>
      </c>
      <c r="R119" s="15" t="n">
        <v>3.1</v>
      </c>
      <c r="S119" s="15" t="n">
        <v>1.8</v>
      </c>
      <c r="T119" s="16">
        <f>(G119*3 + H119*3 + I119*2 + J119*3 + K119*3 + L119*3 + M119*3 + N119*2 + O119*3 + P119*3 + Q119*3 + R119*3 + S119*10) / 44</f>
        <v/>
      </c>
    </row>
    <row r="120">
      <c r="A120" s="12">
        <f>ROW()-2</f>
        <v/>
      </c>
      <c r="B120" s="13" t="inlineStr">
        <is>
          <t>CÔNG ANH TÀI</t>
        </is>
      </c>
      <c r="C120" s="13" t="n">
        <v>251230960</v>
      </c>
      <c r="D120" s="17" t="inlineStr">
        <is>
          <t>Công nghệ thông tin 2 K66</t>
        </is>
      </c>
      <c r="E120" s="17" t="inlineStr">
        <is>
          <t>tai251230960@lms.utc.edu.vn</t>
        </is>
      </c>
      <c r="F120" s="14" t="inlineStr">
        <is>
          <t>0987650120</t>
        </is>
      </c>
      <c r="G120" s="15" t="n">
        <v>1.8</v>
      </c>
      <c r="H120" s="15" t="n">
        <v>3.6</v>
      </c>
      <c r="I120" s="15" t="n">
        <v>3.8</v>
      </c>
      <c r="J120" s="15" t="n">
        <v>1.4</v>
      </c>
      <c r="K120" s="15" t="n">
        <v>3</v>
      </c>
      <c r="L120" s="15" t="n">
        <v>3.5</v>
      </c>
      <c r="M120" s="15" t="n">
        <v>3.3</v>
      </c>
      <c r="N120" s="15" t="n">
        <v>3.6</v>
      </c>
      <c r="O120" s="15" t="n">
        <v>3.4</v>
      </c>
      <c r="P120" s="15" t="n">
        <v>2.3</v>
      </c>
      <c r="Q120" s="15" t="n">
        <v>3.9</v>
      </c>
      <c r="R120" s="15" t="n">
        <v>2.4</v>
      </c>
      <c r="S120" s="15" t="n">
        <v>2.3</v>
      </c>
      <c r="T120" s="16">
        <f>(G120*3 + H120*3 + I120*2 + J120*3 + K120*3 + L120*3 + M120*3 + N120*2 + O120*3 + P120*3 + Q120*3 + R120*3 + S120*10) / 44</f>
        <v/>
      </c>
    </row>
    <row r="121">
      <c r="A121" s="12">
        <f>ROW()-2</f>
        <v/>
      </c>
      <c r="B121" s="13" t="inlineStr">
        <is>
          <t>HOÀNG QUỐC THÁI</t>
        </is>
      </c>
      <c r="C121" s="13" t="n">
        <v>251230961</v>
      </c>
      <c r="D121" s="17" t="inlineStr">
        <is>
          <t>Công nghệ thông tin 2 K66</t>
        </is>
      </c>
      <c r="E121" s="17" t="inlineStr">
        <is>
          <t>thai251230961@lms.utc.edu.vn</t>
        </is>
      </c>
      <c r="F121" s="14" t="inlineStr">
        <is>
          <t>0987650121</t>
        </is>
      </c>
      <c r="G121" s="15" t="n">
        <v>3.1</v>
      </c>
      <c r="H121" s="15" t="n">
        <v>2.4</v>
      </c>
      <c r="I121" s="15" t="n">
        <v>1.8</v>
      </c>
      <c r="J121" s="15" t="n">
        <v>3.6</v>
      </c>
      <c r="K121" s="15" t="n">
        <v>3</v>
      </c>
      <c r="L121" s="15" t="n">
        <v>2.7</v>
      </c>
      <c r="M121" s="15" t="n">
        <v>3.3</v>
      </c>
      <c r="N121" s="15" t="n">
        <v>3.6</v>
      </c>
      <c r="O121" s="15" t="n">
        <v>3.6</v>
      </c>
      <c r="P121" s="15" t="n">
        <v>2.5</v>
      </c>
      <c r="Q121" s="15" t="n">
        <v>3.6</v>
      </c>
      <c r="R121" s="15" t="n">
        <v>3.1</v>
      </c>
      <c r="S121" s="15" t="n">
        <v>3.8</v>
      </c>
      <c r="T121" s="16">
        <f>(G121*3 + H121*3 + I121*2 + J121*3 + K121*3 + L121*3 + M121*3 + N121*2 + O121*3 + P121*3 + Q121*3 + R121*3 + S121*10) / 44</f>
        <v/>
      </c>
    </row>
    <row r="122">
      <c r="A122" s="12">
        <f>ROW()-2</f>
        <v/>
      </c>
      <c r="B122" s="13" t="inlineStr">
        <is>
          <t>TRƯƠNG NGỌC THẮNG</t>
        </is>
      </c>
      <c r="C122" s="13" t="n">
        <v>251210975</v>
      </c>
      <c r="D122" s="17" t="inlineStr">
        <is>
          <t>Công nghệ thông tin 2 K66</t>
        </is>
      </c>
      <c r="E122" s="17" t="inlineStr">
        <is>
          <t>thang251210975@lms.utc.edu.vn</t>
        </is>
      </c>
      <c r="F122" s="14" t="inlineStr">
        <is>
          <t>0987650122</t>
        </is>
      </c>
      <c r="G122" s="15" t="n">
        <v>2.2</v>
      </c>
      <c r="H122" s="15" t="n">
        <v>2.8</v>
      </c>
      <c r="I122" s="15" t="n">
        <v>3.2</v>
      </c>
      <c r="J122" s="15" t="n">
        <v>0.8</v>
      </c>
      <c r="K122" s="15" t="n">
        <v>3.8</v>
      </c>
      <c r="L122" s="15" t="n">
        <v>2.4</v>
      </c>
      <c r="M122" s="15" t="n">
        <v>2.3</v>
      </c>
      <c r="N122" s="15" t="n">
        <v>2.1</v>
      </c>
      <c r="O122" s="15" t="n">
        <v>3</v>
      </c>
      <c r="P122" s="15" t="n">
        <v>3.1</v>
      </c>
      <c r="Q122" s="15" t="n">
        <v>2.1</v>
      </c>
      <c r="R122" s="15" t="n">
        <v>3.9</v>
      </c>
      <c r="S122" s="15" t="n">
        <v>1.9</v>
      </c>
      <c r="T122" s="16">
        <f>(G122*3 + H122*3 + I122*2 + J122*3 + K122*3 + L122*3 + M122*3 + N122*2 + O122*3 + P122*3 + Q122*3 + R122*3 + S122*10) / 44</f>
        <v/>
      </c>
    </row>
    <row r="123">
      <c r="A123" s="12">
        <f>ROW()-2</f>
        <v/>
      </c>
      <c r="B123" s="13" t="inlineStr">
        <is>
          <t>ĐỖ NHƯ THÀNH</t>
        </is>
      </c>
      <c r="C123" s="13" t="n">
        <v>251210965</v>
      </c>
      <c r="D123" s="17" t="inlineStr">
        <is>
          <t>Công nghệ thông tin 2 K66</t>
        </is>
      </c>
      <c r="E123" s="17" t="inlineStr">
        <is>
          <t>thanh251210965@lms.utc.edu.vn</t>
        </is>
      </c>
      <c r="F123" s="14" t="inlineStr">
        <is>
          <t>0987650123</t>
        </is>
      </c>
      <c r="G123" s="15" t="n">
        <v>2.6</v>
      </c>
      <c r="H123" s="15" t="n">
        <v>3.3</v>
      </c>
      <c r="I123" s="15" t="n">
        <v>1.8</v>
      </c>
      <c r="J123" s="15" t="n">
        <v>1.3</v>
      </c>
      <c r="K123" s="15" t="n">
        <v>3</v>
      </c>
      <c r="L123" s="15" t="n">
        <v>3.8</v>
      </c>
      <c r="M123" s="15" t="n">
        <v>2.7</v>
      </c>
      <c r="N123" s="15" t="n">
        <v>2.8</v>
      </c>
      <c r="O123" s="15" t="n">
        <v>2.7</v>
      </c>
      <c r="P123" s="15" t="n">
        <v>3.5</v>
      </c>
      <c r="Q123" s="15" t="n">
        <v>2.1</v>
      </c>
      <c r="R123" s="15" t="n">
        <v>2.2</v>
      </c>
      <c r="S123" s="15" t="n">
        <v>3.3</v>
      </c>
      <c r="T123" s="16">
        <f>(G123*3 + H123*3 + I123*2 + J123*3 + K123*3 + L123*3 + M123*3 + N123*2 + O123*3 + P123*3 + Q123*3 + R123*3 + S123*10) / 44</f>
        <v/>
      </c>
    </row>
    <row r="124">
      <c r="A124" s="12">
        <f>ROW()-2</f>
        <v/>
      </c>
      <c r="B124" s="13" t="inlineStr">
        <is>
          <t>NGUYỄN QUANG THÀNH</t>
        </is>
      </c>
      <c r="C124" s="13" t="n">
        <v>251230968</v>
      </c>
      <c r="D124" s="17" t="inlineStr">
        <is>
          <t>Công nghệ thông tin 2 K66</t>
        </is>
      </c>
      <c r="E124" s="17" t="inlineStr">
        <is>
          <t>thanh251230968@lms.utc.edu.vn</t>
        </is>
      </c>
      <c r="F124" s="14" t="inlineStr">
        <is>
          <t>0987650124</t>
        </is>
      </c>
      <c r="G124" s="15" t="n">
        <v>2.8</v>
      </c>
      <c r="H124" s="15" t="n">
        <v>3.5</v>
      </c>
      <c r="I124" s="15" t="n">
        <v>3.4</v>
      </c>
      <c r="J124" s="15" t="n">
        <v>2.3</v>
      </c>
      <c r="K124" s="15" t="n">
        <v>3.7</v>
      </c>
      <c r="L124" s="15" t="n">
        <v>3.4</v>
      </c>
      <c r="M124" s="15" t="n">
        <v>3.4</v>
      </c>
      <c r="N124" s="15" t="n">
        <v>3.8</v>
      </c>
      <c r="O124" s="15" t="n">
        <v>3.9</v>
      </c>
      <c r="P124" s="15" t="n">
        <v>3.4</v>
      </c>
      <c r="Q124" s="15" t="n">
        <v>2.8</v>
      </c>
      <c r="R124" s="15" t="n">
        <v>2.1</v>
      </c>
      <c r="S124" s="15" t="n">
        <v>2.8</v>
      </c>
      <c r="T124" s="16">
        <f>(G124*3 + H124*3 + I124*2 + J124*3 + K124*3 + L124*3 + M124*3 + N124*2 + O124*3 + P124*3 + Q124*3 + R124*3 + S124*10) / 44</f>
        <v/>
      </c>
    </row>
    <row r="125">
      <c r="A125" s="12">
        <f>ROW()-2</f>
        <v/>
      </c>
      <c r="B125" s="13" t="inlineStr">
        <is>
          <t>TRẦN VĂN THÀNH</t>
        </is>
      </c>
      <c r="C125" s="13" t="n">
        <v>251230971</v>
      </c>
      <c r="D125" s="17" t="inlineStr">
        <is>
          <t>Công nghệ thông tin 2 K66</t>
        </is>
      </c>
      <c r="E125" s="17" t="inlineStr">
        <is>
          <t>thanh251230971@lms.utc.edu.vn</t>
        </is>
      </c>
      <c r="F125" s="14" t="inlineStr">
        <is>
          <t>0987650125</t>
        </is>
      </c>
      <c r="G125" s="15" t="n">
        <v>2.8</v>
      </c>
      <c r="H125" s="15" t="n">
        <v>1.9</v>
      </c>
      <c r="I125" s="15" t="n">
        <v>3.9</v>
      </c>
      <c r="J125" s="15" t="n">
        <v>2.9</v>
      </c>
      <c r="K125" s="15" t="n">
        <v>3.9</v>
      </c>
      <c r="L125" s="15" t="n">
        <v>3.1</v>
      </c>
      <c r="M125" s="15" t="n">
        <v>3.6</v>
      </c>
      <c r="N125" s="15" t="n">
        <v>3.6</v>
      </c>
      <c r="O125" s="15" t="n">
        <v>3.8</v>
      </c>
      <c r="P125" s="15" t="n">
        <v>2.1</v>
      </c>
      <c r="Q125" s="15" t="n">
        <v>4</v>
      </c>
      <c r="R125" s="15" t="n">
        <v>1.8</v>
      </c>
      <c r="S125" s="15" t="n">
        <v>3.8</v>
      </c>
      <c r="T125" s="16">
        <f>(G125*3 + H125*3 + I125*2 + J125*3 + K125*3 + L125*3 + M125*3 + N125*2 + O125*3 + P125*3 + Q125*3 + R125*3 + S125*10) / 44</f>
        <v/>
      </c>
    </row>
    <row r="126">
      <c r="A126" s="12">
        <f>ROW()-2</f>
        <v/>
      </c>
      <c r="B126" s="13" t="inlineStr">
        <is>
          <t>NGUYỄN TÁ ANH THỊNH</t>
        </is>
      </c>
      <c r="C126" s="13" t="n">
        <v>251230978</v>
      </c>
      <c r="D126" s="17" t="inlineStr">
        <is>
          <t>Công nghệ thông tin 2 K66</t>
        </is>
      </c>
      <c r="E126" s="17" t="inlineStr">
        <is>
          <t>thinh251230978@lms.utc.edu.vn</t>
        </is>
      </c>
      <c r="F126" s="14" t="inlineStr">
        <is>
          <t>0987650126</t>
        </is>
      </c>
      <c r="G126" s="15" t="n">
        <v>3.8</v>
      </c>
      <c r="H126" s="15" t="n">
        <v>3.5</v>
      </c>
      <c r="I126" s="15" t="n">
        <v>2</v>
      </c>
      <c r="J126" s="15" t="n">
        <v>3.6</v>
      </c>
      <c r="K126" s="15" t="n">
        <v>2.4</v>
      </c>
      <c r="L126" s="15" t="n">
        <v>3.2</v>
      </c>
      <c r="M126" s="15" t="n">
        <v>1.8</v>
      </c>
      <c r="N126" s="15" t="n">
        <v>2.3</v>
      </c>
      <c r="O126" s="15" t="n">
        <v>2.9</v>
      </c>
      <c r="P126" s="15" t="n">
        <v>3.1</v>
      </c>
      <c r="Q126" s="15" t="n">
        <v>4</v>
      </c>
      <c r="R126" s="15" t="n">
        <v>2.2</v>
      </c>
      <c r="S126" s="15" t="n">
        <v>1.8</v>
      </c>
      <c r="T126" s="16">
        <f>(G126*3 + H126*3 + I126*2 + J126*3 + K126*3 + L126*3 + M126*3 + N126*2 + O126*3 + P126*3 + Q126*3 + R126*3 + S126*10) / 44</f>
        <v/>
      </c>
    </row>
    <row r="127">
      <c r="A127" s="12">
        <f>ROW()-2</f>
        <v/>
      </c>
      <c r="B127" s="13" t="inlineStr">
        <is>
          <t>TRẦN BÁ THƯỜNG</t>
        </is>
      </c>
      <c r="C127" s="13" t="n">
        <v>251230980</v>
      </c>
      <c r="D127" s="17" t="inlineStr">
        <is>
          <t>Công nghệ thông tin 2 K66</t>
        </is>
      </c>
      <c r="E127" s="17" t="inlineStr">
        <is>
          <t>thuong251230980@lms.utc.edu.vn</t>
        </is>
      </c>
      <c r="F127" s="14" t="inlineStr">
        <is>
          <t>0987650127</t>
        </is>
      </c>
      <c r="G127" s="15" t="n">
        <v>2.3</v>
      </c>
      <c r="H127" s="15" t="n">
        <v>2.8</v>
      </c>
      <c r="I127" s="15" t="n">
        <v>2.3</v>
      </c>
      <c r="J127" s="15" t="n">
        <v>3.4</v>
      </c>
      <c r="K127" s="15" t="n">
        <v>2.8</v>
      </c>
      <c r="L127" s="15" t="n">
        <v>2.6</v>
      </c>
      <c r="M127" s="15" t="n">
        <v>3.5</v>
      </c>
      <c r="N127" s="15" t="n">
        <v>3</v>
      </c>
      <c r="O127" s="15" t="n">
        <v>3.7</v>
      </c>
      <c r="P127" s="15" t="n">
        <v>3.7</v>
      </c>
      <c r="Q127" s="15" t="n">
        <v>2.8</v>
      </c>
      <c r="R127" s="15" t="n">
        <v>3.9</v>
      </c>
      <c r="S127" s="15" t="n">
        <v>2.1</v>
      </c>
      <c r="T127" s="16">
        <f>(G127*3 + H127*3 + I127*2 + J127*3 + K127*3 + L127*3 + M127*3 + N127*2 + O127*3 + P127*3 + Q127*3 + R127*3 + S127*10) / 44</f>
        <v/>
      </c>
    </row>
    <row r="128">
      <c r="A128" s="12">
        <f>ROW()-2</f>
        <v/>
      </c>
      <c r="B128" s="13" t="inlineStr">
        <is>
          <t>TRỊNH QUỐC TUẤN</t>
        </is>
      </c>
      <c r="C128" s="13" t="n">
        <v>251230993</v>
      </c>
      <c r="D128" s="17" t="inlineStr">
        <is>
          <t>Công nghệ thông tin 2 K66</t>
        </is>
      </c>
      <c r="E128" s="17" t="inlineStr">
        <is>
          <t>tuan251230993@lms.utc.edu.vn</t>
        </is>
      </c>
      <c r="F128" s="14" t="inlineStr">
        <is>
          <t>0987650128</t>
        </is>
      </c>
      <c r="G128" s="15" t="n">
        <v>3.2</v>
      </c>
      <c r="H128" s="15" t="n">
        <v>2.3</v>
      </c>
      <c r="I128" s="15" t="n">
        <v>3.5</v>
      </c>
      <c r="J128" s="15" t="n">
        <v>0.3</v>
      </c>
      <c r="K128" s="15" t="n">
        <v>1.8</v>
      </c>
      <c r="L128" s="15" t="n">
        <v>2.8</v>
      </c>
      <c r="M128" s="15" t="n">
        <v>2.1</v>
      </c>
      <c r="N128" s="15" t="n">
        <v>2.2</v>
      </c>
      <c r="O128" s="15" t="n">
        <v>3.3</v>
      </c>
      <c r="P128" s="15" t="n">
        <v>3.8</v>
      </c>
      <c r="Q128" s="15" t="n">
        <v>3.3</v>
      </c>
      <c r="R128" s="15" t="n">
        <v>4</v>
      </c>
      <c r="S128" s="15" t="n">
        <v>3.9</v>
      </c>
      <c r="T128" s="16">
        <f>(G128*3 + H128*3 + I128*2 + J128*3 + K128*3 + L128*3 + M128*3 + N128*2 + O128*3 + P128*3 + Q128*3 + R128*3 + S128*10) / 44</f>
        <v/>
      </c>
    </row>
    <row r="129">
      <c r="A129" s="12">
        <f>ROW()-2</f>
        <v/>
      </c>
      <c r="B129" s="13" t="inlineStr">
        <is>
          <t>CHÚC ANH VIỆT</t>
        </is>
      </c>
      <c r="C129" s="13" t="n">
        <v>251230996</v>
      </c>
      <c r="D129" s="17" t="inlineStr">
        <is>
          <t>Công nghệ thông tin 2 K66</t>
        </is>
      </c>
      <c r="E129" s="17" t="inlineStr">
        <is>
          <t>viet251230996@lms.utc.edu.vn</t>
        </is>
      </c>
      <c r="F129" s="14" t="inlineStr">
        <is>
          <t>0987650129</t>
        </is>
      </c>
      <c r="G129" s="15" t="n">
        <v>3.6</v>
      </c>
      <c r="H129" s="15" t="n">
        <v>2.7</v>
      </c>
      <c r="I129" s="15" t="n">
        <v>3.2</v>
      </c>
      <c r="J129" s="15" t="n">
        <v>0.6</v>
      </c>
      <c r="K129" s="15" t="n">
        <v>3</v>
      </c>
      <c r="L129" s="15" t="n">
        <v>4</v>
      </c>
      <c r="M129" s="15" t="n">
        <v>2.9</v>
      </c>
      <c r="N129" s="15" t="n">
        <v>2.1</v>
      </c>
      <c r="O129" s="15" t="n">
        <v>2.4</v>
      </c>
      <c r="P129" s="15" t="n">
        <v>3.8</v>
      </c>
      <c r="Q129" s="15" t="n">
        <v>3.9</v>
      </c>
      <c r="R129" s="15" t="n">
        <v>3</v>
      </c>
      <c r="S129" s="15" t="n">
        <v>3.9</v>
      </c>
      <c r="T129" s="16">
        <f>(G129*3 + H129*3 + I129*2 + J129*3 + K129*3 + L129*3 + M129*3 + N129*2 + O129*3 + P129*3 + Q129*3 + R129*3 + S129*10) / 44</f>
        <v/>
      </c>
    </row>
    <row r="130">
      <c r="A130" s="12">
        <f>ROW()-2</f>
        <v/>
      </c>
      <c r="B130" s="13" t="inlineStr">
        <is>
          <t>PHAN ĐÌNH VIỆT</t>
        </is>
      </c>
      <c r="C130" s="13" t="n">
        <v>251230999</v>
      </c>
      <c r="D130" s="17" t="inlineStr">
        <is>
          <t>Công nghệ thông tin 2 K66</t>
        </is>
      </c>
      <c r="E130" s="17" t="inlineStr">
        <is>
          <t>viet251230999@lms.utc.edu.vn</t>
        </is>
      </c>
      <c r="F130" s="14" t="inlineStr">
        <is>
          <t>0987650130</t>
        </is>
      </c>
      <c r="G130" s="15" t="n">
        <v>3.1</v>
      </c>
      <c r="H130" s="15" t="n">
        <v>1.9</v>
      </c>
      <c r="I130" s="15" t="n">
        <v>2.8</v>
      </c>
      <c r="J130" s="15" t="n">
        <v>2.8</v>
      </c>
      <c r="K130" s="15" t="n">
        <v>3.1</v>
      </c>
      <c r="L130" s="15" t="n">
        <v>2</v>
      </c>
      <c r="M130" s="15" t="n">
        <v>3</v>
      </c>
      <c r="N130" s="15" t="n">
        <v>1.9</v>
      </c>
      <c r="O130" s="15" t="n">
        <v>1.9</v>
      </c>
      <c r="P130" s="15" t="n">
        <v>2</v>
      </c>
      <c r="Q130" s="15" t="n">
        <v>3.2</v>
      </c>
      <c r="R130" s="15" t="n">
        <v>1.8</v>
      </c>
      <c r="S130" s="15" t="n">
        <v>3.6</v>
      </c>
      <c r="T130" s="16">
        <f>(G130*3 + H130*3 + I130*2 + J130*3 + K130*3 + L130*3 + M130*3 + N130*2 + O130*3 + P130*3 + Q130*3 + R130*3 + S130*10) / 44</f>
        <v/>
      </c>
    </row>
    <row r="131">
      <c r="A131" s="12">
        <f>ROW()-2</f>
        <v/>
      </c>
      <c r="B131" s="13" t="inlineStr">
        <is>
          <t>TRẦN QUANG VINH</t>
        </is>
      </c>
      <c r="C131" s="13" t="n">
        <v>251231003</v>
      </c>
      <c r="D131" s="17" t="inlineStr">
        <is>
          <t>Công nghệ thông tin 2 K66</t>
        </is>
      </c>
      <c r="E131" s="17" t="inlineStr">
        <is>
          <t>vinh251231003@lms.utc.edu.vn</t>
        </is>
      </c>
      <c r="F131" s="14" t="inlineStr">
        <is>
          <t>0987650131</t>
        </is>
      </c>
      <c r="G131" s="15" t="n">
        <v>3.7</v>
      </c>
      <c r="H131" s="15" t="n">
        <v>4</v>
      </c>
      <c r="I131" s="15" t="n">
        <v>3.2</v>
      </c>
      <c r="J131" s="15" t="n">
        <v>0.3</v>
      </c>
      <c r="K131" s="15" t="n">
        <v>2.2</v>
      </c>
      <c r="L131" s="15" t="n">
        <v>4</v>
      </c>
      <c r="M131" s="15" t="n">
        <v>2.5</v>
      </c>
      <c r="N131" s="15" t="n">
        <v>1.8</v>
      </c>
      <c r="O131" s="15" t="n">
        <v>3.2</v>
      </c>
      <c r="P131" s="15" t="n">
        <v>3.7</v>
      </c>
      <c r="Q131" s="15" t="n">
        <v>2.7</v>
      </c>
      <c r="R131" s="15" t="n">
        <v>2.9</v>
      </c>
      <c r="S131" s="15" t="n">
        <v>3</v>
      </c>
      <c r="T131" s="16">
        <f>(G131*3 + H131*3 + I131*2 + J131*3 + K131*3 + L131*3 + M131*3 + N131*2 + O131*3 + P131*3 + Q131*3 + R131*3 + S131*10) / 44</f>
        <v/>
      </c>
    </row>
    <row r="132">
      <c r="A132" s="12">
        <f>ROW()-2</f>
        <v/>
      </c>
      <c r="B132" s="13" t="inlineStr">
        <is>
          <t>DƯƠNG HOÀNG VŨ</t>
        </is>
      </c>
      <c r="C132" s="13" t="n">
        <v>251211005</v>
      </c>
      <c r="D132" s="17" t="inlineStr">
        <is>
          <t>Công nghệ thông tin 2 K66</t>
        </is>
      </c>
      <c r="E132" s="17" t="inlineStr">
        <is>
          <t>vu251211005@lms.utc.edu.vn</t>
        </is>
      </c>
      <c r="F132" s="14" t="inlineStr">
        <is>
          <t>0987650132</t>
        </is>
      </c>
      <c r="G132" s="15" t="n">
        <v>1.8</v>
      </c>
      <c r="H132" s="15" t="n">
        <v>3.5</v>
      </c>
      <c r="I132" s="15" t="n">
        <v>3.8</v>
      </c>
      <c r="J132" s="15" t="n">
        <v>0.3</v>
      </c>
      <c r="K132" s="15" t="n">
        <v>2.8</v>
      </c>
      <c r="L132" s="15" t="n">
        <v>2.1</v>
      </c>
      <c r="M132" s="15" t="n">
        <v>3.6</v>
      </c>
      <c r="N132" s="15" t="n">
        <v>3.9</v>
      </c>
      <c r="O132" s="15" t="n">
        <v>2.3</v>
      </c>
      <c r="P132" s="15" t="n">
        <v>2.9</v>
      </c>
      <c r="Q132" s="15" t="n">
        <v>3.6</v>
      </c>
      <c r="R132" s="15" t="n">
        <v>3</v>
      </c>
      <c r="S132" s="15" t="n">
        <v>4</v>
      </c>
      <c r="T132" s="16">
        <f>(G132*3 + H132*3 + I132*2 + J132*3 + K132*3 + L132*3 + M132*3 + N132*2 + O132*3 + P132*3 + Q132*3 + R132*3 + S132*10) / 44</f>
        <v/>
      </c>
    </row>
    <row r="133">
      <c r="A133" s="12">
        <f>ROW()-2</f>
        <v/>
      </c>
      <c r="B133" s="13" t="inlineStr">
        <is>
          <t>HÀ HUY VŨ</t>
        </is>
      </c>
      <c r="C133" s="13" t="n">
        <v>251231006</v>
      </c>
      <c r="D133" s="17" t="inlineStr">
        <is>
          <t>Công nghệ thông tin 2 K66</t>
        </is>
      </c>
      <c r="E133" s="17" t="inlineStr">
        <is>
          <t>vu251231006@lms.utc.edu.vn</t>
        </is>
      </c>
      <c r="F133" s="14" t="inlineStr">
        <is>
          <t>0987650133</t>
        </is>
      </c>
      <c r="G133" s="15" t="n">
        <v>3.7</v>
      </c>
      <c r="H133" s="15" t="n">
        <v>3.7</v>
      </c>
      <c r="I133" s="15" t="n">
        <v>3.7</v>
      </c>
      <c r="J133" s="15" t="n">
        <v>3</v>
      </c>
      <c r="K133" s="15" t="n">
        <v>2.8</v>
      </c>
      <c r="L133" s="15" t="n">
        <v>3.6</v>
      </c>
      <c r="M133" s="15" t="n">
        <v>2</v>
      </c>
      <c r="N133" s="15" t="n">
        <v>2.9</v>
      </c>
      <c r="O133" s="15" t="n">
        <v>3.6</v>
      </c>
      <c r="P133" s="15" t="n">
        <v>3.2</v>
      </c>
      <c r="Q133" s="15" t="n">
        <v>3.8</v>
      </c>
      <c r="R133" s="15" t="n">
        <v>2.8</v>
      </c>
      <c r="S133" s="15" t="n">
        <v>2.7</v>
      </c>
      <c r="T133" s="16">
        <f>(G133*3 + H133*3 + I133*2 + J133*3 + K133*3 + L133*3 + M133*3 + N133*2 + O133*3 + P133*3 + Q133*3 + R133*3 + S133*10) / 44</f>
        <v/>
      </c>
    </row>
    <row r="134">
      <c r="A134" s="12">
        <f>ROW()-2</f>
        <v/>
      </c>
      <c r="B134" s="13" t="inlineStr">
        <is>
          <t>NGÔ ĐÌNH NGỌC AN</t>
        </is>
      </c>
      <c r="C134" s="13" t="n">
        <v>251210795</v>
      </c>
      <c r="D134" s="17" t="inlineStr">
        <is>
          <t>Công nghệ thông tin 3 K66</t>
        </is>
      </c>
      <c r="E134" s="17" t="inlineStr">
        <is>
          <t>an251210795@lms.utc.edu.vn</t>
        </is>
      </c>
      <c r="F134" s="14" t="inlineStr">
        <is>
          <t>0987650134</t>
        </is>
      </c>
      <c r="G134" s="15" t="n">
        <v>3</v>
      </c>
      <c r="H134" s="15" t="n">
        <v>2.2</v>
      </c>
      <c r="I134" s="15" t="n">
        <v>3.1</v>
      </c>
      <c r="J134" s="15" t="n">
        <v>1</v>
      </c>
      <c r="K134" s="15" t="n">
        <v>2</v>
      </c>
      <c r="L134" s="15" t="n">
        <v>3</v>
      </c>
      <c r="M134" s="15" t="n">
        <v>2.8</v>
      </c>
      <c r="N134" s="15" t="n">
        <v>3.9</v>
      </c>
      <c r="O134" s="15" t="n">
        <v>2.1</v>
      </c>
      <c r="P134" s="15" t="n">
        <v>3.8</v>
      </c>
      <c r="Q134" s="15" t="n">
        <v>4</v>
      </c>
      <c r="R134" s="15" t="n">
        <v>3.8</v>
      </c>
      <c r="S134" s="15" t="n">
        <v>3.1</v>
      </c>
      <c r="T134" s="16">
        <f>(G134*3 + H134*3 + I134*2 + J134*3 + K134*3 + L134*3 + M134*3 + N134*2 + O134*3 + P134*3 + Q134*3 + R134*3 + S134*10) / 44</f>
        <v/>
      </c>
    </row>
    <row r="135">
      <c r="A135" s="12">
        <f>ROW()-2</f>
        <v/>
      </c>
      <c r="B135" s="13" t="inlineStr">
        <is>
          <t>NGUYỄN VIỆT AN</t>
        </is>
      </c>
      <c r="C135" s="13" t="n">
        <v>251210797</v>
      </c>
      <c r="D135" s="17" t="inlineStr">
        <is>
          <t>Công nghệ thông tin 3 K66</t>
        </is>
      </c>
      <c r="E135" s="17" t="inlineStr">
        <is>
          <t>an251210797@lms.utc.edu.vn</t>
        </is>
      </c>
      <c r="F135" s="14" t="inlineStr">
        <is>
          <t>0987650135</t>
        </is>
      </c>
      <c r="G135" s="15" t="n">
        <v>3.7</v>
      </c>
      <c r="H135" s="15" t="n">
        <v>3.8</v>
      </c>
      <c r="I135" s="15" t="n">
        <v>2.9</v>
      </c>
      <c r="J135" s="15" t="n">
        <v>3</v>
      </c>
      <c r="K135" s="15" t="n">
        <v>1.9</v>
      </c>
      <c r="L135" s="15" t="n">
        <v>3.8</v>
      </c>
      <c r="M135" s="15" t="n">
        <v>3.4</v>
      </c>
      <c r="N135" s="15" t="n">
        <v>3.3</v>
      </c>
      <c r="O135" s="15" t="n">
        <v>3.8</v>
      </c>
      <c r="P135" s="15" t="n">
        <v>3.1</v>
      </c>
      <c r="Q135" s="15" t="n">
        <v>2.7</v>
      </c>
      <c r="R135" s="15" t="n">
        <v>3.5</v>
      </c>
      <c r="S135" s="15" t="n">
        <v>2.8</v>
      </c>
      <c r="T135" s="16">
        <f>(G135*3 + H135*3 + I135*2 + J135*3 + K135*3 + L135*3 + M135*3 + N135*2 + O135*3 + P135*3 + Q135*3 + R135*3 + S135*10) / 44</f>
        <v/>
      </c>
    </row>
    <row r="136">
      <c r="A136" s="12">
        <f>ROW()-2</f>
        <v/>
      </c>
      <c r="B136" s="13" t="inlineStr">
        <is>
          <t>NGUYỄN ĐỨC ANH</t>
        </is>
      </c>
      <c r="C136" s="13" t="n">
        <v>251230803</v>
      </c>
      <c r="D136" s="17" t="inlineStr">
        <is>
          <t>Công nghệ thông tin 3 K66</t>
        </is>
      </c>
      <c r="E136" s="17" t="inlineStr">
        <is>
          <t>anh251230803@lms.utc.edu.vn</t>
        </is>
      </c>
      <c r="F136" s="14" t="inlineStr">
        <is>
          <t>0987650136</t>
        </is>
      </c>
      <c r="G136" s="15" t="n">
        <v>3.5</v>
      </c>
      <c r="H136" s="15" t="n">
        <v>3.1</v>
      </c>
      <c r="I136" s="15" t="n">
        <v>2.7</v>
      </c>
      <c r="J136" s="15" t="n">
        <v>0.8</v>
      </c>
      <c r="K136" s="15" t="n">
        <v>2.5</v>
      </c>
      <c r="L136" s="15" t="n">
        <v>2.2</v>
      </c>
      <c r="M136" s="15" t="n">
        <v>2.4</v>
      </c>
      <c r="N136" s="15" t="n">
        <v>1.9</v>
      </c>
      <c r="O136" s="15" t="n">
        <v>3.5</v>
      </c>
      <c r="P136" s="15" t="n">
        <v>3.3</v>
      </c>
      <c r="Q136" s="15" t="n">
        <v>2.9</v>
      </c>
      <c r="R136" s="15" t="n">
        <v>3.2</v>
      </c>
      <c r="S136" s="15" t="n">
        <v>3.7</v>
      </c>
      <c r="T136" s="16">
        <f>(G136*3 + H136*3 + I136*2 + J136*3 + K136*3 + L136*3 + M136*3 + N136*2 + O136*3 + P136*3 + Q136*3 + R136*3 + S136*10) / 44</f>
        <v/>
      </c>
    </row>
    <row r="137">
      <c r="A137" s="12">
        <f>ROW()-2</f>
        <v/>
      </c>
      <c r="B137" s="13" t="inlineStr">
        <is>
          <t>NGUYỄN NHẬT ANH</t>
        </is>
      </c>
      <c r="C137" s="13" t="n">
        <v>251210804</v>
      </c>
      <c r="D137" s="17" t="inlineStr">
        <is>
          <t>Công nghệ thông tin 3 K66</t>
        </is>
      </c>
      <c r="E137" s="17" t="inlineStr">
        <is>
          <t>anh251210804@lms.utc.edu.vn</t>
        </is>
      </c>
      <c r="F137" s="14" t="inlineStr">
        <is>
          <t>0987650137</t>
        </is>
      </c>
      <c r="G137" s="15" t="n">
        <v>1.9</v>
      </c>
      <c r="H137" s="15" t="n">
        <v>3.6</v>
      </c>
      <c r="I137" s="15" t="n">
        <v>2</v>
      </c>
      <c r="J137" s="15" t="n">
        <v>3.7</v>
      </c>
      <c r="K137" s="15" t="n">
        <v>3.8</v>
      </c>
      <c r="L137" s="15" t="n">
        <v>3.7</v>
      </c>
      <c r="M137" s="15" t="n">
        <v>3.1</v>
      </c>
      <c r="N137" s="15" t="n">
        <v>3.3</v>
      </c>
      <c r="O137" s="15" t="n">
        <v>2.3</v>
      </c>
      <c r="P137" s="15" t="n">
        <v>1.8</v>
      </c>
      <c r="Q137" s="15" t="n">
        <v>2.4</v>
      </c>
      <c r="R137" s="15" t="n">
        <v>2.4</v>
      </c>
      <c r="S137" s="15" t="n">
        <v>3.8</v>
      </c>
      <c r="T137" s="16">
        <f>(G137*3 + H137*3 + I137*2 + J137*3 + K137*3 + L137*3 + M137*3 + N137*2 + O137*3 + P137*3 + Q137*3 + R137*3 + S137*10) / 44</f>
        <v/>
      </c>
    </row>
    <row r="138">
      <c r="A138" s="12">
        <f>ROW()-2</f>
        <v/>
      </c>
      <c r="B138" s="13" t="inlineStr">
        <is>
          <t>NGUYỄN QUỐC ANH</t>
        </is>
      </c>
      <c r="C138" s="13" t="n">
        <v>251230805</v>
      </c>
      <c r="D138" s="17" t="inlineStr">
        <is>
          <t>Công nghệ thông tin 3 K66</t>
        </is>
      </c>
      <c r="E138" s="17" t="inlineStr">
        <is>
          <t>anh251230805@lms.utc.edu.vn</t>
        </is>
      </c>
      <c r="F138" s="14" t="inlineStr">
        <is>
          <t>0987650138</t>
        </is>
      </c>
      <c r="G138" s="15" t="n">
        <v>3.4</v>
      </c>
      <c r="H138" s="15" t="n">
        <v>3.6</v>
      </c>
      <c r="I138" s="15" t="n">
        <v>2.1</v>
      </c>
      <c r="J138" s="15" t="n">
        <v>0.7</v>
      </c>
      <c r="K138" s="15" t="n">
        <v>2</v>
      </c>
      <c r="L138" s="15" t="n">
        <v>2.3</v>
      </c>
      <c r="M138" s="15" t="n">
        <v>2.6</v>
      </c>
      <c r="N138" s="15" t="n">
        <v>3.7</v>
      </c>
      <c r="O138" s="15" t="n">
        <v>3.5</v>
      </c>
      <c r="P138" s="15" t="n">
        <v>3</v>
      </c>
      <c r="Q138" s="15" t="n">
        <v>3.5</v>
      </c>
      <c r="R138" s="15" t="n">
        <v>2.1</v>
      </c>
      <c r="S138" s="15" t="n">
        <v>2</v>
      </c>
      <c r="T138" s="16">
        <f>(G138*3 + H138*3 + I138*2 + J138*3 + K138*3 + L138*3 + M138*3 + N138*2 + O138*3 + P138*3 + Q138*3 + R138*3 + S138*10) / 44</f>
        <v/>
      </c>
    </row>
    <row r="139">
      <c r="A139" s="12">
        <f>ROW()-2</f>
        <v/>
      </c>
      <c r="B139" s="13" t="inlineStr">
        <is>
          <t>NGUYỄN XUÂN BÁCH</t>
        </is>
      </c>
      <c r="C139" s="13" t="n">
        <v>251230810</v>
      </c>
      <c r="D139" s="17" t="inlineStr">
        <is>
          <t>Công nghệ thông tin 3 K66</t>
        </is>
      </c>
      <c r="E139" s="17" t="inlineStr">
        <is>
          <t>bach251230810@lms.utc.edu.vn</t>
        </is>
      </c>
      <c r="F139" s="14" t="inlineStr">
        <is>
          <t>0987650139</t>
        </is>
      </c>
      <c r="G139" s="15" t="n">
        <v>2.4</v>
      </c>
      <c r="H139" s="15" t="n">
        <v>3.6</v>
      </c>
      <c r="I139" s="15" t="n">
        <v>1.8</v>
      </c>
      <c r="J139" s="15" t="n">
        <v>0.8</v>
      </c>
      <c r="K139" s="15" t="n">
        <v>3.9</v>
      </c>
      <c r="L139" s="15" t="n">
        <v>2.6</v>
      </c>
      <c r="M139" s="15" t="n">
        <v>2.1</v>
      </c>
      <c r="N139" s="15" t="n">
        <v>2.8</v>
      </c>
      <c r="O139" s="15" t="n">
        <v>3.3</v>
      </c>
      <c r="P139" s="15" t="n">
        <v>2.9</v>
      </c>
      <c r="Q139" s="15" t="n">
        <v>4</v>
      </c>
      <c r="R139" s="15" t="n">
        <v>2.5</v>
      </c>
      <c r="S139" s="15" t="n">
        <v>2.1</v>
      </c>
      <c r="T139" s="16">
        <f>(G139*3 + H139*3 + I139*2 + J139*3 + K139*3 + L139*3 + M139*3 + N139*2 + O139*3 + P139*3 + Q139*3 + R139*3 + S139*10) / 44</f>
        <v/>
      </c>
    </row>
    <row r="140">
      <c r="A140" s="12">
        <f>ROW()-2</f>
        <v/>
      </c>
      <c r="B140" s="13" t="inlineStr">
        <is>
          <t>NGUYỄN DUY CAO</t>
        </is>
      </c>
      <c r="C140" s="13" t="n">
        <v>251210814</v>
      </c>
      <c r="D140" s="17" t="inlineStr">
        <is>
          <t>Công nghệ thông tin 3 K66</t>
        </is>
      </c>
      <c r="E140" s="17" t="inlineStr">
        <is>
          <t>cao251210814@lms.utc.edu.vn</t>
        </is>
      </c>
      <c r="F140" s="14" t="inlineStr">
        <is>
          <t>0987650140</t>
        </is>
      </c>
      <c r="G140" s="15" t="n">
        <v>3.2</v>
      </c>
      <c r="H140" s="15" t="n">
        <v>2.8</v>
      </c>
      <c r="I140" s="15" t="n">
        <v>3.1</v>
      </c>
      <c r="J140" s="15" t="n">
        <v>0.3</v>
      </c>
      <c r="K140" s="15" t="n">
        <v>2.3</v>
      </c>
      <c r="L140" s="15" t="n">
        <v>1.8</v>
      </c>
      <c r="M140" s="15" t="n">
        <v>3.8</v>
      </c>
      <c r="N140" s="15" t="n">
        <v>3.1</v>
      </c>
      <c r="O140" s="15" t="n">
        <v>2</v>
      </c>
      <c r="P140" s="15" t="n">
        <v>3</v>
      </c>
      <c r="Q140" s="15" t="n">
        <v>1.9</v>
      </c>
      <c r="R140" s="15" t="n">
        <v>2</v>
      </c>
      <c r="S140" s="15" t="n">
        <v>2</v>
      </c>
      <c r="T140" s="16">
        <f>(G140*3 + H140*3 + I140*2 + J140*3 + K140*3 + L140*3 + M140*3 + N140*2 + O140*3 + P140*3 + Q140*3 + R140*3 + S140*10) / 44</f>
        <v/>
      </c>
    </row>
    <row r="141">
      <c r="A141" s="12">
        <f>ROW()-2</f>
        <v/>
      </c>
      <c r="B141" s="13" t="inlineStr">
        <is>
          <t>NGUYỄN THÀNH CÔNG</t>
        </is>
      </c>
      <c r="C141" s="13" t="n">
        <v>251230815</v>
      </c>
      <c r="D141" s="17" t="inlineStr">
        <is>
          <t>Công nghệ thông tin 3 K66</t>
        </is>
      </c>
      <c r="E141" s="17" t="inlineStr">
        <is>
          <t>cong251230815@lms.utc.edu.vn</t>
        </is>
      </c>
      <c r="F141" s="14" t="inlineStr">
        <is>
          <t>0987650141</t>
        </is>
      </c>
      <c r="G141" s="15" t="n">
        <v>3.4</v>
      </c>
      <c r="H141" s="15" t="n">
        <v>2.4</v>
      </c>
      <c r="I141" s="15" t="n">
        <v>3.3</v>
      </c>
      <c r="J141" s="15" t="n">
        <v>0.5</v>
      </c>
      <c r="K141" s="15" t="n">
        <v>3.5</v>
      </c>
      <c r="L141" s="15" t="n">
        <v>3.2</v>
      </c>
      <c r="M141" s="15" t="n">
        <v>2.5</v>
      </c>
      <c r="N141" s="15" t="n">
        <v>3.2</v>
      </c>
      <c r="O141" s="15" t="n">
        <v>3.3</v>
      </c>
      <c r="P141" s="15" t="n">
        <v>3.9</v>
      </c>
      <c r="Q141" s="15" t="n">
        <v>3.8</v>
      </c>
      <c r="R141" s="15" t="n">
        <v>1.9</v>
      </c>
      <c r="S141" s="15" t="n">
        <v>2.3</v>
      </c>
      <c r="T141" s="16">
        <f>(G141*3 + H141*3 + I141*2 + J141*3 + K141*3 + L141*3 + M141*3 + N141*2 + O141*3 + P141*3 + Q141*3 + R141*3 + S141*10) / 44</f>
        <v/>
      </c>
    </row>
    <row r="142">
      <c r="A142" s="12">
        <f>ROW()-2</f>
        <v/>
      </c>
      <c r="B142" s="13" t="inlineStr">
        <is>
          <t>VŨ THÀNH CÔNG</t>
        </is>
      </c>
      <c r="C142" s="13" t="n">
        <v>251230816</v>
      </c>
      <c r="D142" s="17" t="inlineStr">
        <is>
          <t>Công nghệ thông tin 3 K66</t>
        </is>
      </c>
      <c r="E142" s="17" t="inlineStr">
        <is>
          <t>cong251230816@lms.utc.edu.vn</t>
        </is>
      </c>
      <c r="F142" s="14" t="inlineStr">
        <is>
          <t>0987650142</t>
        </is>
      </c>
      <c r="G142" s="15" t="n">
        <v>3.7</v>
      </c>
      <c r="H142" s="15" t="n">
        <v>3.1</v>
      </c>
      <c r="I142" s="15" t="n">
        <v>2.7</v>
      </c>
      <c r="J142" s="15" t="n">
        <v>1.5</v>
      </c>
      <c r="K142" s="15" t="n">
        <v>3.5</v>
      </c>
      <c r="L142" s="15" t="n">
        <v>3.4</v>
      </c>
      <c r="M142" s="15" t="n">
        <v>3.6</v>
      </c>
      <c r="N142" s="15" t="n">
        <v>2.2</v>
      </c>
      <c r="O142" s="15" t="n">
        <v>2.5</v>
      </c>
      <c r="P142" s="15" t="n">
        <v>3.4</v>
      </c>
      <c r="Q142" s="15" t="n">
        <v>1.9</v>
      </c>
      <c r="R142" s="15" t="n">
        <v>1.8</v>
      </c>
      <c r="S142" s="15" t="n">
        <v>2</v>
      </c>
      <c r="T142" s="16">
        <f>(G142*3 + H142*3 + I142*2 + J142*3 + K142*3 + L142*3 + M142*3 + N142*2 + O142*3 + P142*3 + Q142*3 + R142*3 + S142*10) / 44</f>
        <v/>
      </c>
    </row>
    <row r="143">
      <c r="A143" s="12">
        <f>ROW()-2</f>
        <v/>
      </c>
      <c r="B143" s="13" t="inlineStr">
        <is>
          <t>BÙI VĂN CƯỜNG</t>
        </is>
      </c>
      <c r="C143" s="13" t="n">
        <v>251230820</v>
      </c>
      <c r="D143" s="17" t="inlineStr">
        <is>
          <t>Công nghệ thông tin 3 K66</t>
        </is>
      </c>
      <c r="E143" s="17" t="inlineStr">
        <is>
          <t>cuong251230820@lms.utc.edu.vn</t>
        </is>
      </c>
      <c r="F143" s="14" t="inlineStr">
        <is>
          <t>0987650143</t>
        </is>
      </c>
      <c r="G143" s="15" t="n">
        <v>3.3</v>
      </c>
      <c r="H143" s="15" t="n">
        <v>2.8</v>
      </c>
      <c r="I143" s="15" t="n">
        <v>3.5</v>
      </c>
      <c r="J143" s="15" t="n">
        <v>0.4</v>
      </c>
      <c r="K143" s="15" t="n">
        <v>3.5</v>
      </c>
      <c r="L143" s="15" t="n">
        <v>2.2</v>
      </c>
      <c r="M143" s="15" t="n">
        <v>1.9</v>
      </c>
      <c r="N143" s="15" t="n">
        <v>2</v>
      </c>
      <c r="O143" s="15" t="n">
        <v>2.7</v>
      </c>
      <c r="P143" s="15" t="n">
        <v>2.6</v>
      </c>
      <c r="Q143" s="15" t="n">
        <v>1.9</v>
      </c>
      <c r="R143" s="15" t="n">
        <v>1.9</v>
      </c>
      <c r="S143" s="15" t="n">
        <v>1.9</v>
      </c>
      <c r="T143" s="16">
        <f>(G143*3 + H143*3 + I143*2 + J143*3 + K143*3 + L143*3 + M143*3 + N143*2 + O143*3 + P143*3 + Q143*3 + R143*3 + S143*10) / 44</f>
        <v/>
      </c>
    </row>
    <row r="144">
      <c r="A144" s="12">
        <f>ROW()-2</f>
        <v/>
      </c>
      <c r="B144" s="13" t="inlineStr">
        <is>
          <t>NGUYỄN THÁI DOANH</t>
        </is>
      </c>
      <c r="C144" s="13" t="n">
        <v>251230823</v>
      </c>
      <c r="D144" s="17" t="inlineStr">
        <is>
          <t>Công nghệ thông tin 3 K66</t>
        </is>
      </c>
      <c r="E144" s="17" t="inlineStr">
        <is>
          <t>doanh251230823@lms.utc.edu.vn</t>
        </is>
      </c>
      <c r="F144" s="14" t="inlineStr">
        <is>
          <t>0987650144</t>
        </is>
      </c>
      <c r="G144" s="15" t="n">
        <v>2.1</v>
      </c>
      <c r="H144" s="15" t="n">
        <v>2.3</v>
      </c>
      <c r="I144" s="15" t="n">
        <v>2.5</v>
      </c>
      <c r="J144" s="15" t="n">
        <v>1.8</v>
      </c>
      <c r="K144" s="15" t="n">
        <v>3.5</v>
      </c>
      <c r="L144" s="15" t="n">
        <v>2</v>
      </c>
      <c r="M144" s="15" t="n">
        <v>2.4</v>
      </c>
      <c r="N144" s="15" t="n">
        <v>3.3</v>
      </c>
      <c r="O144" s="15" t="n">
        <v>4</v>
      </c>
      <c r="P144" s="15" t="n">
        <v>1.9</v>
      </c>
      <c r="Q144" s="15" t="n">
        <v>2</v>
      </c>
      <c r="R144" s="15" t="n">
        <v>2.5</v>
      </c>
      <c r="S144" s="15" t="n">
        <v>2</v>
      </c>
      <c r="T144" s="16">
        <f>(G144*3 + H144*3 + I144*2 + J144*3 + K144*3 + L144*3 + M144*3 + N144*2 + O144*3 + P144*3 + Q144*3 + R144*3 + S144*10) / 44</f>
        <v/>
      </c>
    </row>
    <row r="145">
      <c r="A145" s="12">
        <f>ROW()-2</f>
        <v/>
      </c>
      <c r="B145" s="13" t="inlineStr">
        <is>
          <t>ĐINH VĂN PHAN DŨNG</t>
        </is>
      </c>
      <c r="C145" s="13" t="n">
        <v>251230826</v>
      </c>
      <c r="D145" s="17" t="inlineStr">
        <is>
          <t>Công nghệ thông tin 3 K66</t>
        </is>
      </c>
      <c r="E145" s="17" t="inlineStr">
        <is>
          <t>dung251230826@lms.utc.edu.vn</t>
        </is>
      </c>
      <c r="F145" s="14" t="inlineStr">
        <is>
          <t>0987650145</t>
        </is>
      </c>
      <c r="G145" s="15" t="n">
        <v>1.9</v>
      </c>
      <c r="H145" s="15" t="n">
        <v>2.9</v>
      </c>
      <c r="I145" s="15" t="n">
        <v>2</v>
      </c>
      <c r="J145" s="15" t="n">
        <v>2.8</v>
      </c>
      <c r="K145" s="15" t="n">
        <v>1.8</v>
      </c>
      <c r="L145" s="15" t="n">
        <v>2.9</v>
      </c>
      <c r="M145" s="15" t="n">
        <v>2.7</v>
      </c>
      <c r="N145" s="15" t="n">
        <v>2.2</v>
      </c>
      <c r="O145" s="15" t="n">
        <v>4</v>
      </c>
      <c r="P145" s="15" t="n">
        <v>3.6</v>
      </c>
      <c r="Q145" s="15" t="n">
        <v>3.3</v>
      </c>
      <c r="R145" s="15" t="n">
        <v>2.8</v>
      </c>
      <c r="S145" s="15" t="n">
        <v>2.2</v>
      </c>
      <c r="T145" s="16">
        <f>(G145*3 + H145*3 + I145*2 + J145*3 + K145*3 + L145*3 + M145*3 + N145*2 + O145*3 + P145*3 + Q145*3 + R145*3 + S145*10) / 44</f>
        <v/>
      </c>
    </row>
    <row r="146">
      <c r="A146" s="12">
        <f>ROW()-2</f>
        <v/>
      </c>
      <c r="B146" s="13" t="inlineStr">
        <is>
          <t>MAI PHƯƠNG DUNG</t>
        </is>
      </c>
      <c r="C146" s="13" t="n">
        <v>251230824</v>
      </c>
      <c r="D146" s="17" t="inlineStr">
        <is>
          <t>Công nghệ thông tin 3 K66</t>
        </is>
      </c>
      <c r="E146" s="17" t="inlineStr">
        <is>
          <t>dung251230824@lms.utc.edu.vn</t>
        </is>
      </c>
      <c r="F146" s="14" t="inlineStr">
        <is>
          <t>0987650146</t>
        </is>
      </c>
      <c r="G146" s="15" t="n">
        <v>3.7</v>
      </c>
      <c r="H146" s="15" t="n">
        <v>1.9</v>
      </c>
      <c r="I146" s="15" t="n">
        <v>2.7</v>
      </c>
      <c r="J146" s="15" t="n">
        <v>2.2</v>
      </c>
      <c r="K146" s="15" t="n">
        <v>3.2</v>
      </c>
      <c r="L146" s="15" t="n">
        <v>1.8</v>
      </c>
      <c r="M146" s="15" t="n">
        <v>3.6</v>
      </c>
      <c r="N146" s="15" t="n">
        <v>3.4</v>
      </c>
      <c r="O146" s="15" t="n">
        <v>2.6</v>
      </c>
      <c r="P146" s="15" t="n">
        <v>2</v>
      </c>
      <c r="Q146" s="15" t="n">
        <v>1.9</v>
      </c>
      <c r="R146" s="15" t="n">
        <v>2.1</v>
      </c>
      <c r="S146" s="15" t="n">
        <v>2.4</v>
      </c>
      <c r="T146" s="16">
        <f>(G146*3 + H146*3 + I146*2 + J146*3 + K146*3 + L146*3 + M146*3 + N146*2 + O146*3 + P146*3 + Q146*3 + R146*3 + S146*10) / 44</f>
        <v/>
      </c>
    </row>
    <row r="147">
      <c r="A147" s="12">
        <f>ROW()-2</f>
        <v/>
      </c>
      <c r="B147" s="13" t="inlineStr">
        <is>
          <t>NGUYỄN THỊ THÙY DƯƠNG</t>
        </is>
      </c>
      <c r="C147" s="13" t="n">
        <v>251230832</v>
      </c>
      <c r="D147" s="17" t="inlineStr">
        <is>
          <t>Công nghệ thông tin 3 K66</t>
        </is>
      </c>
      <c r="E147" s="17" t="inlineStr">
        <is>
          <t>duong251230832@lms.utc.edu.vn</t>
        </is>
      </c>
      <c r="F147" s="14" t="inlineStr">
        <is>
          <t>0987650147</t>
        </is>
      </c>
      <c r="G147" s="15" t="n">
        <v>4</v>
      </c>
      <c r="H147" s="15" t="n">
        <v>2.1</v>
      </c>
      <c r="I147" s="15" t="n">
        <v>3.2</v>
      </c>
      <c r="J147" s="15" t="n">
        <v>2.4</v>
      </c>
      <c r="K147" s="15" t="n">
        <v>2.2</v>
      </c>
      <c r="L147" s="15" t="n">
        <v>3.8</v>
      </c>
      <c r="M147" s="15" t="n">
        <v>2</v>
      </c>
      <c r="N147" s="15" t="n">
        <v>3.4</v>
      </c>
      <c r="O147" s="15" t="n">
        <v>3.7</v>
      </c>
      <c r="P147" s="15" t="n">
        <v>2.9</v>
      </c>
      <c r="Q147" s="15" t="n">
        <v>3.6</v>
      </c>
      <c r="R147" s="15" t="n">
        <v>2.1</v>
      </c>
      <c r="S147" s="15" t="n">
        <v>3.6</v>
      </c>
      <c r="T147" s="16">
        <f>(G147*3 + H147*3 + I147*2 + J147*3 + K147*3 + L147*3 + M147*3 + N147*2 + O147*3 + P147*3 + Q147*3 + R147*3 + S147*10) / 44</f>
        <v/>
      </c>
    </row>
    <row r="148">
      <c r="A148" s="12">
        <f>ROW()-2</f>
        <v/>
      </c>
      <c r="B148" s="13" t="inlineStr">
        <is>
          <t>TRƯƠNG MẠNH ĐẠT</t>
        </is>
      </c>
      <c r="C148" s="13" t="n">
        <v>251230841</v>
      </c>
      <c r="D148" s="17" t="inlineStr">
        <is>
          <t>Công nghệ thông tin 3 K66</t>
        </is>
      </c>
      <c r="E148" s="17" t="inlineStr">
        <is>
          <t>dat251230841@lms.utc.edu.vn</t>
        </is>
      </c>
      <c r="F148" s="14" t="inlineStr">
        <is>
          <t>0987650148</t>
        </is>
      </c>
      <c r="G148" s="15" t="n">
        <v>3.1</v>
      </c>
      <c r="H148" s="15" t="n">
        <v>2</v>
      </c>
      <c r="I148" s="15" t="n">
        <v>3.2</v>
      </c>
      <c r="J148" s="15" t="n">
        <v>1.6</v>
      </c>
      <c r="K148" s="15" t="n">
        <v>3.5</v>
      </c>
      <c r="L148" s="15" t="n">
        <v>2.2</v>
      </c>
      <c r="M148" s="15" t="n">
        <v>2</v>
      </c>
      <c r="N148" s="15" t="n">
        <v>1.8</v>
      </c>
      <c r="O148" s="15" t="n">
        <v>3.7</v>
      </c>
      <c r="P148" s="15" t="n">
        <v>2.9</v>
      </c>
      <c r="Q148" s="15" t="n">
        <v>3</v>
      </c>
      <c r="R148" s="15" t="n">
        <v>2.7</v>
      </c>
      <c r="S148" s="15" t="n">
        <v>3.1</v>
      </c>
      <c r="T148" s="16">
        <f>(G148*3 + H148*3 + I148*2 + J148*3 + K148*3 + L148*3 + M148*3 + N148*2 + O148*3 + P148*3 + Q148*3 + R148*3 + S148*10) / 44</f>
        <v/>
      </c>
    </row>
    <row r="149">
      <c r="A149" s="12">
        <f>ROW()-2</f>
        <v/>
      </c>
      <c r="B149" s="13" t="inlineStr">
        <is>
          <t>TRẦN XUÂN ĐÔ</t>
        </is>
      </c>
      <c r="C149" s="13" t="n">
        <v>251230843</v>
      </c>
      <c r="D149" s="17" t="inlineStr">
        <is>
          <t>Công nghệ thông tin 3 K66</t>
        </is>
      </c>
      <c r="E149" s="17" t="inlineStr">
        <is>
          <t>do251230843@lms.utc.edu.vn</t>
        </is>
      </c>
      <c r="F149" s="14" t="inlineStr">
        <is>
          <t>0987650149</t>
        </is>
      </c>
      <c r="G149" s="15" t="n">
        <v>2.1</v>
      </c>
      <c r="H149" s="15" t="n">
        <v>2.3</v>
      </c>
      <c r="I149" s="15" t="n">
        <v>3</v>
      </c>
      <c r="J149" s="15" t="n">
        <v>3.9</v>
      </c>
      <c r="K149" s="15" t="n">
        <v>3</v>
      </c>
      <c r="L149" s="15" t="n">
        <v>3.4</v>
      </c>
      <c r="M149" s="15" t="n">
        <v>3.8</v>
      </c>
      <c r="N149" s="15" t="n">
        <v>3</v>
      </c>
      <c r="O149" s="15" t="n">
        <v>3.5</v>
      </c>
      <c r="P149" s="15" t="n">
        <v>2.4</v>
      </c>
      <c r="Q149" s="15" t="n">
        <v>2.6</v>
      </c>
      <c r="R149" s="15" t="n">
        <v>3.4</v>
      </c>
      <c r="S149" s="15" t="n">
        <v>1.8</v>
      </c>
      <c r="T149" s="16">
        <f>(G149*3 + H149*3 + I149*2 + J149*3 + K149*3 + L149*3 + M149*3 + N149*2 + O149*3 + P149*3 + Q149*3 + R149*3 + S149*10) / 44</f>
        <v/>
      </c>
    </row>
    <row r="150">
      <c r="A150" s="12">
        <f>ROW()-2</f>
        <v/>
      </c>
      <c r="B150" s="13" t="inlineStr">
        <is>
          <t>MAI MINH ĐỨC</t>
        </is>
      </c>
      <c r="C150" s="13" t="n">
        <v>251230846</v>
      </c>
      <c r="D150" s="17" t="inlineStr">
        <is>
          <t>Công nghệ thông tin 3 K66</t>
        </is>
      </c>
      <c r="E150" s="17" t="inlineStr">
        <is>
          <t>duc251230846@lms.utc.edu.vn</t>
        </is>
      </c>
      <c r="F150" s="14" t="inlineStr">
        <is>
          <t>0987650150</t>
        </is>
      </c>
      <c r="G150" s="15" t="n">
        <v>3.7</v>
      </c>
      <c r="H150" s="15" t="n">
        <v>3.9</v>
      </c>
      <c r="I150" s="15" t="n">
        <v>3</v>
      </c>
      <c r="J150" s="15" t="n">
        <v>3.9</v>
      </c>
      <c r="K150" s="15" t="n">
        <v>4</v>
      </c>
      <c r="L150" s="15" t="n">
        <v>3.9</v>
      </c>
      <c r="M150" s="15" t="n">
        <v>2.2</v>
      </c>
      <c r="N150" s="15" t="n">
        <v>2.3</v>
      </c>
      <c r="O150" s="15" t="n">
        <v>2.5</v>
      </c>
      <c r="P150" s="15" t="n">
        <v>2.5</v>
      </c>
      <c r="Q150" s="15" t="n">
        <v>3</v>
      </c>
      <c r="R150" s="15" t="n">
        <v>4</v>
      </c>
      <c r="S150" s="15" t="n">
        <v>3.1</v>
      </c>
      <c r="T150" s="16">
        <f>(G150*3 + H150*3 + I150*2 + J150*3 + K150*3 + L150*3 + M150*3 + N150*2 + O150*3 + P150*3 + Q150*3 + R150*3 + S150*10) / 44</f>
        <v/>
      </c>
    </row>
    <row r="151">
      <c r="A151" s="12">
        <f>ROW()-2</f>
        <v/>
      </c>
      <c r="B151" s="13" t="inlineStr">
        <is>
          <t>MAI TIẾN ĐỨC</t>
        </is>
      </c>
      <c r="C151" s="13" t="n">
        <v>251230847</v>
      </c>
      <c r="D151" s="17" t="inlineStr">
        <is>
          <t>Công nghệ thông tin 3 K66</t>
        </is>
      </c>
      <c r="E151" s="17" t="inlineStr">
        <is>
          <t>duc251230847@lms.utc.edu.vn</t>
        </is>
      </c>
      <c r="F151" s="14" t="inlineStr">
        <is>
          <t>0987650151</t>
        </is>
      </c>
      <c r="G151" s="15" t="n">
        <v>3.7</v>
      </c>
      <c r="H151" s="15" t="n">
        <v>2.2</v>
      </c>
      <c r="I151" s="15" t="n">
        <v>3</v>
      </c>
      <c r="J151" s="15" t="n">
        <v>1.3</v>
      </c>
      <c r="K151" s="15" t="n">
        <v>3.9</v>
      </c>
      <c r="L151" s="15" t="n">
        <v>3.8</v>
      </c>
      <c r="M151" s="15" t="n">
        <v>2</v>
      </c>
      <c r="N151" s="15" t="n">
        <v>3.9</v>
      </c>
      <c r="O151" s="15" t="n">
        <v>2.7</v>
      </c>
      <c r="P151" s="15" t="n">
        <v>2.4</v>
      </c>
      <c r="Q151" s="15" t="n">
        <v>4</v>
      </c>
      <c r="R151" s="15" t="n">
        <v>3.7</v>
      </c>
      <c r="S151" s="15" t="n">
        <v>3.4</v>
      </c>
      <c r="T151" s="16">
        <f>(G151*3 + H151*3 + I151*2 + J151*3 + K151*3 + L151*3 + M151*3 + N151*2 + O151*3 + P151*3 + Q151*3 + R151*3 + S151*10) / 44</f>
        <v/>
      </c>
    </row>
    <row r="152">
      <c r="A152" s="12">
        <f>ROW()-2</f>
        <v/>
      </c>
      <c r="B152" s="13" t="inlineStr">
        <is>
          <t>TRẦN PHẠM TRUNG ĐỨC</t>
        </is>
      </c>
      <c r="C152" s="13" t="n">
        <v>251230850</v>
      </c>
      <c r="D152" s="17" t="inlineStr">
        <is>
          <t>Công nghệ thông tin 3 K66</t>
        </is>
      </c>
      <c r="E152" s="17" t="inlineStr">
        <is>
          <t>duc251230850@lms.utc.edu.vn</t>
        </is>
      </c>
      <c r="F152" s="14" t="inlineStr">
        <is>
          <t>0987650152</t>
        </is>
      </c>
      <c r="G152" s="15" t="n">
        <v>2.6</v>
      </c>
      <c r="H152" s="15" t="n">
        <v>3.2</v>
      </c>
      <c r="I152" s="15" t="n">
        <v>2.9</v>
      </c>
      <c r="J152" s="15" t="n">
        <v>2.1</v>
      </c>
      <c r="K152" s="15" t="n">
        <v>3.6</v>
      </c>
      <c r="L152" s="15" t="n">
        <v>3.8</v>
      </c>
      <c r="M152" s="15" t="n">
        <v>1.9</v>
      </c>
      <c r="N152" s="15" t="n">
        <v>2.1</v>
      </c>
      <c r="O152" s="15" t="n">
        <v>3.6</v>
      </c>
      <c r="P152" s="15" t="n">
        <v>1.8</v>
      </c>
      <c r="Q152" s="15" t="n">
        <v>2</v>
      </c>
      <c r="R152" s="15" t="n">
        <v>1.9</v>
      </c>
      <c r="S152" s="15" t="n">
        <v>3.5</v>
      </c>
      <c r="T152" s="16">
        <f>(G152*3 + H152*3 + I152*2 + J152*3 + K152*3 + L152*3 + M152*3 + N152*2 + O152*3 + P152*3 + Q152*3 + R152*3 + S152*10) / 44</f>
        <v/>
      </c>
    </row>
    <row r="153">
      <c r="A153" s="12">
        <f>ROW()-2</f>
        <v/>
      </c>
      <c r="B153" s="13" t="inlineStr">
        <is>
          <t>NGUYỄN THANH HÀ</t>
        </is>
      </c>
      <c r="C153" s="13" t="n">
        <v>251210851</v>
      </c>
      <c r="D153" s="17" t="inlineStr">
        <is>
          <t>Công nghệ thông tin 3 K66</t>
        </is>
      </c>
      <c r="E153" s="17" t="inlineStr">
        <is>
          <t>ha251210851@lms.utc.edu.vn</t>
        </is>
      </c>
      <c r="F153" s="14" t="inlineStr">
        <is>
          <t>0987650153</t>
        </is>
      </c>
      <c r="G153" s="15" t="n">
        <v>2.8</v>
      </c>
      <c r="H153" s="15" t="n">
        <v>2</v>
      </c>
      <c r="I153" s="15" t="n">
        <v>4</v>
      </c>
      <c r="J153" s="15" t="n">
        <v>1.1</v>
      </c>
      <c r="K153" s="15" t="n">
        <v>2.9</v>
      </c>
      <c r="L153" s="15" t="n">
        <v>3.6</v>
      </c>
      <c r="M153" s="15" t="n">
        <v>2.2</v>
      </c>
      <c r="N153" s="15" t="n">
        <v>2.3</v>
      </c>
      <c r="O153" s="15" t="n">
        <v>3.8</v>
      </c>
      <c r="P153" s="15" t="n">
        <v>3.2</v>
      </c>
      <c r="Q153" s="15" t="n">
        <v>1.9</v>
      </c>
      <c r="R153" s="15" t="n">
        <v>2.1</v>
      </c>
      <c r="S153" s="15" t="n">
        <v>1.9</v>
      </c>
      <c r="T153" s="16">
        <f>(G153*3 + H153*3 + I153*2 + J153*3 + K153*3 + L153*3 + M153*3 + N153*2 + O153*3 + P153*3 + Q153*3 + R153*3 + S153*10) / 44</f>
        <v/>
      </c>
    </row>
    <row r="154">
      <c r="A154" s="12">
        <f>ROW()-2</f>
        <v/>
      </c>
      <c r="B154" s="13" t="inlineStr">
        <is>
          <t>NGUYỄN PHƯƠNG HẢI</t>
        </is>
      </c>
      <c r="C154" s="13" t="n">
        <v>251210853</v>
      </c>
      <c r="D154" s="17" t="inlineStr">
        <is>
          <t>Công nghệ thông tin 3 K66</t>
        </is>
      </c>
      <c r="E154" s="17" t="inlineStr">
        <is>
          <t>hai251210853@lms.utc.edu.vn</t>
        </is>
      </c>
      <c r="F154" s="14" t="inlineStr">
        <is>
          <t>0987650154</t>
        </is>
      </c>
      <c r="G154" s="15" t="n">
        <v>2.9</v>
      </c>
      <c r="H154" s="15" t="n">
        <v>3.6</v>
      </c>
      <c r="I154" s="15" t="n">
        <v>2.4</v>
      </c>
      <c r="J154" s="15" t="n">
        <v>3.2</v>
      </c>
      <c r="K154" s="15" t="n">
        <v>3.2</v>
      </c>
      <c r="L154" s="15" t="n">
        <v>2.8</v>
      </c>
      <c r="M154" s="15" t="n">
        <v>3.3</v>
      </c>
      <c r="N154" s="15" t="n">
        <v>1.9</v>
      </c>
      <c r="O154" s="15" t="n">
        <v>2.5</v>
      </c>
      <c r="P154" s="15" t="n">
        <v>3.5</v>
      </c>
      <c r="Q154" s="15" t="n">
        <v>2.1</v>
      </c>
      <c r="R154" s="15" t="n">
        <v>1.8</v>
      </c>
      <c r="S154" s="15" t="n">
        <v>3.1</v>
      </c>
      <c r="T154" s="16">
        <f>(G154*3 + H154*3 + I154*2 + J154*3 + K154*3 + L154*3 + M154*3 + N154*2 + O154*3 + P154*3 + Q154*3 + R154*3 + S154*10) / 44</f>
        <v/>
      </c>
    </row>
    <row r="155">
      <c r="A155" s="12">
        <f>ROW()-2</f>
        <v/>
      </c>
      <c r="B155" s="13" t="inlineStr">
        <is>
          <t>TRỊNH MINH HÀO</t>
        </is>
      </c>
      <c r="C155" s="13" t="n">
        <v>251230855</v>
      </c>
      <c r="D155" s="17" t="inlineStr">
        <is>
          <t>Công nghệ thông tin 3 K66</t>
        </is>
      </c>
      <c r="E155" s="17" t="inlineStr">
        <is>
          <t>hao251230855@lms.utc.edu.vn</t>
        </is>
      </c>
      <c r="F155" s="14" t="inlineStr">
        <is>
          <t>0987650155</t>
        </is>
      </c>
      <c r="G155" s="15" t="n">
        <v>2.7</v>
      </c>
      <c r="H155" s="15" t="n">
        <v>2.2</v>
      </c>
      <c r="I155" s="15" t="n">
        <v>3.2</v>
      </c>
      <c r="J155" s="15" t="n">
        <v>1.4</v>
      </c>
      <c r="K155" s="15" t="n">
        <v>2.2</v>
      </c>
      <c r="L155" s="15" t="n">
        <v>3.1</v>
      </c>
      <c r="M155" s="15" t="n">
        <v>2.3</v>
      </c>
      <c r="N155" s="15" t="n">
        <v>2.3</v>
      </c>
      <c r="O155" s="15" t="n">
        <v>3.1</v>
      </c>
      <c r="P155" s="15" t="n">
        <v>3.1</v>
      </c>
      <c r="Q155" s="15" t="n">
        <v>3.6</v>
      </c>
      <c r="R155" s="15" t="n">
        <v>2.5</v>
      </c>
      <c r="S155" s="15" t="n">
        <v>3.2</v>
      </c>
      <c r="T155" s="16">
        <f>(G155*3 + H155*3 + I155*2 + J155*3 + K155*3 + L155*3 + M155*3 + N155*2 + O155*3 + P155*3 + Q155*3 + R155*3 + S155*10) / 44</f>
        <v/>
      </c>
    </row>
    <row r="156">
      <c r="A156" s="12">
        <f>ROW()-2</f>
        <v/>
      </c>
      <c r="B156" s="13" t="inlineStr">
        <is>
          <t>NGÔ KHÁNH HOÀNG</t>
        </is>
      </c>
      <c r="C156" s="13" t="n">
        <v>251210865</v>
      </c>
      <c r="D156" s="17" t="inlineStr">
        <is>
          <t>Công nghệ thông tin 3 K66</t>
        </is>
      </c>
      <c r="E156" s="17" t="inlineStr">
        <is>
          <t>hoang251210865@lms.utc.edu.vn</t>
        </is>
      </c>
      <c r="F156" s="14" t="inlineStr">
        <is>
          <t>0987650156</t>
        </is>
      </c>
      <c r="G156" s="15" t="n">
        <v>3.3</v>
      </c>
      <c r="H156" s="15" t="n">
        <v>3.8</v>
      </c>
      <c r="I156" s="15" t="n">
        <v>2.7</v>
      </c>
      <c r="J156" s="15" t="n">
        <v>1.6</v>
      </c>
      <c r="K156" s="15" t="n">
        <v>3.2</v>
      </c>
      <c r="L156" s="15" t="n">
        <v>3.7</v>
      </c>
      <c r="M156" s="15" t="n">
        <v>3.7</v>
      </c>
      <c r="N156" s="15" t="n">
        <v>1.9</v>
      </c>
      <c r="O156" s="15" t="n">
        <v>3.6</v>
      </c>
      <c r="P156" s="15" t="n">
        <v>3.5</v>
      </c>
      <c r="Q156" s="15" t="n">
        <v>2.9</v>
      </c>
      <c r="R156" s="15" t="n">
        <v>3.3</v>
      </c>
      <c r="S156" s="15" t="n">
        <v>3.8</v>
      </c>
      <c r="T156" s="16">
        <f>(G156*3 + H156*3 + I156*2 + J156*3 + K156*3 + L156*3 + M156*3 + N156*2 + O156*3 + P156*3 + Q156*3 + R156*3 + S156*10) / 44</f>
        <v/>
      </c>
    </row>
    <row r="157">
      <c r="A157" s="12">
        <f>ROW()-2</f>
        <v/>
      </c>
      <c r="B157" s="13" t="inlineStr">
        <is>
          <t>BÙI VIỆT HÙNG</t>
        </is>
      </c>
      <c r="C157" s="13" t="n">
        <v>251210870</v>
      </c>
      <c r="D157" s="17" t="inlineStr">
        <is>
          <t>Công nghệ thông tin 3 K66</t>
        </is>
      </c>
      <c r="E157" s="17" t="inlineStr">
        <is>
          <t>hung251210870@lms.utc.edu.vn</t>
        </is>
      </c>
      <c r="F157" s="14" t="inlineStr">
        <is>
          <t>0987650157</t>
        </is>
      </c>
      <c r="G157" s="15" t="n">
        <v>2.9</v>
      </c>
      <c r="H157" s="15" t="n">
        <v>2.4</v>
      </c>
      <c r="I157" s="15" t="n">
        <v>3.5</v>
      </c>
      <c r="J157" s="15" t="n">
        <v>0.5</v>
      </c>
      <c r="K157" s="15" t="n">
        <v>2.1</v>
      </c>
      <c r="L157" s="15" t="n">
        <v>3.2</v>
      </c>
      <c r="M157" s="15" t="n">
        <v>3.3</v>
      </c>
      <c r="N157" s="15" t="n">
        <v>3.9</v>
      </c>
      <c r="O157" s="15" t="n">
        <v>2.2</v>
      </c>
      <c r="P157" s="15" t="n">
        <v>2.4</v>
      </c>
      <c r="Q157" s="15" t="n">
        <v>3</v>
      </c>
      <c r="R157" s="15" t="n">
        <v>3.6</v>
      </c>
      <c r="S157" s="15" t="n">
        <v>3.6</v>
      </c>
      <c r="T157" s="16">
        <f>(G157*3 + H157*3 + I157*2 + J157*3 + K157*3 + L157*3 + M157*3 + N157*2 + O157*3 + P157*3 + Q157*3 + R157*3 + S157*10) / 44</f>
        <v/>
      </c>
    </row>
    <row r="158">
      <c r="A158" s="12">
        <f>ROW()-2</f>
        <v/>
      </c>
      <c r="B158" s="13" t="inlineStr">
        <is>
          <t>NGUYỄN HỒNG HƯNG</t>
        </is>
      </c>
      <c r="C158" s="13" t="n">
        <v>251210878</v>
      </c>
      <c r="D158" s="17" t="inlineStr">
        <is>
          <t>Công nghệ thông tin 3 K66</t>
        </is>
      </c>
      <c r="E158" s="17" t="inlineStr">
        <is>
          <t>hung251210878@lms.utc.edu.vn</t>
        </is>
      </c>
      <c r="F158" s="14" t="inlineStr">
        <is>
          <t>0987650158</t>
        </is>
      </c>
      <c r="G158" s="15" t="n">
        <v>2.1</v>
      </c>
      <c r="H158" s="15" t="n">
        <v>2.6</v>
      </c>
      <c r="I158" s="15" t="n">
        <v>3.5</v>
      </c>
      <c r="J158" s="15" t="n">
        <v>0.3</v>
      </c>
      <c r="K158" s="15" t="n">
        <v>2.9</v>
      </c>
      <c r="L158" s="15" t="n">
        <v>3.1</v>
      </c>
      <c r="M158" s="15" t="n">
        <v>3.4</v>
      </c>
      <c r="N158" s="15" t="n">
        <v>2</v>
      </c>
      <c r="O158" s="15" t="n">
        <v>1.9</v>
      </c>
      <c r="P158" s="15" t="n">
        <v>4</v>
      </c>
      <c r="Q158" s="15" t="n">
        <v>1.8</v>
      </c>
      <c r="R158" s="15" t="n">
        <v>3.4</v>
      </c>
      <c r="S158" s="15" t="n">
        <v>2.9</v>
      </c>
      <c r="T158" s="16">
        <f>(G158*3 + H158*3 + I158*2 + J158*3 + K158*3 + L158*3 + M158*3 + N158*2 + O158*3 + P158*3 + Q158*3 + R158*3 + S158*10) / 44</f>
        <v/>
      </c>
    </row>
    <row r="159">
      <c r="A159" s="12">
        <f>ROW()-2</f>
        <v/>
      </c>
      <c r="B159" s="13" t="inlineStr">
        <is>
          <t>NGUYỄN QUANG HƯNG</t>
        </is>
      </c>
      <c r="C159" s="13" t="n">
        <v>251230879</v>
      </c>
      <c r="D159" s="17" t="inlineStr">
        <is>
          <t>Công nghệ thông tin 3 K66</t>
        </is>
      </c>
      <c r="E159" s="17" t="inlineStr">
        <is>
          <t>hung251230879@lms.utc.edu.vn</t>
        </is>
      </c>
      <c r="F159" s="14" t="inlineStr">
        <is>
          <t>0987650159</t>
        </is>
      </c>
      <c r="G159" s="15" t="n">
        <v>2</v>
      </c>
      <c r="H159" s="15" t="n">
        <v>3.2</v>
      </c>
      <c r="I159" s="15" t="n">
        <v>3.9</v>
      </c>
      <c r="J159" s="15" t="n">
        <v>3.9</v>
      </c>
      <c r="K159" s="15" t="n">
        <v>3.2</v>
      </c>
      <c r="L159" s="15" t="n">
        <v>1.8</v>
      </c>
      <c r="M159" s="15" t="n">
        <v>2.1</v>
      </c>
      <c r="N159" s="15" t="n">
        <v>2.6</v>
      </c>
      <c r="O159" s="15" t="n">
        <v>3.6</v>
      </c>
      <c r="P159" s="15" t="n">
        <v>2.4</v>
      </c>
      <c r="Q159" s="15" t="n">
        <v>4</v>
      </c>
      <c r="R159" s="15" t="n">
        <v>3.9</v>
      </c>
      <c r="S159" s="15" t="n">
        <v>3.8</v>
      </c>
      <c r="T159" s="16">
        <f>(G159*3 + H159*3 + I159*2 + J159*3 + K159*3 + L159*3 + M159*3 + N159*2 + O159*3 + P159*3 + Q159*3 + R159*3 + S159*10) / 44</f>
        <v/>
      </c>
    </row>
    <row r="160">
      <c r="A160" s="12">
        <f>ROW()-2</f>
        <v/>
      </c>
      <c r="B160" s="13" t="inlineStr">
        <is>
          <t>PHẠM GIA HƯNG</t>
        </is>
      </c>
      <c r="C160" s="13" t="n">
        <v>251210880</v>
      </c>
      <c r="D160" s="17" t="inlineStr">
        <is>
          <t>Công nghệ thông tin 3 K66</t>
        </is>
      </c>
      <c r="E160" s="17" t="inlineStr">
        <is>
          <t>hung251210880@lms.utc.edu.vn</t>
        </is>
      </c>
      <c r="F160" s="14" t="inlineStr">
        <is>
          <t>0987650160</t>
        </is>
      </c>
      <c r="G160" s="15" t="n">
        <v>2.7</v>
      </c>
      <c r="H160" s="15" t="n">
        <v>3.2</v>
      </c>
      <c r="I160" s="15" t="n">
        <v>2.6</v>
      </c>
      <c r="J160" s="15" t="n">
        <v>2.4</v>
      </c>
      <c r="K160" s="15" t="n">
        <v>2.3</v>
      </c>
      <c r="L160" s="15" t="n">
        <v>2.2</v>
      </c>
      <c r="M160" s="15" t="n">
        <v>2.7</v>
      </c>
      <c r="N160" s="15" t="n">
        <v>3.4</v>
      </c>
      <c r="O160" s="15" t="n">
        <v>1.9</v>
      </c>
      <c r="P160" s="15" t="n">
        <v>1.8</v>
      </c>
      <c r="Q160" s="15" t="n">
        <v>2.7</v>
      </c>
      <c r="R160" s="15" t="n">
        <v>3.9</v>
      </c>
      <c r="S160" s="15" t="n">
        <v>2.7</v>
      </c>
      <c r="T160" s="16">
        <f>(G160*3 + H160*3 + I160*2 + J160*3 + K160*3 + L160*3 + M160*3 + N160*2 + O160*3 + P160*3 + Q160*3 + R160*3 + S160*10) / 44</f>
        <v/>
      </c>
    </row>
    <row r="161">
      <c r="A161" s="12">
        <f>ROW()-2</f>
        <v/>
      </c>
      <c r="B161" s="13" t="inlineStr">
        <is>
          <t>LÊ XUÂN HƯỞNG</t>
        </is>
      </c>
      <c r="C161" s="13" t="n">
        <v>251230882</v>
      </c>
      <c r="D161" s="17" t="inlineStr">
        <is>
          <t>Công nghệ thông tin 3 K66</t>
        </is>
      </c>
      <c r="E161" s="17" t="inlineStr">
        <is>
          <t>huong251230882@lms.utc.edu.vn</t>
        </is>
      </c>
      <c r="F161" s="14" t="inlineStr">
        <is>
          <t>0987650161</t>
        </is>
      </c>
      <c r="G161" s="15" t="n">
        <v>3.7</v>
      </c>
      <c r="H161" s="15" t="n">
        <v>3.9</v>
      </c>
      <c r="I161" s="15" t="n">
        <v>2.1</v>
      </c>
      <c r="J161" s="15" t="n">
        <v>3.2</v>
      </c>
      <c r="K161" s="15" t="n">
        <v>3.8</v>
      </c>
      <c r="L161" s="15" t="n">
        <v>2.9</v>
      </c>
      <c r="M161" s="15" t="n">
        <v>2.5</v>
      </c>
      <c r="N161" s="15" t="n">
        <v>3.4</v>
      </c>
      <c r="O161" s="15" t="n">
        <v>3.9</v>
      </c>
      <c r="P161" s="15" t="n">
        <v>2.3</v>
      </c>
      <c r="Q161" s="15" t="n">
        <v>2.3</v>
      </c>
      <c r="R161" s="15" t="n">
        <v>4</v>
      </c>
      <c r="S161" s="15" t="n">
        <v>3.2</v>
      </c>
      <c r="T161" s="16">
        <f>(G161*3 + H161*3 + I161*2 + J161*3 + K161*3 + L161*3 + M161*3 + N161*2 + O161*3 + P161*3 + Q161*3 + R161*3 + S161*10) / 44</f>
        <v/>
      </c>
    </row>
    <row r="162">
      <c r="A162" s="12">
        <f>ROW()-2</f>
        <v/>
      </c>
      <c r="B162" s="13" t="inlineStr">
        <is>
          <t>TRẦN QUỐC HUY</t>
        </is>
      </c>
      <c r="C162" s="13" t="n">
        <v>251210873</v>
      </c>
      <c r="D162" s="17" t="inlineStr">
        <is>
          <t>Công nghệ thông tin 3 K66</t>
        </is>
      </c>
      <c r="E162" s="17" t="inlineStr">
        <is>
          <t>huy251210873@lms.utc.edu.vn</t>
        </is>
      </c>
      <c r="F162" s="14" t="inlineStr">
        <is>
          <t>0987650162</t>
        </is>
      </c>
      <c r="G162" s="15" t="n">
        <v>3.2</v>
      </c>
      <c r="H162" s="15" t="n">
        <v>2</v>
      </c>
      <c r="I162" s="15" t="n">
        <v>1.9</v>
      </c>
      <c r="J162" s="15" t="n">
        <v>0.2</v>
      </c>
      <c r="K162" s="15" t="n">
        <v>4</v>
      </c>
      <c r="L162" s="15" t="n">
        <v>3</v>
      </c>
      <c r="M162" s="15" t="n">
        <v>2</v>
      </c>
      <c r="N162" s="15" t="n">
        <v>3.2</v>
      </c>
      <c r="O162" s="15" t="n">
        <v>2</v>
      </c>
      <c r="P162" s="15" t="n">
        <v>2.1</v>
      </c>
      <c r="Q162" s="15" t="n">
        <v>2.9</v>
      </c>
      <c r="R162" s="15" t="n">
        <v>2.7</v>
      </c>
      <c r="S162" s="15" t="n">
        <v>2.4</v>
      </c>
      <c r="T162" s="16">
        <f>(G162*3 + H162*3 + I162*2 + J162*3 + K162*3 + L162*3 + M162*3 + N162*2 + O162*3 + P162*3 + Q162*3 + R162*3 + S162*10) / 44</f>
        <v/>
      </c>
    </row>
    <row r="163">
      <c r="A163" s="12">
        <f>ROW()-2</f>
        <v/>
      </c>
      <c r="B163" s="13" t="inlineStr">
        <is>
          <t>NGUYỄN QUỐC KHÁNH</t>
        </is>
      </c>
      <c r="C163" s="13" t="n">
        <v>251230887</v>
      </c>
      <c r="D163" s="17" t="inlineStr">
        <is>
          <t>Công nghệ thông tin 3 K66</t>
        </is>
      </c>
      <c r="E163" s="17" t="inlineStr">
        <is>
          <t>khanh251230887@lms.utc.edu.vn</t>
        </is>
      </c>
      <c r="F163" s="14" t="inlineStr">
        <is>
          <t>0987650163</t>
        </is>
      </c>
      <c r="G163" s="15" t="n">
        <v>3.1</v>
      </c>
      <c r="H163" s="15" t="n">
        <v>2.5</v>
      </c>
      <c r="I163" s="15" t="n">
        <v>1.9</v>
      </c>
      <c r="J163" s="15" t="n">
        <v>0.8</v>
      </c>
      <c r="K163" s="15" t="n">
        <v>4</v>
      </c>
      <c r="L163" s="15" t="n">
        <v>3.8</v>
      </c>
      <c r="M163" s="15" t="n">
        <v>2.8</v>
      </c>
      <c r="N163" s="15" t="n">
        <v>3.9</v>
      </c>
      <c r="O163" s="15" t="n">
        <v>2.9</v>
      </c>
      <c r="P163" s="15" t="n">
        <v>2.1</v>
      </c>
      <c r="Q163" s="15" t="n">
        <v>2.3</v>
      </c>
      <c r="R163" s="15" t="n">
        <v>2.4</v>
      </c>
      <c r="S163" s="15" t="n">
        <v>3.7</v>
      </c>
      <c r="T163" s="16">
        <f>(G163*3 + H163*3 + I163*2 + J163*3 + K163*3 + L163*3 + M163*3 + N163*2 + O163*3 + P163*3 + Q163*3 + R163*3 + S163*10) / 44</f>
        <v/>
      </c>
    </row>
    <row r="164">
      <c r="A164" s="12">
        <f>ROW()-2</f>
        <v/>
      </c>
      <c r="B164" s="13" t="inlineStr">
        <is>
          <t>PHẠM GIA KHÁNH</t>
        </is>
      </c>
      <c r="C164" s="13" t="n">
        <v>251230890</v>
      </c>
      <c r="D164" s="17" t="inlineStr">
        <is>
          <t>Công nghệ thông tin 3 K66</t>
        </is>
      </c>
      <c r="E164" s="17" t="inlineStr">
        <is>
          <t>khanh251230890@lms.utc.edu.vn</t>
        </is>
      </c>
      <c r="F164" s="14" t="inlineStr">
        <is>
          <t>0987650164</t>
        </is>
      </c>
      <c r="G164" s="15" t="n">
        <v>2.9</v>
      </c>
      <c r="H164" s="15" t="n">
        <v>2.1</v>
      </c>
      <c r="I164" s="15" t="n">
        <v>2.3</v>
      </c>
      <c r="J164" s="15" t="n">
        <v>2.2</v>
      </c>
      <c r="K164" s="15" t="n">
        <v>3.1</v>
      </c>
      <c r="L164" s="15" t="n">
        <v>2.2</v>
      </c>
      <c r="M164" s="15" t="n">
        <v>2.2</v>
      </c>
      <c r="N164" s="15" t="n">
        <v>3</v>
      </c>
      <c r="O164" s="15" t="n">
        <v>2.7</v>
      </c>
      <c r="P164" s="15" t="n">
        <v>2.2</v>
      </c>
      <c r="Q164" s="15" t="n">
        <v>3.3</v>
      </c>
      <c r="R164" s="15" t="n">
        <v>3.4</v>
      </c>
      <c r="S164" s="15" t="n">
        <v>2.1</v>
      </c>
      <c r="T164" s="16">
        <f>(G164*3 + H164*3 + I164*2 + J164*3 + K164*3 + L164*3 + M164*3 + N164*2 + O164*3 + P164*3 + Q164*3 + R164*3 + S164*10) / 44</f>
        <v/>
      </c>
    </row>
    <row r="165">
      <c r="A165" s="12">
        <f>ROW()-2</f>
        <v/>
      </c>
      <c r="B165" s="13" t="inlineStr">
        <is>
          <t>NGUYỄN ĐĂNG KHÔI</t>
        </is>
      </c>
      <c r="C165" s="13" t="n">
        <v>251210893</v>
      </c>
      <c r="D165" s="17" t="inlineStr">
        <is>
          <t>Công nghệ thông tin 3 K66</t>
        </is>
      </c>
      <c r="E165" s="17" t="inlineStr">
        <is>
          <t>khoi251210893@lms.utc.edu.vn</t>
        </is>
      </c>
      <c r="F165" s="14" t="inlineStr">
        <is>
          <t>0987650165</t>
        </is>
      </c>
      <c r="G165" s="15" t="n">
        <v>2.7</v>
      </c>
      <c r="H165" s="15" t="n">
        <v>3.8</v>
      </c>
      <c r="I165" s="15" t="n">
        <v>2</v>
      </c>
      <c r="J165" s="15" t="n">
        <v>1.5</v>
      </c>
      <c r="K165" s="15" t="n">
        <v>4</v>
      </c>
      <c r="L165" s="15" t="n">
        <v>3.4</v>
      </c>
      <c r="M165" s="15" t="n">
        <v>2.1</v>
      </c>
      <c r="N165" s="15" t="n">
        <v>2.4</v>
      </c>
      <c r="O165" s="15" t="n">
        <v>4</v>
      </c>
      <c r="P165" s="15" t="n">
        <v>2.7</v>
      </c>
      <c r="Q165" s="15" t="n">
        <v>4</v>
      </c>
      <c r="R165" s="15" t="n">
        <v>3.3</v>
      </c>
      <c r="S165" s="15" t="n">
        <v>3.5</v>
      </c>
      <c r="T165" s="16">
        <f>(G165*3 + H165*3 + I165*2 + J165*3 + K165*3 + L165*3 + M165*3 + N165*2 + O165*3 + P165*3 + Q165*3 + R165*3 + S165*10) / 44</f>
        <v/>
      </c>
    </row>
    <row r="166">
      <c r="A166" s="12">
        <f>ROW()-2</f>
        <v/>
      </c>
      <c r="B166" s="13" t="inlineStr">
        <is>
          <t>NGUYỄN NGỌC NGUYÊN KHÔI</t>
        </is>
      </c>
      <c r="C166" s="13" t="n">
        <v>251230894</v>
      </c>
      <c r="D166" s="17" t="inlineStr">
        <is>
          <t>Công nghệ thông tin 3 K66</t>
        </is>
      </c>
      <c r="E166" s="17" t="inlineStr">
        <is>
          <t>khoi251230894@lms.utc.edu.vn</t>
        </is>
      </c>
      <c r="F166" s="14" t="inlineStr">
        <is>
          <t>0987650166</t>
        </is>
      </c>
      <c r="G166" s="15" t="n">
        <v>4</v>
      </c>
      <c r="H166" s="15" t="n">
        <v>3.4</v>
      </c>
      <c r="I166" s="15" t="n">
        <v>1.9</v>
      </c>
      <c r="J166" s="15" t="n">
        <v>3.1</v>
      </c>
      <c r="K166" s="15" t="n">
        <v>4</v>
      </c>
      <c r="L166" s="15" t="n">
        <v>3</v>
      </c>
      <c r="M166" s="15" t="n">
        <v>3.8</v>
      </c>
      <c r="N166" s="15" t="n">
        <v>3.7</v>
      </c>
      <c r="O166" s="15" t="n">
        <v>2.8</v>
      </c>
      <c r="P166" s="15" t="n">
        <v>1.8</v>
      </c>
      <c r="Q166" s="15" t="n">
        <v>2.9</v>
      </c>
      <c r="R166" s="15" t="n">
        <v>3.7</v>
      </c>
      <c r="S166" s="15" t="n">
        <v>2.9</v>
      </c>
      <c r="T166" s="16">
        <f>(G166*3 + H166*3 + I166*2 + J166*3 + K166*3 + L166*3 + M166*3 + N166*2 + O166*3 + P166*3 + Q166*3 + R166*3 + S166*10) / 44</f>
        <v/>
      </c>
    </row>
    <row r="167">
      <c r="A167" s="12">
        <f>ROW()-2</f>
        <v/>
      </c>
      <c r="B167" s="13" t="inlineStr">
        <is>
          <t>TẠ DUY LINH</t>
        </is>
      </c>
      <c r="C167" s="13" t="n">
        <v>251230903</v>
      </c>
      <c r="D167" s="17" t="inlineStr">
        <is>
          <t>Công nghệ thông tin 3 K66</t>
        </is>
      </c>
      <c r="E167" s="17" t="inlineStr">
        <is>
          <t>linh251230903@lms.utc.edu.vn</t>
        </is>
      </c>
      <c r="F167" s="14" t="inlineStr">
        <is>
          <t>0987650167</t>
        </is>
      </c>
      <c r="G167" s="15" t="n">
        <v>2.5</v>
      </c>
      <c r="H167" s="15" t="n">
        <v>3.8</v>
      </c>
      <c r="I167" s="15" t="n">
        <v>3.3</v>
      </c>
      <c r="J167" s="15" t="n">
        <v>1.2</v>
      </c>
      <c r="K167" s="15" t="n">
        <v>2.4</v>
      </c>
      <c r="L167" s="15" t="n">
        <v>3.3</v>
      </c>
      <c r="M167" s="15" t="n">
        <v>3.7</v>
      </c>
      <c r="N167" s="15" t="n">
        <v>3.1</v>
      </c>
      <c r="O167" s="15" t="n">
        <v>3</v>
      </c>
      <c r="P167" s="15" t="n">
        <v>3.1</v>
      </c>
      <c r="Q167" s="15" t="n">
        <v>2</v>
      </c>
      <c r="R167" s="15" t="n">
        <v>2.9</v>
      </c>
      <c r="S167" s="15" t="n">
        <v>3.6</v>
      </c>
      <c r="T167" s="16">
        <f>(G167*3 + H167*3 + I167*2 + J167*3 + K167*3 + L167*3 + M167*3 + N167*2 + O167*3 + P167*3 + Q167*3 + R167*3 + S167*10) / 44</f>
        <v/>
      </c>
    </row>
    <row r="168">
      <c r="A168" s="12">
        <f>ROW()-2</f>
        <v/>
      </c>
      <c r="B168" s="13" t="inlineStr">
        <is>
          <t>BÙI THIỆN LONG</t>
        </is>
      </c>
      <c r="C168" s="13" t="n">
        <v>251210904</v>
      </c>
      <c r="D168" s="17" t="inlineStr">
        <is>
          <t>Công nghệ thông tin 3 K66</t>
        </is>
      </c>
      <c r="E168" s="17" t="inlineStr">
        <is>
          <t>long251210904@lms.utc.edu.vn</t>
        </is>
      </c>
      <c r="F168" s="14" t="inlineStr">
        <is>
          <t>0987650168</t>
        </is>
      </c>
      <c r="G168" s="15" t="n">
        <v>4</v>
      </c>
      <c r="H168" s="15" t="n">
        <v>2.6</v>
      </c>
      <c r="I168" s="15" t="n">
        <v>3.8</v>
      </c>
      <c r="J168" s="15" t="n">
        <v>0.8</v>
      </c>
      <c r="K168" s="15" t="n">
        <v>2.3</v>
      </c>
      <c r="L168" s="15" t="n">
        <v>3.3</v>
      </c>
      <c r="M168" s="15" t="n">
        <v>2.2</v>
      </c>
      <c r="N168" s="15" t="n">
        <v>2.5</v>
      </c>
      <c r="O168" s="15" t="n">
        <v>2.2</v>
      </c>
      <c r="P168" s="15" t="n">
        <v>4</v>
      </c>
      <c r="Q168" s="15" t="n">
        <v>2.8</v>
      </c>
      <c r="R168" s="15" t="n">
        <v>3.4</v>
      </c>
      <c r="S168" s="15" t="n">
        <v>4</v>
      </c>
      <c r="T168" s="16">
        <f>(G168*3 + H168*3 + I168*2 + J168*3 + K168*3 + L168*3 + M168*3 + N168*2 + O168*3 + P168*3 + Q168*3 + R168*3 + S168*10) / 44</f>
        <v/>
      </c>
    </row>
    <row r="169">
      <c r="A169" s="12">
        <f>ROW()-2</f>
        <v/>
      </c>
      <c r="B169" s="13" t="inlineStr">
        <is>
          <t>CÔNG HOÀNG LONG</t>
        </is>
      </c>
      <c r="C169" s="13" t="n">
        <v>251230905</v>
      </c>
      <c r="D169" s="17" t="inlineStr">
        <is>
          <t>Công nghệ thông tin 3 K66</t>
        </is>
      </c>
      <c r="E169" s="17" t="inlineStr">
        <is>
          <t>long251230905@lms.utc.edu.vn</t>
        </is>
      </c>
      <c r="F169" s="14" t="inlineStr">
        <is>
          <t>0987650169</t>
        </is>
      </c>
      <c r="G169" s="15" t="n">
        <v>3.4</v>
      </c>
      <c r="H169" s="15" t="n">
        <v>1.8</v>
      </c>
      <c r="I169" s="15" t="n">
        <v>3</v>
      </c>
      <c r="J169" s="15" t="n">
        <v>0.5</v>
      </c>
      <c r="K169" s="15" t="n">
        <v>2.1</v>
      </c>
      <c r="L169" s="15" t="n">
        <v>1.9</v>
      </c>
      <c r="M169" s="15" t="n">
        <v>4</v>
      </c>
      <c r="N169" s="15" t="n">
        <v>3.3</v>
      </c>
      <c r="O169" s="15" t="n">
        <v>1.8</v>
      </c>
      <c r="P169" s="15" t="n">
        <v>2.1</v>
      </c>
      <c r="Q169" s="15" t="n">
        <v>2.3</v>
      </c>
      <c r="R169" s="15" t="n">
        <v>3</v>
      </c>
      <c r="S169" s="15" t="n">
        <v>3.1</v>
      </c>
      <c r="T169" s="16">
        <f>(G169*3 + H169*3 + I169*2 + J169*3 + K169*3 + L169*3 + M169*3 + N169*2 + O169*3 + P169*3 + Q169*3 + R169*3 + S169*10) / 44</f>
        <v/>
      </c>
    </row>
    <row r="170">
      <c r="A170" s="12">
        <f>ROW()-2</f>
        <v/>
      </c>
      <c r="B170" s="13" t="inlineStr">
        <is>
          <t>ĐẶNG THÀNH LONG</t>
        </is>
      </c>
      <c r="C170" s="13" t="n">
        <v>251230907</v>
      </c>
      <c r="D170" s="17" t="inlineStr">
        <is>
          <t>Công nghệ thông tin 3 K66</t>
        </is>
      </c>
      <c r="E170" s="17" t="inlineStr">
        <is>
          <t>long251230907@lms.utc.edu.vn</t>
        </is>
      </c>
      <c r="F170" s="14" t="inlineStr">
        <is>
          <t>0987650170</t>
        </is>
      </c>
      <c r="G170" s="15" t="n">
        <v>4</v>
      </c>
      <c r="H170" s="15" t="n">
        <v>3.3</v>
      </c>
      <c r="I170" s="15" t="n">
        <v>3.4</v>
      </c>
      <c r="J170" s="15" t="n">
        <v>3.3</v>
      </c>
      <c r="K170" s="15" t="n">
        <v>2.7</v>
      </c>
      <c r="L170" s="15" t="n">
        <v>3.3</v>
      </c>
      <c r="M170" s="15" t="n">
        <v>3</v>
      </c>
      <c r="N170" s="15" t="n">
        <v>1.8</v>
      </c>
      <c r="O170" s="15" t="n">
        <v>2.8</v>
      </c>
      <c r="P170" s="15" t="n">
        <v>2.9</v>
      </c>
      <c r="Q170" s="15" t="n">
        <v>3.9</v>
      </c>
      <c r="R170" s="15" t="n">
        <v>3.6</v>
      </c>
      <c r="S170" s="15" t="n">
        <v>2.1</v>
      </c>
      <c r="T170" s="16">
        <f>(G170*3 + H170*3 + I170*2 + J170*3 + K170*3 + L170*3 + M170*3 + N170*2 + O170*3 + P170*3 + Q170*3 + R170*3 + S170*10) / 44</f>
        <v/>
      </c>
    </row>
    <row r="171">
      <c r="A171" s="12">
        <f>ROW()-2</f>
        <v/>
      </c>
      <c r="B171" s="13" t="inlineStr">
        <is>
          <t>DƯƠNG DOÃN LƯỢNG</t>
        </is>
      </c>
      <c r="C171" s="13" t="n">
        <v>251230912</v>
      </c>
      <c r="D171" s="17" t="inlineStr">
        <is>
          <t>Công nghệ thông tin 3 K66</t>
        </is>
      </c>
      <c r="E171" s="17" t="inlineStr">
        <is>
          <t>luong251230912@lms.utc.edu.vn</t>
        </is>
      </c>
      <c r="F171" s="14" t="inlineStr">
        <is>
          <t>0987650171</t>
        </is>
      </c>
      <c r="G171" s="15" t="n">
        <v>3.9</v>
      </c>
      <c r="H171" s="15" t="n">
        <v>2.7</v>
      </c>
      <c r="I171" s="15" t="n">
        <v>3.9</v>
      </c>
      <c r="J171" s="15" t="n">
        <v>2.6</v>
      </c>
      <c r="K171" s="15" t="n">
        <v>2.9</v>
      </c>
      <c r="L171" s="15" t="n">
        <v>2.7</v>
      </c>
      <c r="M171" s="15" t="n">
        <v>1.9</v>
      </c>
      <c r="N171" s="15" t="n">
        <v>3.8</v>
      </c>
      <c r="O171" s="15" t="n">
        <v>2.9</v>
      </c>
      <c r="P171" s="15" t="n">
        <v>2.1</v>
      </c>
      <c r="Q171" s="15" t="n">
        <v>2</v>
      </c>
      <c r="R171" s="15" t="n">
        <v>1.8</v>
      </c>
      <c r="S171" s="15" t="n">
        <v>3.2</v>
      </c>
      <c r="T171" s="16">
        <f>(G171*3 + H171*3 + I171*2 + J171*3 + K171*3 + L171*3 + M171*3 + N171*2 + O171*3 + P171*3 + Q171*3 + R171*3 + S171*10) / 44</f>
        <v/>
      </c>
    </row>
    <row r="172">
      <c r="A172" s="12">
        <f>ROW()-2</f>
        <v/>
      </c>
      <c r="B172" s="13" t="inlineStr">
        <is>
          <t>LÊ TIẾN MẠNH</t>
        </is>
      </c>
      <c r="C172" s="13" t="n">
        <v>251230915</v>
      </c>
      <c r="D172" s="17" t="inlineStr">
        <is>
          <t>Công nghệ thông tin 3 K66</t>
        </is>
      </c>
      <c r="E172" s="17" t="inlineStr">
        <is>
          <t>manh251230915@lms.utc.edu.vn</t>
        </is>
      </c>
      <c r="F172" s="14" t="inlineStr">
        <is>
          <t>0987650172</t>
        </is>
      </c>
      <c r="G172" s="15" t="n">
        <v>1.9</v>
      </c>
      <c r="H172" s="15" t="n">
        <v>2.4</v>
      </c>
      <c r="I172" s="15" t="n">
        <v>2.8</v>
      </c>
      <c r="J172" s="15" t="n">
        <v>0.9</v>
      </c>
      <c r="K172" s="15" t="n">
        <v>2.7</v>
      </c>
      <c r="L172" s="15" t="n">
        <v>2.5</v>
      </c>
      <c r="M172" s="15" t="n">
        <v>3</v>
      </c>
      <c r="N172" s="15" t="n">
        <v>3.1</v>
      </c>
      <c r="O172" s="15" t="n">
        <v>3.8</v>
      </c>
      <c r="P172" s="15" t="n">
        <v>1.9</v>
      </c>
      <c r="Q172" s="15" t="n">
        <v>3.1</v>
      </c>
      <c r="R172" s="15" t="n">
        <v>3.6</v>
      </c>
      <c r="S172" s="15" t="n">
        <v>3.7</v>
      </c>
      <c r="T172" s="16">
        <f>(G172*3 + H172*3 + I172*2 + J172*3 + K172*3 + L172*3 + M172*3 + N172*2 + O172*3 + P172*3 + Q172*3 + R172*3 + S172*10) / 44</f>
        <v/>
      </c>
    </row>
    <row r="173">
      <c r="A173" s="12">
        <f>ROW()-2</f>
        <v/>
      </c>
      <c r="B173" s="13" t="inlineStr">
        <is>
          <t>Bùi Nhật Minh</t>
        </is>
      </c>
      <c r="C173" s="13" t="n">
        <v>241230792</v>
      </c>
      <c r="D173" s="17" t="inlineStr">
        <is>
          <t>Công nghệ thông tin 3 K66</t>
        </is>
      </c>
      <c r="E173" s="17" t="inlineStr">
        <is>
          <t>minh241230792@lms.utc.edu.vn</t>
        </is>
      </c>
      <c r="F173" s="14" t="inlineStr">
        <is>
          <t>0987650173</t>
        </is>
      </c>
      <c r="G173" s="15" t="n">
        <v>3</v>
      </c>
      <c r="H173" s="15" t="n">
        <v>3.3</v>
      </c>
      <c r="I173" s="15" t="n">
        <v>2.7</v>
      </c>
      <c r="J173" s="15" t="n">
        <v>0.3</v>
      </c>
      <c r="K173" s="15" t="n">
        <v>3.8</v>
      </c>
      <c r="L173" s="15" t="n">
        <v>3.2</v>
      </c>
      <c r="M173" s="15" t="n">
        <v>2.7</v>
      </c>
      <c r="N173" s="15" t="n">
        <v>3.9</v>
      </c>
      <c r="O173" s="15" t="n">
        <v>3.8</v>
      </c>
      <c r="P173" s="15" t="n">
        <v>3.6</v>
      </c>
      <c r="Q173" s="15" t="n">
        <v>2.2</v>
      </c>
      <c r="R173" s="15" t="n">
        <v>4</v>
      </c>
      <c r="S173" s="15" t="n">
        <v>1.9</v>
      </c>
      <c r="T173" s="16">
        <f>(G173*3 + H173*3 + I173*2 + J173*3 + K173*3 + L173*3 + M173*3 + N173*2 + O173*3 + P173*3 + Q173*3 + R173*3 + S173*10) / 44</f>
        <v/>
      </c>
    </row>
    <row r="174">
      <c r="A174" s="12">
        <f>ROW()-2</f>
        <v/>
      </c>
      <c r="B174" s="13" t="inlineStr">
        <is>
          <t>ĐÀM QUANG MINH</t>
        </is>
      </c>
      <c r="C174" s="13" t="n">
        <v>251210920</v>
      </c>
      <c r="D174" s="17" t="inlineStr">
        <is>
          <t>Công nghệ thông tin 3 K66</t>
        </is>
      </c>
      <c r="E174" s="17" t="inlineStr">
        <is>
          <t>minh251210920@lms.utc.edu.vn</t>
        </is>
      </c>
      <c r="F174" s="14" t="inlineStr">
        <is>
          <t>0987650174</t>
        </is>
      </c>
      <c r="G174" s="15" t="n">
        <v>1.9</v>
      </c>
      <c r="H174" s="15" t="n">
        <v>1.8</v>
      </c>
      <c r="I174" s="15" t="n">
        <v>2.7</v>
      </c>
      <c r="J174" s="15" t="n">
        <v>3.7</v>
      </c>
      <c r="K174" s="15" t="n">
        <v>2.6</v>
      </c>
      <c r="L174" s="15" t="n">
        <v>3.9</v>
      </c>
      <c r="M174" s="15" t="n">
        <v>3.9</v>
      </c>
      <c r="N174" s="15" t="n">
        <v>2.5</v>
      </c>
      <c r="O174" s="15" t="n">
        <v>3</v>
      </c>
      <c r="P174" s="15" t="n">
        <v>3</v>
      </c>
      <c r="Q174" s="15" t="n">
        <v>2.7</v>
      </c>
      <c r="R174" s="15" t="n">
        <v>2.6</v>
      </c>
      <c r="S174" s="15" t="n">
        <v>3.4</v>
      </c>
      <c r="T174" s="16">
        <f>(G174*3 + H174*3 + I174*2 + J174*3 + K174*3 + L174*3 + M174*3 + N174*2 + O174*3 + P174*3 + Q174*3 + R174*3 + S174*10) / 44</f>
        <v/>
      </c>
    </row>
    <row r="175">
      <c r="A175" s="12">
        <f>ROW()-2</f>
        <v/>
      </c>
      <c r="B175" s="13" t="inlineStr">
        <is>
          <t>ĐẶNG ĐÌNH MINH</t>
        </is>
      </c>
      <c r="C175" s="13" t="n">
        <v>251210921</v>
      </c>
      <c r="D175" s="17" t="inlineStr">
        <is>
          <t>Công nghệ thông tin 3 K66</t>
        </is>
      </c>
      <c r="E175" s="17" t="inlineStr">
        <is>
          <t>minh251210921@lms.utc.edu.vn</t>
        </is>
      </c>
      <c r="F175" s="14" t="inlineStr">
        <is>
          <t>0987650175</t>
        </is>
      </c>
      <c r="G175" s="15" t="n">
        <v>2.3</v>
      </c>
      <c r="H175" s="15" t="n">
        <v>3.8</v>
      </c>
      <c r="I175" s="15" t="n">
        <v>3.3</v>
      </c>
      <c r="J175" s="15" t="n">
        <v>0.2</v>
      </c>
      <c r="K175" s="15" t="n">
        <v>2.6</v>
      </c>
      <c r="L175" s="15" t="n">
        <v>3.5</v>
      </c>
      <c r="M175" s="15" t="n">
        <v>1.8</v>
      </c>
      <c r="N175" s="15" t="n">
        <v>4</v>
      </c>
      <c r="O175" s="15" t="n">
        <v>3.9</v>
      </c>
      <c r="P175" s="15" t="n">
        <v>2</v>
      </c>
      <c r="Q175" s="15" t="n">
        <v>2.7</v>
      </c>
      <c r="R175" s="15" t="n">
        <v>1.8</v>
      </c>
      <c r="S175" s="15" t="n">
        <v>3.6</v>
      </c>
      <c r="T175" s="16">
        <f>(G175*3 + H175*3 + I175*2 + J175*3 + K175*3 + L175*3 + M175*3 + N175*2 + O175*3 + P175*3 + Q175*3 + R175*3 + S175*10) / 44</f>
        <v/>
      </c>
    </row>
    <row r="176">
      <c r="A176" s="12">
        <f>ROW()-2</f>
        <v/>
      </c>
      <c r="B176" s="13" t="inlineStr">
        <is>
          <t>HOÀNG VĂN MINH</t>
        </is>
      </c>
      <c r="C176" s="13" t="n">
        <v>251230922</v>
      </c>
      <c r="D176" s="17" t="inlineStr">
        <is>
          <t>Công nghệ thông tin 3 K66</t>
        </is>
      </c>
      <c r="E176" s="17" t="inlineStr">
        <is>
          <t>minh251230922@lms.utc.edu.vn</t>
        </is>
      </c>
      <c r="F176" s="14" t="inlineStr">
        <is>
          <t>0987650176</t>
        </is>
      </c>
      <c r="G176" s="15" t="n">
        <v>2.6</v>
      </c>
      <c r="H176" s="15" t="n">
        <v>2.7</v>
      </c>
      <c r="I176" s="15" t="n">
        <v>2.3</v>
      </c>
      <c r="J176" s="15" t="n">
        <v>1.2</v>
      </c>
      <c r="K176" s="15" t="n">
        <v>3.9</v>
      </c>
      <c r="L176" s="15" t="n">
        <v>2.1</v>
      </c>
      <c r="M176" s="15" t="n">
        <v>4</v>
      </c>
      <c r="N176" s="15" t="n">
        <v>2.7</v>
      </c>
      <c r="O176" s="15" t="n">
        <v>2.6</v>
      </c>
      <c r="P176" s="15" t="n">
        <v>3.1</v>
      </c>
      <c r="Q176" s="15" t="n">
        <v>1.8</v>
      </c>
      <c r="R176" s="15" t="n">
        <v>2.7</v>
      </c>
      <c r="S176" s="15" t="n">
        <v>2.8</v>
      </c>
      <c r="T176" s="16">
        <f>(G176*3 + H176*3 + I176*2 + J176*3 + K176*3 + L176*3 + M176*3 + N176*2 + O176*3 + P176*3 + Q176*3 + R176*3 + S176*10) / 44</f>
        <v/>
      </c>
    </row>
    <row r="177">
      <c r="A177" s="12">
        <f>ROW()-2</f>
        <v/>
      </c>
      <c r="B177" s="13" t="inlineStr">
        <is>
          <t>PHẠM ĐĂNG MINH</t>
        </is>
      </c>
      <c r="C177" s="13" t="n">
        <v>251230923</v>
      </c>
      <c r="D177" s="17" t="inlineStr">
        <is>
          <t>Công nghệ thông tin 3 K66</t>
        </is>
      </c>
      <c r="E177" s="17" t="inlineStr">
        <is>
          <t>minh251230923@lms.utc.edu.vn</t>
        </is>
      </c>
      <c r="F177" s="14" t="inlineStr">
        <is>
          <t>0987650177</t>
        </is>
      </c>
      <c r="G177" s="15" t="n">
        <v>3.2</v>
      </c>
      <c r="H177" s="15" t="n">
        <v>3.7</v>
      </c>
      <c r="I177" s="15" t="n">
        <v>1.8</v>
      </c>
      <c r="J177" s="15" t="n">
        <v>3</v>
      </c>
      <c r="K177" s="15" t="n">
        <v>3.3</v>
      </c>
      <c r="L177" s="15" t="n">
        <v>3.8</v>
      </c>
      <c r="M177" s="15" t="n">
        <v>3.1</v>
      </c>
      <c r="N177" s="15" t="n">
        <v>3.9</v>
      </c>
      <c r="O177" s="15" t="n">
        <v>1.8</v>
      </c>
      <c r="P177" s="15" t="n">
        <v>3.7</v>
      </c>
      <c r="Q177" s="15" t="n">
        <v>3.9</v>
      </c>
      <c r="R177" s="15" t="n">
        <v>3</v>
      </c>
      <c r="S177" s="15" t="n">
        <v>3.3</v>
      </c>
      <c r="T177" s="16">
        <f>(G177*3 + H177*3 + I177*2 + J177*3 + K177*3 + L177*3 + M177*3 + N177*2 + O177*3 + P177*3 + Q177*3 + R177*3 + S177*10) / 44</f>
        <v/>
      </c>
    </row>
    <row r="178">
      <c r="A178" s="12">
        <f>ROW()-2</f>
        <v/>
      </c>
      <c r="B178" s="13" t="inlineStr">
        <is>
          <t>TRẦN VĂN MINH</t>
        </is>
      </c>
      <c r="C178" s="13" t="n">
        <v>251210924</v>
      </c>
      <c r="D178" s="17" t="inlineStr">
        <is>
          <t>Công nghệ thông tin 3 K66</t>
        </is>
      </c>
      <c r="E178" s="17" t="inlineStr">
        <is>
          <t>minh251210924@lms.utc.edu.vn</t>
        </is>
      </c>
      <c r="F178" s="14" t="inlineStr">
        <is>
          <t>0987650178</t>
        </is>
      </c>
      <c r="G178" s="15" t="n">
        <v>1.9</v>
      </c>
      <c r="H178" s="15" t="n">
        <v>1.8</v>
      </c>
      <c r="I178" s="15" t="n">
        <v>3.2</v>
      </c>
      <c r="J178" s="15" t="n">
        <v>2.5</v>
      </c>
      <c r="K178" s="15" t="n">
        <v>3.5</v>
      </c>
      <c r="L178" s="15" t="n">
        <v>3.9</v>
      </c>
      <c r="M178" s="15" t="n">
        <v>2.5</v>
      </c>
      <c r="N178" s="15" t="n">
        <v>3.8</v>
      </c>
      <c r="O178" s="15" t="n">
        <v>3.6</v>
      </c>
      <c r="P178" s="15" t="n">
        <v>2.7</v>
      </c>
      <c r="Q178" s="15" t="n">
        <v>1.9</v>
      </c>
      <c r="R178" s="15" t="n">
        <v>1.8</v>
      </c>
      <c r="S178" s="15" t="n">
        <v>3.3</v>
      </c>
      <c r="T178" s="16">
        <f>(G178*3 + H178*3 + I178*2 + J178*3 + K178*3 + L178*3 + M178*3 + N178*2 + O178*3 + P178*3 + Q178*3 + R178*3 + S178*10) / 44</f>
        <v/>
      </c>
    </row>
    <row r="179">
      <c r="A179" s="12">
        <f>ROW()-2</f>
        <v/>
      </c>
      <c r="B179" s="13" t="inlineStr">
        <is>
          <t>LÊ HỮU NAM</t>
        </is>
      </c>
      <c r="C179" s="13" t="n">
        <v>251230927</v>
      </c>
      <c r="D179" s="17" t="inlineStr">
        <is>
          <t>Công nghệ thông tin 3 K66</t>
        </is>
      </c>
      <c r="E179" s="17" t="inlineStr">
        <is>
          <t>nam251230927@lms.utc.edu.vn</t>
        </is>
      </c>
      <c r="F179" s="14" t="inlineStr">
        <is>
          <t>0987650179</t>
        </is>
      </c>
      <c r="G179" s="15" t="n">
        <v>4</v>
      </c>
      <c r="H179" s="15" t="n">
        <v>2.2</v>
      </c>
      <c r="I179" s="15" t="n">
        <v>2.4</v>
      </c>
      <c r="J179" s="15" t="n">
        <v>3.3</v>
      </c>
      <c r="K179" s="15" t="n">
        <v>2.1</v>
      </c>
      <c r="L179" s="15" t="n">
        <v>2.7</v>
      </c>
      <c r="M179" s="15" t="n">
        <v>2.2</v>
      </c>
      <c r="N179" s="15" t="n">
        <v>1.8</v>
      </c>
      <c r="O179" s="15" t="n">
        <v>2.1</v>
      </c>
      <c r="P179" s="15" t="n">
        <v>2.1</v>
      </c>
      <c r="Q179" s="15" t="n">
        <v>3.6</v>
      </c>
      <c r="R179" s="15" t="n">
        <v>3.4</v>
      </c>
      <c r="S179" s="15" t="n">
        <v>2.7</v>
      </c>
      <c r="T179" s="16">
        <f>(G179*3 + H179*3 + I179*2 + J179*3 + K179*3 + L179*3 + M179*3 + N179*2 + O179*3 + P179*3 + Q179*3 + R179*3 + S179*10) / 44</f>
        <v/>
      </c>
    </row>
    <row r="180">
      <c r="A180" s="12">
        <f>ROW()-2</f>
        <v/>
      </c>
      <c r="B180" s="13" t="inlineStr">
        <is>
          <t>NGUYỄN HỮU NAM</t>
        </is>
      </c>
      <c r="C180" s="13" t="n">
        <v>251230929</v>
      </c>
      <c r="D180" s="17" t="inlineStr">
        <is>
          <t>Công nghệ thông tin 3 K66</t>
        </is>
      </c>
      <c r="E180" s="17" t="inlineStr">
        <is>
          <t>nam251230929@lms.utc.edu.vn</t>
        </is>
      </c>
      <c r="F180" s="14" t="inlineStr">
        <is>
          <t>0987650180</t>
        </is>
      </c>
      <c r="G180" s="15" t="n">
        <v>3</v>
      </c>
      <c r="H180" s="15" t="n">
        <v>2.7</v>
      </c>
      <c r="I180" s="15" t="n">
        <v>3.8</v>
      </c>
      <c r="J180" s="15" t="n">
        <v>2.3</v>
      </c>
      <c r="K180" s="15" t="n">
        <v>2.9</v>
      </c>
      <c r="L180" s="15" t="n">
        <v>4</v>
      </c>
      <c r="M180" s="15" t="n">
        <v>3.3</v>
      </c>
      <c r="N180" s="15" t="n">
        <v>3.6</v>
      </c>
      <c r="O180" s="15" t="n">
        <v>2.6</v>
      </c>
      <c r="P180" s="15" t="n">
        <v>2.5</v>
      </c>
      <c r="Q180" s="15" t="n">
        <v>3.3</v>
      </c>
      <c r="R180" s="15" t="n">
        <v>1.8</v>
      </c>
      <c r="S180" s="15" t="n">
        <v>3.1</v>
      </c>
      <c r="T180" s="16">
        <f>(G180*3 + H180*3 + I180*2 + J180*3 + K180*3 + L180*3 + M180*3 + N180*2 + O180*3 + P180*3 + Q180*3 + R180*3 + S180*10) / 44</f>
        <v/>
      </c>
    </row>
    <row r="181">
      <c r="A181" s="12">
        <f>ROW()-2</f>
        <v/>
      </c>
      <c r="B181" s="13" t="inlineStr">
        <is>
          <t>BÙI TRUNG NGUYÊN</t>
        </is>
      </c>
      <c r="C181" s="13" t="n">
        <v>251230933</v>
      </c>
      <c r="D181" s="17" t="inlineStr">
        <is>
          <t>Công nghệ thông tin 3 K66</t>
        </is>
      </c>
      <c r="E181" s="17" t="inlineStr">
        <is>
          <t>nguyen251230933@lms.utc.edu.vn</t>
        </is>
      </c>
      <c r="F181" s="14" t="inlineStr">
        <is>
          <t>0987650181</t>
        </is>
      </c>
      <c r="G181" s="15" t="n">
        <v>3.7</v>
      </c>
      <c r="H181" s="15" t="n">
        <v>2.4</v>
      </c>
      <c r="I181" s="15" t="n">
        <v>2.8</v>
      </c>
      <c r="J181" s="15" t="n">
        <v>2.4</v>
      </c>
      <c r="K181" s="15" t="n">
        <v>3.3</v>
      </c>
      <c r="L181" s="15" t="n">
        <v>3.7</v>
      </c>
      <c r="M181" s="15" t="n">
        <v>3.8</v>
      </c>
      <c r="N181" s="15" t="n">
        <v>2.2</v>
      </c>
      <c r="O181" s="15" t="n">
        <v>2.1</v>
      </c>
      <c r="P181" s="15" t="n">
        <v>2.5</v>
      </c>
      <c r="Q181" s="15" t="n">
        <v>2.5</v>
      </c>
      <c r="R181" s="15" t="n">
        <v>2.7</v>
      </c>
      <c r="S181" s="15" t="n">
        <v>3</v>
      </c>
      <c r="T181" s="16">
        <f>(G181*3 + H181*3 + I181*2 + J181*3 + K181*3 + L181*3 + M181*3 + N181*2 + O181*3 + P181*3 + Q181*3 + R181*3 + S181*10) / 44</f>
        <v/>
      </c>
    </row>
    <row r="182">
      <c r="A182" s="12">
        <f>ROW()-2</f>
        <v/>
      </c>
      <c r="B182" s="13" t="inlineStr">
        <is>
          <t>NGUYỄN THIỆN NHÂN</t>
        </is>
      </c>
      <c r="C182" s="13" t="n">
        <v>251230935</v>
      </c>
      <c r="D182" s="17" t="inlineStr">
        <is>
          <t>Công nghệ thông tin 3 K66</t>
        </is>
      </c>
      <c r="E182" s="17" t="inlineStr">
        <is>
          <t>nhan251230935@lms.utc.edu.vn</t>
        </is>
      </c>
      <c r="F182" s="14" t="inlineStr">
        <is>
          <t>0987650182</t>
        </is>
      </c>
      <c r="G182" s="15" t="n">
        <v>3</v>
      </c>
      <c r="H182" s="15" t="n">
        <v>3.5</v>
      </c>
      <c r="I182" s="15" t="n">
        <v>3</v>
      </c>
      <c r="J182" s="15" t="n">
        <v>0.9</v>
      </c>
      <c r="K182" s="15" t="n">
        <v>2.1</v>
      </c>
      <c r="L182" s="15" t="n">
        <v>1.8</v>
      </c>
      <c r="M182" s="15" t="n">
        <v>4</v>
      </c>
      <c r="N182" s="15" t="n">
        <v>4</v>
      </c>
      <c r="O182" s="15" t="n">
        <v>2.6</v>
      </c>
      <c r="P182" s="15" t="n">
        <v>3.8</v>
      </c>
      <c r="Q182" s="15" t="n">
        <v>2.4</v>
      </c>
      <c r="R182" s="15" t="n">
        <v>3.7</v>
      </c>
      <c r="S182" s="15" t="n">
        <v>3.1</v>
      </c>
      <c r="T182" s="16">
        <f>(G182*3 + H182*3 + I182*2 + J182*3 + K182*3 + L182*3 + M182*3 + N182*2 + O182*3 + P182*3 + Q182*3 + R182*3 + S182*10) / 44</f>
        <v/>
      </c>
    </row>
    <row r="183">
      <c r="A183" s="12">
        <f>ROW()-2</f>
        <v/>
      </c>
      <c r="B183" s="13" t="inlineStr">
        <is>
          <t>ĐỖ VIỆT NHẬT</t>
        </is>
      </c>
      <c r="C183" s="13" t="n">
        <v>251230936</v>
      </c>
      <c r="D183" s="17" t="inlineStr">
        <is>
          <t>Công nghệ thông tin 3 K66</t>
        </is>
      </c>
      <c r="E183" s="17" t="inlineStr">
        <is>
          <t>nhat251230936@lms.utc.edu.vn</t>
        </is>
      </c>
      <c r="F183" s="14" t="inlineStr">
        <is>
          <t>0987650183</t>
        </is>
      </c>
      <c r="G183" s="15" t="n">
        <v>3.7</v>
      </c>
      <c r="H183" s="15" t="n">
        <v>3.5</v>
      </c>
      <c r="I183" s="15" t="n">
        <v>3.4</v>
      </c>
      <c r="J183" s="15" t="n">
        <v>0.2</v>
      </c>
      <c r="K183" s="15" t="n">
        <v>2.9</v>
      </c>
      <c r="L183" s="15" t="n">
        <v>3.2</v>
      </c>
      <c r="M183" s="15" t="n">
        <v>3.5</v>
      </c>
      <c r="N183" s="15" t="n">
        <v>1.9</v>
      </c>
      <c r="O183" s="15" t="n">
        <v>3.6</v>
      </c>
      <c r="P183" s="15" t="n">
        <v>2.8</v>
      </c>
      <c r="Q183" s="15" t="n">
        <v>3.3</v>
      </c>
      <c r="R183" s="15" t="n">
        <v>2</v>
      </c>
      <c r="S183" s="15" t="n">
        <v>3.2</v>
      </c>
      <c r="T183" s="16">
        <f>(G183*3 + H183*3 + I183*2 + J183*3 + K183*3 + L183*3 + M183*3 + N183*2 + O183*3 + P183*3 + Q183*3 + R183*3 + S183*10) / 44</f>
        <v/>
      </c>
    </row>
    <row r="184">
      <c r="A184" s="12">
        <f>ROW()-2</f>
        <v/>
      </c>
      <c r="B184" s="13" t="inlineStr">
        <is>
          <t>ĐỖ VIẾT PHONG</t>
        </is>
      </c>
      <c r="C184" s="13" t="n">
        <v>251230939</v>
      </c>
      <c r="D184" s="17" t="inlineStr">
        <is>
          <t>Công nghệ thông tin 3 K66</t>
        </is>
      </c>
      <c r="E184" s="17" t="inlineStr">
        <is>
          <t>phong251230939@lms.utc.edu.vn</t>
        </is>
      </c>
      <c r="F184" s="14" t="inlineStr">
        <is>
          <t>0987650184</t>
        </is>
      </c>
      <c r="G184" s="15" t="n">
        <v>3.9</v>
      </c>
      <c r="H184" s="15" t="n">
        <v>3.4</v>
      </c>
      <c r="I184" s="15" t="n">
        <v>3.2</v>
      </c>
      <c r="J184" s="15" t="n">
        <v>3.6</v>
      </c>
      <c r="K184" s="15" t="n">
        <v>3.9</v>
      </c>
      <c r="L184" s="15" t="n">
        <v>2.3</v>
      </c>
      <c r="M184" s="15" t="n">
        <v>2.6</v>
      </c>
      <c r="N184" s="15" t="n">
        <v>3.1</v>
      </c>
      <c r="O184" s="15" t="n">
        <v>2.3</v>
      </c>
      <c r="P184" s="15" t="n">
        <v>2.4</v>
      </c>
      <c r="Q184" s="15" t="n">
        <v>2.7</v>
      </c>
      <c r="R184" s="15" t="n">
        <v>2.9</v>
      </c>
      <c r="S184" s="15" t="n">
        <v>2.5</v>
      </c>
      <c r="T184" s="16">
        <f>(G184*3 + H184*3 + I184*2 + J184*3 + K184*3 + L184*3 + M184*3 + N184*2 + O184*3 + P184*3 + Q184*3 + R184*3 + S184*10) / 44</f>
        <v/>
      </c>
    </row>
    <row r="185">
      <c r="A185" s="12">
        <f>ROW()-2</f>
        <v/>
      </c>
      <c r="B185" s="13" t="inlineStr">
        <is>
          <t>PHAN HỒNG PHÚC</t>
        </is>
      </c>
      <c r="C185" s="13" t="n">
        <v>251210943</v>
      </c>
      <c r="D185" s="17" t="inlineStr">
        <is>
          <t>Công nghệ thông tin 3 K66</t>
        </is>
      </c>
      <c r="E185" s="17" t="inlineStr">
        <is>
          <t>phuc251210943@lms.utc.edu.vn</t>
        </is>
      </c>
      <c r="F185" s="14" t="inlineStr">
        <is>
          <t>0987650185</t>
        </is>
      </c>
      <c r="G185" s="15" t="n">
        <v>3.6</v>
      </c>
      <c r="H185" s="15" t="n">
        <v>3.8</v>
      </c>
      <c r="I185" s="15" t="n">
        <v>2.5</v>
      </c>
      <c r="J185" s="15" t="n">
        <v>0.3</v>
      </c>
      <c r="K185" s="15" t="n">
        <v>3.3</v>
      </c>
      <c r="L185" s="15" t="n">
        <v>1.8</v>
      </c>
      <c r="M185" s="15" t="n">
        <v>1.8</v>
      </c>
      <c r="N185" s="15" t="n">
        <v>3.9</v>
      </c>
      <c r="O185" s="15" t="n">
        <v>3.6</v>
      </c>
      <c r="P185" s="15" t="n">
        <v>3.5</v>
      </c>
      <c r="Q185" s="15" t="n">
        <v>3.4</v>
      </c>
      <c r="R185" s="15" t="n">
        <v>4</v>
      </c>
      <c r="S185" s="15" t="n">
        <v>2.3</v>
      </c>
      <c r="T185" s="16">
        <f>(G185*3 + H185*3 + I185*2 + J185*3 + K185*3 + L185*3 + M185*3 + N185*2 + O185*3 + P185*3 + Q185*3 + R185*3 + S185*10) / 44</f>
        <v/>
      </c>
    </row>
    <row r="186">
      <c r="A186" s="12">
        <f>ROW()-2</f>
        <v/>
      </c>
      <c r="B186" s="13" t="inlineStr">
        <is>
          <t>BÙI THỊ NGỌC PHƯƠNG</t>
        </is>
      </c>
      <c r="C186" s="13" t="n">
        <v>251230944</v>
      </c>
      <c r="D186" s="17" t="inlineStr">
        <is>
          <t>Công nghệ thông tin 3 K66</t>
        </is>
      </c>
      <c r="E186" s="17" t="inlineStr">
        <is>
          <t>phuong251230944@lms.utc.edu.vn</t>
        </is>
      </c>
      <c r="F186" s="14" t="inlineStr">
        <is>
          <t>0987650186</t>
        </is>
      </c>
      <c r="G186" s="15" t="n">
        <v>3.9</v>
      </c>
      <c r="H186" s="15" t="n">
        <v>3.5</v>
      </c>
      <c r="I186" s="15" t="n">
        <v>2.1</v>
      </c>
      <c r="J186" s="15" t="n">
        <v>3.6</v>
      </c>
      <c r="K186" s="15" t="n">
        <v>3.4</v>
      </c>
      <c r="L186" s="15" t="n">
        <v>2.9</v>
      </c>
      <c r="M186" s="15" t="n">
        <v>3</v>
      </c>
      <c r="N186" s="15" t="n">
        <v>2.9</v>
      </c>
      <c r="O186" s="15" t="n">
        <v>2.2</v>
      </c>
      <c r="P186" s="15" t="n">
        <v>2.9</v>
      </c>
      <c r="Q186" s="15" t="n">
        <v>3.5</v>
      </c>
      <c r="R186" s="15" t="n">
        <v>3.6</v>
      </c>
      <c r="S186" s="15" t="n">
        <v>3.2</v>
      </c>
      <c r="T186" s="16">
        <f>(G186*3 + H186*3 + I186*2 + J186*3 + K186*3 + L186*3 + M186*3 + N186*2 + O186*3 + P186*3 + Q186*3 + R186*3 + S186*10) / 44</f>
        <v/>
      </c>
    </row>
    <row r="187">
      <c r="A187" s="12">
        <f>ROW()-2</f>
        <v/>
      </c>
      <c r="B187" s="13" t="inlineStr">
        <is>
          <t>BÙI TUẤN MINH QUÂN</t>
        </is>
      </c>
      <c r="C187" s="13" t="n">
        <v>251230950</v>
      </c>
      <c r="D187" s="17" t="inlineStr">
        <is>
          <t>Công nghệ thông tin 3 K66</t>
        </is>
      </c>
      <c r="E187" s="17" t="inlineStr">
        <is>
          <t>quan251230950@lms.utc.edu.vn</t>
        </is>
      </c>
      <c r="F187" s="14" t="inlineStr">
        <is>
          <t>0987650187</t>
        </is>
      </c>
      <c r="G187" s="15" t="n">
        <v>1.8</v>
      </c>
      <c r="H187" s="15" t="n">
        <v>3.3</v>
      </c>
      <c r="I187" s="15" t="n">
        <v>2.5</v>
      </c>
      <c r="J187" s="15" t="n">
        <v>2.3</v>
      </c>
      <c r="K187" s="15" t="n">
        <v>1.8</v>
      </c>
      <c r="L187" s="15" t="n">
        <v>1.9</v>
      </c>
      <c r="M187" s="15" t="n">
        <v>1.9</v>
      </c>
      <c r="N187" s="15" t="n">
        <v>2.3</v>
      </c>
      <c r="O187" s="15" t="n">
        <v>2.1</v>
      </c>
      <c r="P187" s="15" t="n">
        <v>2.5</v>
      </c>
      <c r="Q187" s="15" t="n">
        <v>2.4</v>
      </c>
      <c r="R187" s="15" t="n">
        <v>3</v>
      </c>
      <c r="S187" s="15" t="n">
        <v>3.3</v>
      </c>
      <c r="T187" s="16">
        <f>(G187*3 + H187*3 + I187*2 + J187*3 + K187*3 + L187*3 + M187*3 + N187*2 + O187*3 + P187*3 + Q187*3 + R187*3 + S187*10) / 44</f>
        <v/>
      </c>
    </row>
    <row r="188">
      <c r="A188" s="12">
        <f>ROW()-2</f>
        <v/>
      </c>
      <c r="B188" s="13" t="inlineStr">
        <is>
          <t>NGUYỄN ĐÌNH SƠN</t>
        </is>
      </c>
      <c r="C188" s="13" t="n">
        <v>251230957</v>
      </c>
      <c r="D188" s="17" t="inlineStr">
        <is>
          <t>Công nghệ thông tin 3 K66</t>
        </is>
      </c>
      <c r="E188" s="17" t="inlineStr">
        <is>
          <t>son251230957@lms.utc.edu.vn</t>
        </is>
      </c>
      <c r="F188" s="14" t="inlineStr">
        <is>
          <t>0987650188</t>
        </is>
      </c>
      <c r="G188" s="15" t="n">
        <v>2.5</v>
      </c>
      <c r="H188" s="15" t="n">
        <v>2.2</v>
      </c>
      <c r="I188" s="15" t="n">
        <v>3.7</v>
      </c>
      <c r="J188" s="15" t="n">
        <v>2.3</v>
      </c>
      <c r="K188" s="15" t="n">
        <v>2</v>
      </c>
      <c r="L188" s="15" t="n">
        <v>3.6</v>
      </c>
      <c r="M188" s="15" t="n">
        <v>2.4</v>
      </c>
      <c r="N188" s="15" t="n">
        <v>1.9</v>
      </c>
      <c r="O188" s="15" t="n">
        <v>2.8</v>
      </c>
      <c r="P188" s="15" t="n">
        <v>2.4</v>
      </c>
      <c r="Q188" s="15" t="n">
        <v>3.3</v>
      </c>
      <c r="R188" s="15" t="n">
        <v>2.7</v>
      </c>
      <c r="S188" s="15" t="n">
        <v>2.4</v>
      </c>
      <c r="T188" s="16">
        <f>(G188*3 + H188*3 + I188*2 + J188*3 + K188*3 + L188*3 + M188*3 + N188*2 + O188*3 + P188*3 + Q188*3 + R188*3 + S188*10) / 44</f>
        <v/>
      </c>
    </row>
    <row r="189">
      <c r="A189" s="12">
        <f>ROW()-2</f>
        <v/>
      </c>
      <c r="B189" s="13" t="inlineStr">
        <is>
          <t>NGUYỄN VĂN SƠN</t>
        </is>
      </c>
      <c r="C189" s="13" t="n">
        <v>251230958</v>
      </c>
      <c r="D189" s="17" t="inlineStr">
        <is>
          <t>Công nghệ thông tin 3 K66</t>
        </is>
      </c>
      <c r="E189" s="17" t="inlineStr">
        <is>
          <t>son251230958@lms.utc.edu.vn</t>
        </is>
      </c>
      <c r="F189" s="14" t="inlineStr">
        <is>
          <t>0987650189</t>
        </is>
      </c>
      <c r="G189" s="15" t="n">
        <v>3.8</v>
      </c>
      <c r="H189" s="15" t="n">
        <v>2.3</v>
      </c>
      <c r="I189" s="15" t="n">
        <v>2</v>
      </c>
      <c r="J189" s="15" t="n">
        <v>1.6</v>
      </c>
      <c r="K189" s="15" t="n">
        <v>2.5</v>
      </c>
      <c r="L189" s="15" t="n">
        <v>3.3</v>
      </c>
      <c r="M189" s="15" t="n">
        <v>3.1</v>
      </c>
      <c r="N189" s="15" t="n">
        <v>2.5</v>
      </c>
      <c r="O189" s="15" t="n">
        <v>2.9</v>
      </c>
      <c r="P189" s="15" t="n">
        <v>4</v>
      </c>
      <c r="Q189" s="15" t="n">
        <v>2.3</v>
      </c>
      <c r="R189" s="15" t="n">
        <v>3.9</v>
      </c>
      <c r="S189" s="15" t="n">
        <v>3.7</v>
      </c>
      <c r="T189" s="16">
        <f>(G189*3 + H189*3 + I189*2 + J189*3 + K189*3 + L189*3 + M189*3 + N189*2 + O189*3 + P189*3 + Q189*3 + R189*3 + S189*10) / 44</f>
        <v/>
      </c>
    </row>
    <row r="190">
      <c r="A190" s="12">
        <f>ROW()-2</f>
        <v/>
      </c>
      <c r="B190" s="13" t="inlineStr">
        <is>
          <t>TRẦN VĂN SỸ</t>
        </is>
      </c>
      <c r="C190" s="13" t="n">
        <v>251230959</v>
      </c>
      <c r="D190" s="17" t="inlineStr">
        <is>
          <t>Công nghệ thông tin 3 K66</t>
        </is>
      </c>
      <c r="E190" s="17" t="inlineStr">
        <is>
          <t>sy251230959@lms.utc.edu.vn</t>
        </is>
      </c>
      <c r="F190" s="14" t="inlineStr">
        <is>
          <t>0987650190</t>
        </is>
      </c>
      <c r="G190" s="15" t="n">
        <v>2.8</v>
      </c>
      <c r="H190" s="15" t="n">
        <v>4</v>
      </c>
      <c r="I190" s="15" t="n">
        <v>3.9</v>
      </c>
      <c r="J190" s="15" t="n">
        <v>0.8</v>
      </c>
      <c r="K190" s="15" t="n">
        <v>3</v>
      </c>
      <c r="L190" s="15" t="n">
        <v>3.9</v>
      </c>
      <c r="M190" s="15" t="n">
        <v>2.2</v>
      </c>
      <c r="N190" s="15" t="n">
        <v>2.1</v>
      </c>
      <c r="O190" s="15" t="n">
        <v>3.9</v>
      </c>
      <c r="P190" s="15" t="n">
        <v>2.4</v>
      </c>
      <c r="Q190" s="15" t="n">
        <v>2</v>
      </c>
      <c r="R190" s="15" t="n">
        <v>2</v>
      </c>
      <c r="S190" s="15" t="n">
        <v>4</v>
      </c>
      <c r="T190" s="16">
        <f>(G190*3 + H190*3 + I190*2 + J190*3 + K190*3 + L190*3 + M190*3 + N190*2 + O190*3 + P190*3 + Q190*3 + R190*3 + S190*10) / 44</f>
        <v/>
      </c>
    </row>
    <row r="191">
      <c r="A191" s="12">
        <f>ROW()-2</f>
        <v/>
      </c>
      <c r="B191" s="13" t="inlineStr">
        <is>
          <t>NGUYỄN VIẾT THÁI</t>
        </is>
      </c>
      <c r="C191" s="13" t="n">
        <v>251230963</v>
      </c>
      <c r="D191" s="17" t="inlineStr">
        <is>
          <t>Công nghệ thông tin 3 K66</t>
        </is>
      </c>
      <c r="E191" s="17" t="inlineStr">
        <is>
          <t>thai251230963@lms.utc.edu.vn</t>
        </is>
      </c>
      <c r="F191" s="14" t="inlineStr">
        <is>
          <t>0987650191</t>
        </is>
      </c>
      <c r="G191" s="15" t="n">
        <v>3.2</v>
      </c>
      <c r="H191" s="15" t="n">
        <v>3.5</v>
      </c>
      <c r="I191" s="15" t="n">
        <v>3.6</v>
      </c>
      <c r="J191" s="15" t="n">
        <v>1</v>
      </c>
      <c r="K191" s="15" t="n">
        <v>3.6</v>
      </c>
      <c r="L191" s="15" t="n">
        <v>3.6</v>
      </c>
      <c r="M191" s="15" t="n">
        <v>3</v>
      </c>
      <c r="N191" s="15" t="n">
        <v>3.3</v>
      </c>
      <c r="O191" s="15" t="n">
        <v>3.4</v>
      </c>
      <c r="P191" s="15" t="n">
        <v>3.2</v>
      </c>
      <c r="Q191" s="15" t="n">
        <v>3.4</v>
      </c>
      <c r="R191" s="15" t="n">
        <v>3.3</v>
      </c>
      <c r="S191" s="15" t="n">
        <v>3.9</v>
      </c>
      <c r="T191" s="16">
        <f>(G191*3 + H191*3 + I191*2 + J191*3 + K191*3 + L191*3 + M191*3 + N191*2 + O191*3 + P191*3 + Q191*3 + R191*3 + S191*10) / 44</f>
        <v/>
      </c>
    </row>
    <row r="192">
      <c r="A192" s="12">
        <f>ROW()-2</f>
        <v/>
      </c>
      <c r="B192" s="13" t="inlineStr">
        <is>
          <t>NGÔ TRẦN HIẾU THĂNG</t>
        </is>
      </c>
      <c r="C192" s="13" t="n">
        <v>251230973</v>
      </c>
      <c r="D192" s="17" t="inlineStr">
        <is>
          <t>Công nghệ thông tin 3 K66</t>
        </is>
      </c>
      <c r="E192" s="17" t="inlineStr">
        <is>
          <t>thang251230973@lms.utc.edu.vn</t>
        </is>
      </c>
      <c r="F192" s="14" t="inlineStr">
        <is>
          <t>0987650192</t>
        </is>
      </c>
      <c r="G192" s="15" t="n">
        <v>2.1</v>
      </c>
      <c r="H192" s="15" t="n">
        <v>3.6</v>
      </c>
      <c r="I192" s="15" t="n">
        <v>3.5</v>
      </c>
      <c r="J192" s="15" t="n">
        <v>2.1</v>
      </c>
      <c r="K192" s="15" t="n">
        <v>3.1</v>
      </c>
      <c r="L192" s="15" t="n">
        <v>2.2</v>
      </c>
      <c r="M192" s="15" t="n">
        <v>4</v>
      </c>
      <c r="N192" s="15" t="n">
        <v>3.5</v>
      </c>
      <c r="O192" s="15" t="n">
        <v>1.8</v>
      </c>
      <c r="P192" s="15" t="n">
        <v>3.7</v>
      </c>
      <c r="Q192" s="15" t="n">
        <v>3.2</v>
      </c>
      <c r="R192" s="15" t="n">
        <v>2</v>
      </c>
      <c r="S192" s="15" t="n">
        <v>1.8</v>
      </c>
      <c r="T192" s="16">
        <f>(G192*3 + H192*3 + I192*2 + J192*3 + K192*3 + L192*3 + M192*3 + N192*2 + O192*3 + P192*3 + Q192*3 + R192*3 + S192*10) / 44</f>
        <v/>
      </c>
    </row>
    <row r="193">
      <c r="A193" s="12">
        <f>ROW()-2</f>
        <v/>
      </c>
      <c r="B193" s="13" t="inlineStr">
        <is>
          <t>PHAN ĐỨC THẮNG</t>
        </is>
      </c>
      <c r="C193" s="13" t="n">
        <v>251230974</v>
      </c>
      <c r="D193" s="17" t="inlineStr">
        <is>
          <t>Công nghệ thông tin 3 K66</t>
        </is>
      </c>
      <c r="E193" s="17" t="inlineStr">
        <is>
          <t>thang251230974@lms.utc.edu.vn</t>
        </is>
      </c>
      <c r="F193" s="14" t="inlineStr">
        <is>
          <t>0987650193</t>
        </is>
      </c>
      <c r="G193" s="15" t="n">
        <v>3.8</v>
      </c>
      <c r="H193" s="15" t="n">
        <v>3.2</v>
      </c>
      <c r="I193" s="15" t="n">
        <v>3.1</v>
      </c>
      <c r="J193" s="15" t="n">
        <v>1.7</v>
      </c>
      <c r="K193" s="15" t="n">
        <v>2.9</v>
      </c>
      <c r="L193" s="15" t="n">
        <v>4</v>
      </c>
      <c r="M193" s="15" t="n">
        <v>2.7</v>
      </c>
      <c r="N193" s="15" t="n">
        <v>1.8</v>
      </c>
      <c r="O193" s="15" t="n">
        <v>4</v>
      </c>
      <c r="P193" s="15" t="n">
        <v>2.3</v>
      </c>
      <c r="Q193" s="15" t="n">
        <v>2.9</v>
      </c>
      <c r="R193" s="15" t="n">
        <v>4</v>
      </c>
      <c r="S193" s="15" t="n">
        <v>3.8</v>
      </c>
      <c r="T193" s="16">
        <f>(G193*3 + H193*3 + I193*2 + J193*3 + K193*3 + L193*3 + M193*3 + N193*2 + O193*3 + P193*3 + Q193*3 + R193*3 + S193*10) / 44</f>
        <v/>
      </c>
    </row>
    <row r="194">
      <c r="A194" s="12">
        <f>ROW()-2</f>
        <v/>
      </c>
      <c r="B194" s="13" t="inlineStr">
        <is>
          <t>LÂM TIẾN THÀNH</t>
        </is>
      </c>
      <c r="C194" s="13" t="n">
        <v>251230966</v>
      </c>
      <c r="D194" s="17" t="inlineStr">
        <is>
          <t>Công nghệ thông tin 3 K66</t>
        </is>
      </c>
      <c r="E194" s="17" t="inlineStr">
        <is>
          <t>thanh251230966@lms.utc.edu.vn</t>
        </is>
      </c>
      <c r="F194" s="14" t="inlineStr">
        <is>
          <t>0987650194</t>
        </is>
      </c>
      <c r="G194" s="15" t="n">
        <v>3.2</v>
      </c>
      <c r="H194" s="15" t="n">
        <v>3.2</v>
      </c>
      <c r="I194" s="15" t="n">
        <v>3</v>
      </c>
      <c r="J194" s="15" t="n">
        <v>3.7</v>
      </c>
      <c r="K194" s="15" t="n">
        <v>2.9</v>
      </c>
      <c r="L194" s="15" t="n">
        <v>2.1</v>
      </c>
      <c r="M194" s="15" t="n">
        <v>3.5</v>
      </c>
      <c r="N194" s="15" t="n">
        <v>3</v>
      </c>
      <c r="O194" s="15" t="n">
        <v>2.3</v>
      </c>
      <c r="P194" s="15" t="n">
        <v>2.1</v>
      </c>
      <c r="Q194" s="15" t="n">
        <v>2.6</v>
      </c>
      <c r="R194" s="15" t="n">
        <v>1.9</v>
      </c>
      <c r="S194" s="15" t="n">
        <v>2.9</v>
      </c>
      <c r="T194" s="16">
        <f>(G194*3 + H194*3 + I194*2 + J194*3 + K194*3 + L194*3 + M194*3 + N194*2 + O194*3 + P194*3 + Q194*3 + R194*3 + S194*10) / 44</f>
        <v/>
      </c>
    </row>
    <row r="195">
      <c r="A195" s="12">
        <f>ROW()-2</f>
        <v/>
      </c>
      <c r="B195" s="13" t="inlineStr">
        <is>
          <t>NGUYỄN DUY THIỆN</t>
        </is>
      </c>
      <c r="C195" s="13" t="n">
        <v>251230976</v>
      </c>
      <c r="D195" s="17" t="inlineStr">
        <is>
          <t>Công nghệ thông tin 3 K66</t>
        </is>
      </c>
      <c r="E195" s="17" t="inlineStr">
        <is>
          <t>thien251230976@lms.utc.edu.vn</t>
        </is>
      </c>
      <c r="F195" s="14" t="inlineStr">
        <is>
          <t>0987650195</t>
        </is>
      </c>
      <c r="G195" s="15" t="n">
        <v>2</v>
      </c>
      <c r="H195" s="15" t="n">
        <v>2</v>
      </c>
      <c r="I195" s="15" t="n">
        <v>3</v>
      </c>
      <c r="J195" s="15" t="n">
        <v>3.7</v>
      </c>
      <c r="K195" s="15" t="n">
        <v>1.9</v>
      </c>
      <c r="L195" s="15" t="n">
        <v>2.9</v>
      </c>
      <c r="M195" s="15" t="n">
        <v>2.2</v>
      </c>
      <c r="N195" s="15" t="n">
        <v>3.9</v>
      </c>
      <c r="O195" s="15" t="n">
        <v>2.7</v>
      </c>
      <c r="P195" s="15" t="n">
        <v>2.3</v>
      </c>
      <c r="Q195" s="15" t="n">
        <v>3.8</v>
      </c>
      <c r="R195" s="15" t="n">
        <v>2.6</v>
      </c>
      <c r="S195" s="15" t="n">
        <v>2.2</v>
      </c>
      <c r="T195" s="16">
        <f>(G195*3 + H195*3 + I195*2 + J195*3 + K195*3 + L195*3 + M195*3 + N195*2 + O195*3 + P195*3 + Q195*3 + R195*3 + S195*10) / 44</f>
        <v/>
      </c>
    </row>
    <row r="196">
      <c r="A196" s="12">
        <f>ROW()-2</f>
        <v/>
      </c>
      <c r="B196" s="13" t="inlineStr">
        <is>
          <t>DƯƠNG ĐỨC TRUNG</t>
        </is>
      </c>
      <c r="C196" s="13" t="n">
        <v>251210987</v>
      </c>
      <c r="D196" s="17" t="inlineStr">
        <is>
          <t>Công nghệ thông tin 3 K66</t>
        </is>
      </c>
      <c r="E196" s="17" t="inlineStr">
        <is>
          <t>trung251210987@lms.utc.edu.vn</t>
        </is>
      </c>
      <c r="F196" s="14" t="inlineStr">
        <is>
          <t>0987650196</t>
        </is>
      </c>
      <c r="G196" s="15" t="n">
        <v>2</v>
      </c>
      <c r="H196" s="15" t="n">
        <v>2.6</v>
      </c>
      <c r="I196" s="15" t="n">
        <v>3.3</v>
      </c>
      <c r="J196" s="15" t="n">
        <v>1</v>
      </c>
      <c r="K196" s="15" t="n">
        <v>3.3</v>
      </c>
      <c r="L196" s="15" t="n">
        <v>3.4</v>
      </c>
      <c r="M196" s="15" t="n">
        <v>3.3</v>
      </c>
      <c r="N196" s="15" t="n">
        <v>2.4</v>
      </c>
      <c r="O196" s="15" t="n">
        <v>4</v>
      </c>
      <c r="P196" s="15" t="n">
        <v>3.7</v>
      </c>
      <c r="Q196" s="15" t="n">
        <v>3.6</v>
      </c>
      <c r="R196" s="15" t="n">
        <v>2.8</v>
      </c>
      <c r="S196" s="15" t="n">
        <v>2.6</v>
      </c>
      <c r="T196" s="16">
        <f>(G196*3 + H196*3 + I196*2 + J196*3 + K196*3 + L196*3 + M196*3 + N196*2 + O196*3 + P196*3 + Q196*3 + R196*3 + S196*10) / 44</f>
        <v/>
      </c>
    </row>
    <row r="197">
      <c r="A197" s="12">
        <f>ROW()-2</f>
        <v/>
      </c>
      <c r="B197" s="13" t="inlineStr">
        <is>
          <t>LÊ QUANG TÚ</t>
        </is>
      </c>
      <c r="C197" s="13" t="n">
        <v>251230990</v>
      </c>
      <c r="D197" s="17" t="inlineStr">
        <is>
          <t>Công nghệ thông tin 3 K66</t>
        </is>
      </c>
      <c r="E197" s="17" t="inlineStr">
        <is>
          <t>tu251230990@lms.utc.edu.vn</t>
        </is>
      </c>
      <c r="F197" s="14" t="inlineStr">
        <is>
          <t>0987650197</t>
        </is>
      </c>
      <c r="G197" s="15" t="n">
        <v>2.3</v>
      </c>
      <c r="H197" s="15" t="n">
        <v>2.6</v>
      </c>
      <c r="I197" s="15" t="n">
        <v>3.8</v>
      </c>
      <c r="J197" s="15" t="n">
        <v>2</v>
      </c>
      <c r="K197" s="15" t="n">
        <v>1.8</v>
      </c>
      <c r="L197" s="15" t="n">
        <v>3.8</v>
      </c>
      <c r="M197" s="15" t="n">
        <v>4</v>
      </c>
      <c r="N197" s="15" t="n">
        <v>2</v>
      </c>
      <c r="O197" s="15" t="n">
        <v>2.6</v>
      </c>
      <c r="P197" s="15" t="n">
        <v>3.9</v>
      </c>
      <c r="Q197" s="15" t="n">
        <v>2.9</v>
      </c>
      <c r="R197" s="15" t="n">
        <v>1.9</v>
      </c>
      <c r="S197" s="15" t="n">
        <v>3.5</v>
      </c>
      <c r="T197" s="16">
        <f>(G197*3 + H197*3 + I197*2 + J197*3 + K197*3 + L197*3 + M197*3 + N197*2 + O197*3 + P197*3 + Q197*3 + R197*3 + S197*10) / 44</f>
        <v/>
      </c>
    </row>
    <row r="198">
      <c r="A198" s="12">
        <f>ROW()-2</f>
        <v/>
      </c>
      <c r="B198" s="13" t="inlineStr">
        <is>
          <t>LÊ TUẤN TÚ</t>
        </is>
      </c>
      <c r="C198" s="13" t="n">
        <v>251210991</v>
      </c>
      <c r="D198" s="17" t="inlineStr">
        <is>
          <t>Công nghệ thông tin 3 K66</t>
        </is>
      </c>
      <c r="E198" s="17" t="inlineStr">
        <is>
          <t>tu251210991@lms.utc.edu.vn</t>
        </is>
      </c>
      <c r="F198" s="14" t="inlineStr">
        <is>
          <t>0987650198</t>
        </is>
      </c>
      <c r="G198" s="15" t="n">
        <v>3.5</v>
      </c>
      <c r="H198" s="15" t="n">
        <v>4</v>
      </c>
      <c r="I198" s="15" t="n">
        <v>2.5</v>
      </c>
      <c r="J198" s="15" t="n">
        <v>2.7</v>
      </c>
      <c r="K198" s="15" t="n">
        <v>1.8</v>
      </c>
      <c r="L198" s="15" t="n">
        <v>3.6</v>
      </c>
      <c r="M198" s="15" t="n">
        <v>2.9</v>
      </c>
      <c r="N198" s="15" t="n">
        <v>2.5</v>
      </c>
      <c r="O198" s="15" t="n">
        <v>3</v>
      </c>
      <c r="P198" s="15" t="n">
        <v>2.9</v>
      </c>
      <c r="Q198" s="15" t="n">
        <v>2.2</v>
      </c>
      <c r="R198" s="15" t="n">
        <v>3.9</v>
      </c>
      <c r="S198" s="15" t="n">
        <v>2.5</v>
      </c>
      <c r="T198" s="16">
        <f>(G198*3 + H198*3 + I198*2 + J198*3 + K198*3 + L198*3 + M198*3 + N198*2 + O198*3 + P198*3 + Q198*3 + R198*3 + S198*10) / 44</f>
        <v/>
      </c>
    </row>
    <row r="199">
      <c r="A199" s="12">
        <f>ROW()-2</f>
        <v/>
      </c>
      <c r="B199" s="13" t="inlineStr">
        <is>
          <t>NGUYỄN HỒNG LONG VIỆT</t>
        </is>
      </c>
      <c r="C199" s="13" t="n">
        <v>251210998</v>
      </c>
      <c r="D199" s="17" t="inlineStr">
        <is>
          <t>Công nghệ thông tin 3 K66</t>
        </is>
      </c>
      <c r="E199" s="17" t="inlineStr">
        <is>
          <t>viet251210998@lms.utc.edu.vn</t>
        </is>
      </c>
      <c r="F199" s="14" t="inlineStr">
        <is>
          <t>0987650199</t>
        </is>
      </c>
      <c r="G199" s="15" t="n">
        <v>3</v>
      </c>
      <c r="H199" s="15" t="n">
        <v>2</v>
      </c>
      <c r="I199" s="15" t="n">
        <v>4</v>
      </c>
      <c r="J199" s="15" t="n">
        <v>1.5</v>
      </c>
      <c r="K199" s="15" t="n">
        <v>2.7</v>
      </c>
      <c r="L199" s="15" t="n">
        <v>4</v>
      </c>
      <c r="M199" s="15" t="n">
        <v>2.1</v>
      </c>
      <c r="N199" s="15" t="n">
        <v>3.2</v>
      </c>
      <c r="O199" s="15" t="n">
        <v>3.2</v>
      </c>
      <c r="P199" s="15" t="n">
        <v>3.1</v>
      </c>
      <c r="Q199" s="15" t="n">
        <v>3.6</v>
      </c>
      <c r="R199" s="15" t="n">
        <v>3.8</v>
      </c>
      <c r="S199" s="15" t="n">
        <v>3.3</v>
      </c>
      <c r="T199" s="16">
        <f>(G199*3 + H199*3 + I199*2 + J199*3 + K199*3 + L199*3 + M199*3 + N199*2 + O199*3 + P199*3 + Q199*3 + R199*3 + S199*10) / 44</f>
        <v/>
      </c>
    </row>
    <row r="200">
      <c r="A200" s="12">
        <f>ROW()-2</f>
        <v/>
      </c>
      <c r="B200" s="13" t="inlineStr">
        <is>
          <t>HOÀNG KHÁNH VINH</t>
        </is>
      </c>
      <c r="C200" s="13" t="n">
        <v>251211000</v>
      </c>
      <c r="D200" s="17" t="inlineStr">
        <is>
          <t>Công nghệ thông tin 3 K66</t>
        </is>
      </c>
      <c r="E200" s="17" t="inlineStr">
        <is>
          <t>vinh251211000@lms.utc.edu.vn</t>
        </is>
      </c>
      <c r="F200" s="14" t="inlineStr">
        <is>
          <t>0987650200</t>
        </is>
      </c>
      <c r="G200" s="15" t="n">
        <v>3.3</v>
      </c>
      <c r="H200" s="15" t="n">
        <v>3.1</v>
      </c>
      <c r="I200" s="15" t="n">
        <v>2.6</v>
      </c>
      <c r="J200" s="15" t="n">
        <v>3.7</v>
      </c>
      <c r="K200" s="15" t="n">
        <v>2.7</v>
      </c>
      <c r="L200" s="15" t="n">
        <v>3.6</v>
      </c>
      <c r="M200" s="15" t="n">
        <v>2.4</v>
      </c>
      <c r="N200" s="15" t="n">
        <v>2.3</v>
      </c>
      <c r="O200" s="15" t="n">
        <v>2.4</v>
      </c>
      <c r="P200" s="15" t="n">
        <v>2.1</v>
      </c>
      <c r="Q200" s="15" t="n">
        <v>3</v>
      </c>
      <c r="R200" s="15" t="n">
        <v>3.3</v>
      </c>
      <c r="S200" s="15" t="n">
        <v>3</v>
      </c>
      <c r="T200" s="16">
        <f>(G200*3 + H200*3 + I200*2 + J200*3 + K200*3 + L200*3 + M200*3 + N200*2 + O200*3 + P200*3 + Q200*3 + R200*3 + S200*10) / 44</f>
        <v/>
      </c>
    </row>
    <row r="201">
      <c r="A201" s="12">
        <f>ROW()-2</f>
        <v/>
      </c>
      <c r="B201" s="13" t="inlineStr">
        <is>
          <t>NGUYỄN ĐỨC AN</t>
        </is>
      </c>
      <c r="C201" s="13" t="n">
        <v>253610642</v>
      </c>
      <c r="D201" s="17" t="inlineStr">
        <is>
          <t>Khoa học máy tính K66</t>
        </is>
      </c>
      <c r="E201" s="17" t="inlineStr">
        <is>
          <t>an253610642@lms.utc.edu.vn</t>
        </is>
      </c>
      <c r="F201" s="14" t="inlineStr">
        <is>
          <t>0987650201</t>
        </is>
      </c>
      <c r="G201" s="15" t="n">
        <v>2</v>
      </c>
      <c r="H201" s="15" t="n">
        <v>3.8</v>
      </c>
      <c r="I201" s="15" t="n">
        <v>3.2</v>
      </c>
      <c r="J201" s="15" t="n">
        <v>1.4</v>
      </c>
      <c r="K201" s="15" t="n">
        <v>3.2</v>
      </c>
      <c r="L201" s="15" t="n">
        <v>3.6</v>
      </c>
      <c r="M201" s="15" t="n">
        <v>2.7</v>
      </c>
      <c r="N201" s="15" t="n">
        <v>2.3</v>
      </c>
      <c r="O201" s="15" t="n">
        <v>3.9</v>
      </c>
      <c r="P201" s="15" t="n">
        <v>2.9</v>
      </c>
      <c r="Q201" s="15" t="n">
        <v>2.9</v>
      </c>
      <c r="R201" s="15" t="n">
        <v>3</v>
      </c>
      <c r="S201" s="15" t="n">
        <v>2.9</v>
      </c>
      <c r="T201" s="16">
        <f>(G201*3 + H201*3 + I201*2 + J201*3 + K201*3 + L201*3 + M201*3 + N201*2 + O201*3 + P201*3 + Q201*3 + R201*3 + S201*10) / 44</f>
        <v/>
      </c>
    </row>
    <row r="202">
      <c r="A202" s="12">
        <f>ROW()-2</f>
        <v/>
      </c>
      <c r="B202" s="13" t="inlineStr">
        <is>
          <t>Nguyễn Hồng An</t>
        </is>
      </c>
      <c r="C202" s="13" t="n">
        <v>243630565</v>
      </c>
      <c r="D202" s="17" t="inlineStr">
        <is>
          <t>Khoa học máy tính K66</t>
        </is>
      </c>
      <c r="E202" s="17" t="inlineStr">
        <is>
          <t>an243630565@lms.utc.edu.vn</t>
        </is>
      </c>
      <c r="F202" s="14" t="inlineStr">
        <is>
          <t>0987650202</t>
        </is>
      </c>
      <c r="G202" s="15" t="n">
        <v>2.5</v>
      </c>
      <c r="H202" s="15" t="n">
        <v>3.1</v>
      </c>
      <c r="I202" s="15" t="n">
        <v>3.5</v>
      </c>
      <c r="J202" s="15" t="n">
        <v>1.4</v>
      </c>
      <c r="K202" s="15" t="n">
        <v>3.1</v>
      </c>
      <c r="L202" s="15" t="n">
        <v>2.1</v>
      </c>
      <c r="M202" s="15" t="n">
        <v>2.9</v>
      </c>
      <c r="N202" s="15" t="n">
        <v>3.5</v>
      </c>
      <c r="O202" s="15" t="n">
        <v>2.5</v>
      </c>
      <c r="P202" s="15" t="n">
        <v>3.4</v>
      </c>
      <c r="Q202" s="15" t="n">
        <v>2.7</v>
      </c>
      <c r="R202" s="15" t="n">
        <v>3.6</v>
      </c>
      <c r="S202" s="15" t="n">
        <v>2.8</v>
      </c>
      <c r="T202" s="16">
        <f>(G202*3 + H202*3 + I202*2 + J202*3 + K202*3 + L202*3 + M202*3 + N202*2 + O202*3 + P202*3 + Q202*3 + R202*3 + S202*10) / 44</f>
        <v/>
      </c>
    </row>
    <row r="203">
      <c r="A203" s="12">
        <f>ROW()-2</f>
        <v/>
      </c>
      <c r="B203" s="13" t="inlineStr">
        <is>
          <t>CAO HOÀNG ANH</t>
        </is>
      </c>
      <c r="C203" s="13" t="n">
        <v>253610643</v>
      </c>
      <c r="D203" s="17" t="inlineStr">
        <is>
          <t>Khoa học máy tính K66</t>
        </is>
      </c>
      <c r="E203" s="17" t="inlineStr">
        <is>
          <t>anh253610643@lms.utc.edu.vn</t>
        </is>
      </c>
      <c r="F203" s="14" t="inlineStr">
        <is>
          <t>0987650203</t>
        </is>
      </c>
      <c r="G203" s="15" t="n">
        <v>4</v>
      </c>
      <c r="H203" s="15" t="n">
        <v>3.5</v>
      </c>
      <c r="I203" s="15" t="n">
        <v>1.8</v>
      </c>
      <c r="J203" s="15" t="n">
        <v>2.7</v>
      </c>
      <c r="K203" s="15" t="n">
        <v>3.4</v>
      </c>
      <c r="L203" s="15" t="n">
        <v>2.9</v>
      </c>
      <c r="M203" s="15" t="n">
        <v>3.1</v>
      </c>
      <c r="N203" s="15" t="n">
        <v>3.9</v>
      </c>
      <c r="O203" s="15" t="n">
        <v>2</v>
      </c>
      <c r="P203" s="15" t="n">
        <v>2.4</v>
      </c>
      <c r="Q203" s="15" t="n">
        <v>3.4</v>
      </c>
      <c r="R203" s="15" t="n">
        <v>2</v>
      </c>
      <c r="S203" s="15" t="n">
        <v>2.6</v>
      </c>
      <c r="T203" s="16">
        <f>(G203*3 + H203*3 + I203*2 + J203*3 + K203*3 + L203*3 + M203*3 + N203*2 + O203*3 + P203*3 + Q203*3 + R203*3 + S203*10) / 44</f>
        <v/>
      </c>
    </row>
    <row r="204">
      <c r="A204" s="12">
        <f>ROW()-2</f>
        <v/>
      </c>
      <c r="B204" s="13" t="inlineStr">
        <is>
          <t>MAI NGỌC HÙNG ANH</t>
        </is>
      </c>
      <c r="C204" s="13" t="n">
        <v>253610644</v>
      </c>
      <c r="D204" s="17" t="inlineStr">
        <is>
          <t>Khoa học máy tính K66</t>
        </is>
      </c>
      <c r="E204" s="17" t="inlineStr">
        <is>
          <t>anh253610644@lms.utc.edu.vn</t>
        </is>
      </c>
      <c r="F204" s="14" t="inlineStr">
        <is>
          <t>0987650204</t>
        </is>
      </c>
      <c r="G204" s="15" t="n">
        <v>2.6</v>
      </c>
      <c r="H204" s="15" t="n">
        <v>3.7</v>
      </c>
      <c r="I204" s="15" t="n">
        <v>2.9</v>
      </c>
      <c r="J204" s="15" t="n">
        <v>0.3</v>
      </c>
      <c r="K204" s="15" t="n">
        <v>3.8</v>
      </c>
      <c r="L204" s="15" t="n">
        <v>2.1</v>
      </c>
      <c r="M204" s="15" t="n">
        <v>2.1</v>
      </c>
      <c r="N204" s="15" t="n">
        <v>2.3</v>
      </c>
      <c r="O204" s="15" t="n">
        <v>1.8</v>
      </c>
      <c r="P204" s="15" t="n">
        <v>3.4</v>
      </c>
      <c r="Q204" s="15" t="n">
        <v>2.2</v>
      </c>
      <c r="R204" s="15" t="n">
        <v>3.2</v>
      </c>
      <c r="S204" s="15" t="n">
        <v>3.3</v>
      </c>
      <c r="T204" s="16">
        <f>(G204*3 + H204*3 + I204*2 + J204*3 + K204*3 + L204*3 + M204*3 + N204*2 + O204*3 + P204*3 + Q204*3 + R204*3 + S204*10) / 44</f>
        <v/>
      </c>
    </row>
    <row r="205">
      <c r="A205" s="12">
        <f>ROW()-2</f>
        <v/>
      </c>
      <c r="B205" s="13" t="inlineStr">
        <is>
          <t>NGUYỄN VIỆT ANH</t>
        </is>
      </c>
      <c r="C205" s="13" t="n">
        <v>253630646</v>
      </c>
      <c r="D205" s="17" t="inlineStr">
        <is>
          <t>Khoa học máy tính K66</t>
        </is>
      </c>
      <c r="E205" s="17" t="inlineStr">
        <is>
          <t>anh253630646@lms.utc.edu.vn</t>
        </is>
      </c>
      <c r="F205" s="14" t="inlineStr">
        <is>
          <t>0987650205</t>
        </is>
      </c>
      <c r="G205" s="15" t="n">
        <v>1.9</v>
      </c>
      <c r="H205" s="15" t="n">
        <v>2.2</v>
      </c>
      <c r="I205" s="15" t="n">
        <v>3.7</v>
      </c>
      <c r="J205" s="15" t="n">
        <v>2.8</v>
      </c>
      <c r="K205" s="15" t="n">
        <v>1.8</v>
      </c>
      <c r="L205" s="15" t="n">
        <v>3.7</v>
      </c>
      <c r="M205" s="15" t="n">
        <v>2.9</v>
      </c>
      <c r="N205" s="15" t="n">
        <v>2.9</v>
      </c>
      <c r="O205" s="15" t="n">
        <v>3</v>
      </c>
      <c r="P205" s="15" t="n">
        <v>2.3</v>
      </c>
      <c r="Q205" s="15" t="n">
        <v>3.4</v>
      </c>
      <c r="R205" s="15" t="n">
        <v>2.6</v>
      </c>
      <c r="S205" s="15" t="n">
        <v>3.9</v>
      </c>
      <c r="T205" s="16">
        <f>(G205*3 + H205*3 + I205*2 + J205*3 + K205*3 + L205*3 + M205*3 + N205*2 + O205*3 + P205*3 + Q205*3 + R205*3 + S205*10) / 44</f>
        <v/>
      </c>
    </row>
    <row r="206">
      <c r="A206" s="12">
        <f>ROW()-2</f>
        <v/>
      </c>
      <c r="B206" s="13" t="inlineStr">
        <is>
          <t>TĂNG XUÂN ANH</t>
        </is>
      </c>
      <c r="C206" s="13" t="n">
        <v>253610647</v>
      </c>
      <c r="D206" s="17" t="inlineStr">
        <is>
          <t>Khoa học máy tính K66</t>
        </is>
      </c>
      <c r="E206" s="17" t="inlineStr">
        <is>
          <t>anh253610647@lms.utc.edu.vn</t>
        </is>
      </c>
      <c r="F206" s="14" t="inlineStr">
        <is>
          <t>0987650206</t>
        </is>
      </c>
      <c r="G206" s="15" t="n">
        <v>2.2</v>
      </c>
      <c r="H206" s="15" t="n">
        <v>1.8</v>
      </c>
      <c r="I206" s="15" t="n">
        <v>2.7</v>
      </c>
      <c r="J206" s="15" t="n">
        <v>1.8</v>
      </c>
      <c r="K206" s="15" t="n">
        <v>3.5</v>
      </c>
      <c r="L206" s="15" t="n">
        <v>3.7</v>
      </c>
      <c r="M206" s="15" t="n">
        <v>3.9</v>
      </c>
      <c r="N206" s="15" t="n">
        <v>3.8</v>
      </c>
      <c r="O206" s="15" t="n">
        <v>2.1</v>
      </c>
      <c r="P206" s="15" t="n">
        <v>4</v>
      </c>
      <c r="Q206" s="15" t="n">
        <v>3</v>
      </c>
      <c r="R206" s="15" t="n">
        <v>2.1</v>
      </c>
      <c r="S206" s="15" t="n">
        <v>2.5</v>
      </c>
      <c r="T206" s="16">
        <f>(G206*3 + H206*3 + I206*2 + J206*3 + K206*3 + L206*3 + M206*3 + N206*2 + O206*3 + P206*3 + Q206*3 + R206*3 + S206*10) / 44</f>
        <v/>
      </c>
    </row>
    <row r="207">
      <c r="A207" s="12">
        <f>ROW()-2</f>
        <v/>
      </c>
      <c r="B207" s="13" t="inlineStr">
        <is>
          <t>VŨ MAI ANH</t>
        </is>
      </c>
      <c r="C207" s="13" t="n">
        <v>253610648</v>
      </c>
      <c r="D207" s="17" t="inlineStr">
        <is>
          <t>Khoa học máy tính K66</t>
        </is>
      </c>
      <c r="E207" s="17" t="inlineStr">
        <is>
          <t>anh253610648@lms.utc.edu.vn</t>
        </is>
      </c>
      <c r="F207" s="14" t="inlineStr">
        <is>
          <t>0987650207</t>
        </is>
      </c>
      <c r="G207" s="15" t="n">
        <v>3.7</v>
      </c>
      <c r="H207" s="15" t="n">
        <v>3.6</v>
      </c>
      <c r="I207" s="15" t="n">
        <v>2.2</v>
      </c>
      <c r="J207" s="15" t="n">
        <v>0.5</v>
      </c>
      <c r="K207" s="15" t="n">
        <v>3.6</v>
      </c>
      <c r="L207" s="15" t="n">
        <v>2.7</v>
      </c>
      <c r="M207" s="15" t="n">
        <v>2</v>
      </c>
      <c r="N207" s="15" t="n">
        <v>2.8</v>
      </c>
      <c r="O207" s="15" t="n">
        <v>4</v>
      </c>
      <c r="P207" s="15" t="n">
        <v>3</v>
      </c>
      <c r="Q207" s="15" t="n">
        <v>2.4</v>
      </c>
      <c r="R207" s="15" t="n">
        <v>2.8</v>
      </c>
      <c r="S207" s="15" t="n">
        <v>3.8</v>
      </c>
      <c r="T207" s="16">
        <f>(G207*3 + H207*3 + I207*2 + J207*3 + K207*3 + L207*3 + M207*3 + N207*2 + O207*3 + P207*3 + Q207*3 + R207*3 + S207*10) / 44</f>
        <v/>
      </c>
    </row>
    <row r="208">
      <c r="A208" s="12">
        <f>ROW()-2</f>
        <v/>
      </c>
      <c r="B208" s="13" t="inlineStr">
        <is>
          <t>NGUYỄN LÊ BẢO CHÂU</t>
        </is>
      </c>
      <c r="C208" s="13" t="n">
        <v>253630650</v>
      </c>
      <c r="D208" s="17" t="inlineStr">
        <is>
          <t>Khoa học máy tính K66</t>
        </is>
      </c>
      <c r="E208" s="17" t="inlineStr">
        <is>
          <t>chau253630650@lms.utc.edu.vn</t>
        </is>
      </c>
      <c r="F208" s="14" t="inlineStr">
        <is>
          <t>0987650208</t>
        </is>
      </c>
      <c r="G208" s="15" t="n">
        <v>2.6</v>
      </c>
      <c r="H208" s="15" t="n">
        <v>2.2</v>
      </c>
      <c r="I208" s="15" t="n">
        <v>3.7</v>
      </c>
      <c r="J208" s="15" t="n">
        <v>1.1</v>
      </c>
      <c r="K208" s="15" t="n">
        <v>3.8</v>
      </c>
      <c r="L208" s="15" t="n">
        <v>2</v>
      </c>
      <c r="M208" s="15" t="n">
        <v>3.2</v>
      </c>
      <c r="N208" s="15" t="n">
        <v>2</v>
      </c>
      <c r="O208" s="15" t="n">
        <v>3.8</v>
      </c>
      <c r="P208" s="15" t="n">
        <v>3.3</v>
      </c>
      <c r="Q208" s="15" t="n">
        <v>3.7</v>
      </c>
      <c r="R208" s="15" t="n">
        <v>2.5</v>
      </c>
      <c r="S208" s="15" t="n">
        <v>4</v>
      </c>
      <c r="T208" s="16">
        <f>(G208*3 + H208*3 + I208*2 + J208*3 + K208*3 + L208*3 + M208*3 + N208*2 + O208*3 + P208*3 + Q208*3 + R208*3 + S208*10) / 44</f>
        <v/>
      </c>
    </row>
    <row r="209">
      <c r="A209" s="12">
        <f>ROW()-2</f>
        <v/>
      </c>
      <c r="B209" s="13" t="inlineStr">
        <is>
          <t>TRƯƠNG THỊ MINH CHÂU</t>
        </is>
      </c>
      <c r="C209" s="13" t="n">
        <v>253630651</v>
      </c>
      <c r="D209" s="17" t="inlineStr">
        <is>
          <t>Khoa học máy tính K66</t>
        </is>
      </c>
      <c r="E209" s="17" t="inlineStr">
        <is>
          <t>chau253630651@lms.utc.edu.vn</t>
        </is>
      </c>
      <c r="F209" s="14" t="inlineStr">
        <is>
          <t>0987650209</t>
        </is>
      </c>
      <c r="G209" s="15" t="n">
        <v>3.2</v>
      </c>
      <c r="H209" s="15" t="n">
        <v>2.4</v>
      </c>
      <c r="I209" s="15" t="n">
        <v>2</v>
      </c>
      <c r="J209" s="15" t="n">
        <v>3.6</v>
      </c>
      <c r="K209" s="15" t="n">
        <v>2.1</v>
      </c>
      <c r="L209" s="15" t="n">
        <v>3.9</v>
      </c>
      <c r="M209" s="15" t="n">
        <v>2.7</v>
      </c>
      <c r="N209" s="15" t="n">
        <v>3.2</v>
      </c>
      <c r="O209" s="15" t="n">
        <v>3.4</v>
      </c>
      <c r="P209" s="15" t="n">
        <v>3.3</v>
      </c>
      <c r="Q209" s="15" t="n">
        <v>2.6</v>
      </c>
      <c r="R209" s="15" t="n">
        <v>1.9</v>
      </c>
      <c r="S209" s="15" t="n">
        <v>1.9</v>
      </c>
      <c r="T209" s="16">
        <f>(G209*3 + H209*3 + I209*2 + J209*3 + K209*3 + L209*3 + M209*3 + N209*2 + O209*3 + P209*3 + Q209*3 + R209*3 + S209*10) / 44</f>
        <v/>
      </c>
    </row>
    <row r="210">
      <c r="A210" s="12">
        <f>ROW()-2</f>
        <v/>
      </c>
      <c r="B210" s="13" t="inlineStr">
        <is>
          <t>NGUYỄN THÀNH CÔNG</t>
        </is>
      </c>
      <c r="C210" s="13" t="n">
        <v>253630652</v>
      </c>
      <c r="D210" s="17" t="inlineStr">
        <is>
          <t>Khoa học máy tính K66</t>
        </is>
      </c>
      <c r="E210" s="17" t="inlineStr">
        <is>
          <t>cong253630652@lms.utc.edu.vn</t>
        </is>
      </c>
      <c r="F210" s="14" t="inlineStr">
        <is>
          <t>0987650210</t>
        </is>
      </c>
      <c r="G210" s="15" t="n">
        <v>2.7</v>
      </c>
      <c r="H210" s="15" t="n">
        <v>3.4</v>
      </c>
      <c r="I210" s="15" t="n">
        <v>1.9</v>
      </c>
      <c r="J210" s="15" t="n">
        <v>0.1</v>
      </c>
      <c r="K210" s="15" t="n">
        <v>1.9</v>
      </c>
      <c r="L210" s="15" t="n">
        <v>3.9</v>
      </c>
      <c r="M210" s="15" t="n">
        <v>3.8</v>
      </c>
      <c r="N210" s="15" t="n">
        <v>3.3</v>
      </c>
      <c r="O210" s="15" t="n">
        <v>3.9</v>
      </c>
      <c r="P210" s="15" t="n">
        <v>2.6</v>
      </c>
      <c r="Q210" s="15" t="n">
        <v>2.3</v>
      </c>
      <c r="R210" s="15" t="n">
        <v>3.6</v>
      </c>
      <c r="S210" s="15" t="n">
        <v>3.6</v>
      </c>
      <c r="T210" s="16">
        <f>(G210*3 + H210*3 + I210*2 + J210*3 + K210*3 + L210*3 + M210*3 + N210*2 + O210*3 + P210*3 + Q210*3 + R210*3 + S210*10) / 44</f>
        <v/>
      </c>
    </row>
    <row r="211">
      <c r="A211" s="12">
        <f>ROW()-2</f>
        <v/>
      </c>
      <c r="B211" s="13" t="inlineStr">
        <is>
          <t>PHẠM PHÚ CƯỜNG</t>
        </is>
      </c>
      <c r="C211" s="13" t="n">
        <v>253630653</v>
      </c>
      <c r="D211" s="17" t="inlineStr">
        <is>
          <t>Khoa học máy tính K66</t>
        </is>
      </c>
      <c r="E211" s="17" t="inlineStr">
        <is>
          <t>cuong253630653@lms.utc.edu.vn</t>
        </is>
      </c>
      <c r="F211" s="14" t="inlineStr">
        <is>
          <t>0987650211</t>
        </is>
      </c>
      <c r="G211" s="15" t="n">
        <v>3.4</v>
      </c>
      <c r="H211" s="15" t="n">
        <v>2.4</v>
      </c>
      <c r="I211" s="15" t="n">
        <v>2.9</v>
      </c>
      <c r="J211" s="15" t="n">
        <v>2.8</v>
      </c>
      <c r="K211" s="15" t="n">
        <v>3.2</v>
      </c>
      <c r="L211" s="15" t="n">
        <v>2.8</v>
      </c>
      <c r="M211" s="15" t="n">
        <v>3.5</v>
      </c>
      <c r="N211" s="15" t="n">
        <v>3.9</v>
      </c>
      <c r="O211" s="15" t="n">
        <v>3.3</v>
      </c>
      <c r="P211" s="15" t="n">
        <v>2.3</v>
      </c>
      <c r="Q211" s="15" t="n">
        <v>2.5</v>
      </c>
      <c r="R211" s="15" t="n">
        <v>1.8</v>
      </c>
      <c r="S211" s="15" t="n">
        <v>2</v>
      </c>
      <c r="T211" s="16">
        <f>(G211*3 + H211*3 + I211*2 + J211*3 + K211*3 + L211*3 + M211*3 + N211*2 + O211*3 + P211*3 + Q211*3 + R211*3 + S211*10) / 44</f>
        <v/>
      </c>
    </row>
    <row r="212">
      <c r="A212" s="12">
        <f>ROW()-2</f>
        <v/>
      </c>
      <c r="B212" s="13" t="inlineStr">
        <is>
          <t>ĐỖ ĐĂNG DŨNG</t>
        </is>
      </c>
      <c r="C212" s="13" t="n">
        <v>253630654</v>
      </c>
      <c r="D212" s="17" t="inlineStr">
        <is>
          <t>Khoa học máy tính K66</t>
        </is>
      </c>
      <c r="E212" s="17" t="inlineStr">
        <is>
          <t>dung253630654@lms.utc.edu.vn</t>
        </is>
      </c>
      <c r="F212" s="14" t="inlineStr">
        <is>
          <t>0987650212</t>
        </is>
      </c>
      <c r="G212" s="15" t="n">
        <v>2.2</v>
      </c>
      <c r="H212" s="15" t="n">
        <v>2.4</v>
      </c>
      <c r="I212" s="15" t="n">
        <v>1.8</v>
      </c>
      <c r="J212" s="15" t="n">
        <v>1.3</v>
      </c>
      <c r="K212" s="15" t="n">
        <v>2.2</v>
      </c>
      <c r="L212" s="15" t="n">
        <v>2.1</v>
      </c>
      <c r="M212" s="15" t="n">
        <v>3.5</v>
      </c>
      <c r="N212" s="15" t="n">
        <v>4</v>
      </c>
      <c r="O212" s="15" t="n">
        <v>3.6</v>
      </c>
      <c r="P212" s="15" t="n">
        <v>2.2</v>
      </c>
      <c r="Q212" s="15" t="n">
        <v>3.3</v>
      </c>
      <c r="R212" s="15" t="n">
        <v>2.4</v>
      </c>
      <c r="S212" s="15" t="n">
        <v>2.9</v>
      </c>
      <c r="T212" s="16">
        <f>(G212*3 + H212*3 + I212*2 + J212*3 + K212*3 + L212*3 + M212*3 + N212*2 + O212*3 + P212*3 + Q212*3 + R212*3 + S212*10) / 44</f>
        <v/>
      </c>
    </row>
    <row r="213">
      <c r="A213" s="12">
        <f>ROW()-2</f>
        <v/>
      </c>
      <c r="B213" s="13" t="inlineStr">
        <is>
          <t>LÊ ĐÌNH DŨNG</t>
        </is>
      </c>
      <c r="C213" s="13" t="n">
        <v>253630655</v>
      </c>
      <c r="D213" s="17" t="inlineStr">
        <is>
          <t>Khoa học máy tính K66</t>
        </is>
      </c>
      <c r="E213" s="17" t="inlineStr">
        <is>
          <t>dung253630655@lms.utc.edu.vn</t>
        </is>
      </c>
      <c r="F213" s="14" t="inlineStr">
        <is>
          <t>0987650213</t>
        </is>
      </c>
      <c r="G213" s="15" t="n">
        <v>3.1</v>
      </c>
      <c r="H213" s="15" t="n">
        <v>1.8</v>
      </c>
      <c r="I213" s="15" t="n">
        <v>2.9</v>
      </c>
      <c r="J213" s="15" t="n">
        <v>2.2</v>
      </c>
      <c r="K213" s="15" t="n">
        <v>4</v>
      </c>
      <c r="L213" s="15" t="n">
        <v>3</v>
      </c>
      <c r="M213" s="15" t="n">
        <v>1.9</v>
      </c>
      <c r="N213" s="15" t="n">
        <v>2.9</v>
      </c>
      <c r="O213" s="15" t="n">
        <v>1.8</v>
      </c>
      <c r="P213" s="15" t="n">
        <v>3.2</v>
      </c>
      <c r="Q213" s="15" t="n">
        <v>3.5</v>
      </c>
      <c r="R213" s="15" t="n">
        <v>2.8</v>
      </c>
      <c r="S213" s="15" t="n">
        <v>3.5</v>
      </c>
      <c r="T213" s="16">
        <f>(G213*3 + H213*3 + I213*2 + J213*3 + K213*3 + L213*3 + M213*3 + N213*2 + O213*3 + P213*3 + Q213*3 + R213*3 + S213*10) / 44</f>
        <v/>
      </c>
    </row>
    <row r="214">
      <c r="A214" s="12">
        <f>ROW()-2</f>
        <v/>
      </c>
      <c r="B214" s="13" t="inlineStr">
        <is>
          <t>NGUYỄN MẠNH DŨNG</t>
        </is>
      </c>
      <c r="C214" s="13" t="n">
        <v>253630656</v>
      </c>
      <c r="D214" s="17" t="inlineStr">
        <is>
          <t>Khoa học máy tính K66</t>
        </is>
      </c>
      <c r="E214" s="17" t="inlineStr">
        <is>
          <t>dung253630656@lms.utc.edu.vn</t>
        </is>
      </c>
      <c r="F214" s="14" t="inlineStr">
        <is>
          <t>0987650214</t>
        </is>
      </c>
      <c r="G214" s="15" t="n">
        <v>2</v>
      </c>
      <c r="H214" s="15" t="n">
        <v>2.3</v>
      </c>
      <c r="I214" s="15" t="n">
        <v>2.7</v>
      </c>
      <c r="J214" s="15" t="n">
        <v>1.1</v>
      </c>
      <c r="K214" s="15" t="n">
        <v>1.9</v>
      </c>
      <c r="L214" s="15" t="n">
        <v>1.8</v>
      </c>
      <c r="M214" s="15" t="n">
        <v>3.5</v>
      </c>
      <c r="N214" s="15" t="n">
        <v>2.6</v>
      </c>
      <c r="O214" s="15" t="n">
        <v>1.8</v>
      </c>
      <c r="P214" s="15" t="n">
        <v>3.1</v>
      </c>
      <c r="Q214" s="15" t="n">
        <v>2.2</v>
      </c>
      <c r="R214" s="15" t="n">
        <v>4</v>
      </c>
      <c r="S214" s="15" t="n">
        <v>2.1</v>
      </c>
      <c r="T214" s="16">
        <f>(G214*3 + H214*3 + I214*2 + J214*3 + K214*3 + L214*3 + M214*3 + N214*2 + O214*3 + P214*3 + Q214*3 + R214*3 + S214*10) / 44</f>
        <v/>
      </c>
    </row>
    <row r="215">
      <c r="A215" s="12">
        <f>ROW()-2</f>
        <v/>
      </c>
      <c r="B215" s="13" t="inlineStr">
        <is>
          <t>PHAN LÊ DŨNG</t>
        </is>
      </c>
      <c r="C215" s="13" t="n">
        <v>253630657</v>
      </c>
      <c r="D215" s="17" t="inlineStr">
        <is>
          <t>Khoa học máy tính K66</t>
        </is>
      </c>
      <c r="E215" s="17" t="inlineStr">
        <is>
          <t>dung253630657@lms.utc.edu.vn</t>
        </is>
      </c>
      <c r="F215" s="14" t="inlineStr">
        <is>
          <t>0987650215</t>
        </is>
      </c>
      <c r="G215" s="15" t="n">
        <v>2.8</v>
      </c>
      <c r="H215" s="15" t="n">
        <v>3.7</v>
      </c>
      <c r="I215" s="15" t="n">
        <v>2.9</v>
      </c>
      <c r="J215" s="15" t="n">
        <v>2.4</v>
      </c>
      <c r="K215" s="15" t="n">
        <v>2.6</v>
      </c>
      <c r="L215" s="15" t="n">
        <v>1.9</v>
      </c>
      <c r="M215" s="15" t="n">
        <v>3.2</v>
      </c>
      <c r="N215" s="15" t="n">
        <v>3.8</v>
      </c>
      <c r="O215" s="15" t="n">
        <v>2.6</v>
      </c>
      <c r="P215" s="15" t="n">
        <v>2.4</v>
      </c>
      <c r="Q215" s="15" t="n">
        <v>2.5</v>
      </c>
      <c r="R215" s="15" t="n">
        <v>3.5</v>
      </c>
      <c r="S215" s="15" t="n">
        <v>2</v>
      </c>
      <c r="T215" s="16">
        <f>(G215*3 + H215*3 + I215*2 + J215*3 + K215*3 + L215*3 + M215*3 + N215*2 + O215*3 + P215*3 + Q215*3 + R215*3 + S215*10) / 44</f>
        <v/>
      </c>
    </row>
    <row r="216">
      <c r="A216" s="12">
        <f>ROW()-2</f>
        <v/>
      </c>
      <c r="B216" s="13" t="inlineStr">
        <is>
          <t>VŨ DŨNG</t>
        </is>
      </c>
      <c r="C216" s="13" t="n">
        <v>253630658</v>
      </c>
      <c r="D216" s="17" t="inlineStr">
        <is>
          <t>Khoa học máy tính K66</t>
        </is>
      </c>
      <c r="E216" s="17" t="inlineStr">
        <is>
          <t>dung253630658@lms.utc.edu.vn</t>
        </is>
      </c>
      <c r="F216" s="14" t="inlineStr">
        <is>
          <t>0987650216</t>
        </is>
      </c>
      <c r="G216" s="15" t="n">
        <v>3.7</v>
      </c>
      <c r="H216" s="15" t="n">
        <v>2.7</v>
      </c>
      <c r="I216" s="15" t="n">
        <v>2.9</v>
      </c>
      <c r="J216" s="15" t="n">
        <v>3.2</v>
      </c>
      <c r="K216" s="15" t="n">
        <v>2.1</v>
      </c>
      <c r="L216" s="15" t="n">
        <v>2.8</v>
      </c>
      <c r="M216" s="15" t="n">
        <v>2.5</v>
      </c>
      <c r="N216" s="15" t="n">
        <v>3.1</v>
      </c>
      <c r="O216" s="15" t="n">
        <v>4</v>
      </c>
      <c r="P216" s="15" t="n">
        <v>3.5</v>
      </c>
      <c r="Q216" s="15" t="n">
        <v>2.1</v>
      </c>
      <c r="R216" s="15" t="n">
        <v>2.1</v>
      </c>
      <c r="S216" s="15" t="n">
        <v>1.9</v>
      </c>
      <c r="T216" s="16">
        <f>(G216*3 + H216*3 + I216*2 + J216*3 + K216*3 + L216*3 + M216*3 + N216*2 + O216*3 + P216*3 + Q216*3 + R216*3 + S216*10) / 44</f>
        <v/>
      </c>
    </row>
    <row r="217">
      <c r="A217" s="12">
        <f>ROW()-2</f>
        <v/>
      </c>
      <c r="B217" s="13" t="inlineStr">
        <is>
          <t>TẠ MINH DƯƠNG</t>
        </is>
      </c>
      <c r="C217" s="13" t="n">
        <v>253610660</v>
      </c>
      <c r="D217" s="17" t="inlineStr">
        <is>
          <t>Khoa học máy tính K66</t>
        </is>
      </c>
      <c r="E217" s="17" t="inlineStr">
        <is>
          <t>duong253610660@lms.utc.edu.vn</t>
        </is>
      </c>
      <c r="F217" s="14" t="inlineStr">
        <is>
          <t>0987650217</t>
        </is>
      </c>
      <c r="G217" s="15" t="n">
        <v>2.2</v>
      </c>
      <c r="H217" s="15" t="n">
        <v>1.9</v>
      </c>
      <c r="I217" s="15" t="n">
        <v>3.6</v>
      </c>
      <c r="J217" s="15" t="n">
        <v>3.9</v>
      </c>
      <c r="K217" s="15" t="n">
        <v>3</v>
      </c>
      <c r="L217" s="15" t="n">
        <v>2.4</v>
      </c>
      <c r="M217" s="15" t="n">
        <v>2</v>
      </c>
      <c r="N217" s="15" t="n">
        <v>3.6</v>
      </c>
      <c r="O217" s="15" t="n">
        <v>2.5</v>
      </c>
      <c r="P217" s="15" t="n">
        <v>2</v>
      </c>
      <c r="Q217" s="15" t="n">
        <v>3.4</v>
      </c>
      <c r="R217" s="15" t="n">
        <v>2.3</v>
      </c>
      <c r="S217" s="15" t="n">
        <v>2.1</v>
      </c>
      <c r="T217" s="16">
        <f>(G217*3 + H217*3 + I217*2 + J217*3 + K217*3 + L217*3 + M217*3 + N217*2 + O217*3 + P217*3 + Q217*3 + R217*3 + S217*10) / 44</f>
        <v/>
      </c>
    </row>
    <row r="218">
      <c r="A218" s="12">
        <f>ROW()-2</f>
        <v/>
      </c>
      <c r="B218" s="13" t="inlineStr">
        <is>
          <t>SA XUÂN ĐẠI</t>
        </is>
      </c>
      <c r="C218" s="13" t="n">
        <v>253610661</v>
      </c>
      <c r="D218" s="17" t="inlineStr">
        <is>
          <t>Khoa học máy tính K66</t>
        </is>
      </c>
      <c r="E218" s="17" t="inlineStr">
        <is>
          <t>dai253610661@lms.utc.edu.vn</t>
        </is>
      </c>
      <c r="F218" s="14" t="inlineStr">
        <is>
          <t>0987650218</t>
        </is>
      </c>
      <c r="G218" s="15" t="n">
        <v>3.6</v>
      </c>
      <c r="H218" s="15" t="n">
        <v>1.9</v>
      </c>
      <c r="I218" s="15" t="n">
        <v>2.6</v>
      </c>
      <c r="J218" s="15" t="n">
        <v>3.2</v>
      </c>
      <c r="K218" s="15" t="n">
        <v>3.8</v>
      </c>
      <c r="L218" s="15" t="n">
        <v>2.6</v>
      </c>
      <c r="M218" s="15" t="n">
        <v>3.4</v>
      </c>
      <c r="N218" s="15" t="n">
        <v>3.5</v>
      </c>
      <c r="O218" s="15" t="n">
        <v>3.5</v>
      </c>
      <c r="P218" s="15" t="n">
        <v>3.9</v>
      </c>
      <c r="Q218" s="15" t="n">
        <v>2.6</v>
      </c>
      <c r="R218" s="15" t="n">
        <v>3.3</v>
      </c>
      <c r="S218" s="15" t="n">
        <v>3.7</v>
      </c>
      <c r="T218" s="16">
        <f>(G218*3 + H218*3 + I218*2 + J218*3 + K218*3 + L218*3 + M218*3 + N218*2 + O218*3 + P218*3 + Q218*3 + R218*3 + S218*10) / 44</f>
        <v/>
      </c>
    </row>
    <row r="219">
      <c r="A219" s="12">
        <f>ROW()-2</f>
        <v/>
      </c>
      <c r="B219" s="13" t="inlineStr">
        <is>
          <t>NGUYỄN XUÂN ĐẠT</t>
        </is>
      </c>
      <c r="C219" s="13" t="n">
        <v>253630662</v>
      </c>
      <c r="D219" s="17" t="inlineStr">
        <is>
          <t>Khoa học máy tính K66</t>
        </is>
      </c>
      <c r="E219" s="17" t="inlineStr">
        <is>
          <t>dat253630662@lms.utc.edu.vn</t>
        </is>
      </c>
      <c r="F219" s="14" t="inlineStr">
        <is>
          <t>0987650219</t>
        </is>
      </c>
      <c r="G219" s="15" t="n">
        <v>3.8</v>
      </c>
      <c r="H219" s="15" t="n">
        <v>2.7</v>
      </c>
      <c r="I219" s="15" t="n">
        <v>3.9</v>
      </c>
      <c r="J219" s="15" t="n">
        <v>2.8</v>
      </c>
      <c r="K219" s="15" t="n">
        <v>3.9</v>
      </c>
      <c r="L219" s="15" t="n">
        <v>3.2</v>
      </c>
      <c r="M219" s="15" t="n">
        <v>2</v>
      </c>
      <c r="N219" s="15" t="n">
        <v>3.3</v>
      </c>
      <c r="O219" s="15" t="n">
        <v>3.5</v>
      </c>
      <c r="P219" s="15" t="n">
        <v>3.5</v>
      </c>
      <c r="Q219" s="15" t="n">
        <v>2.1</v>
      </c>
      <c r="R219" s="15" t="n">
        <v>3.7</v>
      </c>
      <c r="S219" s="15" t="n">
        <v>3.1</v>
      </c>
      <c r="T219" s="16">
        <f>(G219*3 + H219*3 + I219*2 + J219*3 + K219*3 + L219*3 + M219*3 + N219*2 + O219*3 + P219*3 + Q219*3 + R219*3 + S219*10) / 44</f>
        <v/>
      </c>
    </row>
    <row r="220">
      <c r="A220" s="12">
        <f>ROW()-2</f>
        <v/>
      </c>
      <c r="B220" s="13" t="inlineStr">
        <is>
          <t>PHẠM CÔNG ĐOAN</t>
        </is>
      </c>
      <c r="C220" s="13" t="n">
        <v>253630663</v>
      </c>
      <c r="D220" s="17" t="inlineStr">
        <is>
          <t>Khoa học máy tính K66</t>
        </is>
      </c>
      <c r="E220" s="17" t="inlineStr">
        <is>
          <t>doan253630663@lms.utc.edu.vn</t>
        </is>
      </c>
      <c r="F220" s="14" t="inlineStr">
        <is>
          <t>0987650220</t>
        </is>
      </c>
      <c r="G220" s="15" t="n">
        <v>3.3</v>
      </c>
      <c r="H220" s="15" t="n">
        <v>3.1</v>
      </c>
      <c r="I220" s="15" t="n">
        <v>3.5</v>
      </c>
      <c r="J220" s="15" t="n">
        <v>0.6</v>
      </c>
      <c r="K220" s="15" t="n">
        <v>3.9</v>
      </c>
      <c r="L220" s="15" t="n">
        <v>2.1</v>
      </c>
      <c r="M220" s="15" t="n">
        <v>2.7</v>
      </c>
      <c r="N220" s="15" t="n">
        <v>3.2</v>
      </c>
      <c r="O220" s="15" t="n">
        <v>3.7</v>
      </c>
      <c r="P220" s="15" t="n">
        <v>2.4</v>
      </c>
      <c r="Q220" s="15" t="n">
        <v>3.1</v>
      </c>
      <c r="R220" s="15" t="n">
        <v>2.5</v>
      </c>
      <c r="S220" s="15" t="n">
        <v>3.2</v>
      </c>
      <c r="T220" s="16">
        <f>(G220*3 + H220*3 + I220*2 + J220*3 + K220*3 + L220*3 + M220*3 + N220*2 + O220*3 + P220*3 + Q220*3 + R220*3 + S220*10) / 44</f>
        <v/>
      </c>
    </row>
    <row r="221">
      <c r="A221" s="12">
        <f>ROW()-2</f>
        <v/>
      </c>
      <c r="B221" s="13" t="inlineStr">
        <is>
          <t>ĐỖ TRƯỜNG GIANG</t>
        </is>
      </c>
      <c r="C221" s="13" t="n">
        <v>253630664</v>
      </c>
      <c r="D221" s="17" t="inlineStr">
        <is>
          <t>Khoa học máy tính K66</t>
        </is>
      </c>
      <c r="E221" s="17" t="inlineStr">
        <is>
          <t>giang253630664@lms.utc.edu.vn</t>
        </is>
      </c>
      <c r="F221" s="14" t="inlineStr">
        <is>
          <t>0987650221</t>
        </is>
      </c>
      <c r="G221" s="15" t="n">
        <v>2</v>
      </c>
      <c r="H221" s="15" t="n">
        <v>3.2</v>
      </c>
      <c r="I221" s="15" t="n">
        <v>1.9</v>
      </c>
      <c r="J221" s="15" t="n">
        <v>1.3</v>
      </c>
      <c r="K221" s="15" t="n">
        <v>3.4</v>
      </c>
      <c r="L221" s="15" t="n">
        <v>1.8</v>
      </c>
      <c r="M221" s="15" t="n">
        <v>3.5</v>
      </c>
      <c r="N221" s="15" t="n">
        <v>2.1</v>
      </c>
      <c r="O221" s="15" t="n">
        <v>4</v>
      </c>
      <c r="P221" s="15" t="n">
        <v>2.9</v>
      </c>
      <c r="Q221" s="15" t="n">
        <v>3</v>
      </c>
      <c r="R221" s="15" t="n">
        <v>2.5</v>
      </c>
      <c r="S221" s="15" t="n">
        <v>2.9</v>
      </c>
      <c r="T221" s="16">
        <f>(G221*3 + H221*3 + I221*2 + J221*3 + K221*3 + L221*3 + M221*3 + N221*2 + O221*3 + P221*3 + Q221*3 + R221*3 + S221*10) / 44</f>
        <v/>
      </c>
    </row>
    <row r="222">
      <c r="A222" s="12">
        <f>ROW()-2</f>
        <v/>
      </c>
      <c r="B222" s="13" t="inlineStr">
        <is>
          <t>LƯƠNG HOÀNG HẢI</t>
        </is>
      </c>
      <c r="C222" s="13" t="n">
        <v>253610665</v>
      </c>
      <c r="D222" s="17" t="inlineStr">
        <is>
          <t>Khoa học máy tính K66</t>
        </is>
      </c>
      <c r="E222" s="17" t="inlineStr">
        <is>
          <t>hai253610665@lms.utc.edu.vn</t>
        </is>
      </c>
      <c r="F222" s="14" t="inlineStr">
        <is>
          <t>0987650222</t>
        </is>
      </c>
      <c r="G222" s="15" t="n">
        <v>3.5</v>
      </c>
      <c r="H222" s="15" t="n">
        <v>3.9</v>
      </c>
      <c r="I222" s="15" t="n">
        <v>2</v>
      </c>
      <c r="J222" s="15" t="n">
        <v>3</v>
      </c>
      <c r="K222" s="15" t="n">
        <v>3.6</v>
      </c>
      <c r="L222" s="15" t="n">
        <v>2.2</v>
      </c>
      <c r="M222" s="15" t="n">
        <v>3.8</v>
      </c>
      <c r="N222" s="15" t="n">
        <v>2.9</v>
      </c>
      <c r="O222" s="15" t="n">
        <v>2.9</v>
      </c>
      <c r="P222" s="15" t="n">
        <v>2.5</v>
      </c>
      <c r="Q222" s="15" t="n">
        <v>2.6</v>
      </c>
      <c r="R222" s="15" t="n">
        <v>2.9</v>
      </c>
      <c r="S222" s="15" t="n">
        <v>2.5</v>
      </c>
      <c r="T222" s="16">
        <f>(G222*3 + H222*3 + I222*2 + J222*3 + K222*3 + L222*3 + M222*3 + N222*2 + O222*3 + P222*3 + Q222*3 + R222*3 + S222*10) / 44</f>
        <v/>
      </c>
    </row>
    <row r="223">
      <c r="A223" s="12">
        <f>ROW()-2</f>
        <v/>
      </c>
      <c r="B223" s="13" t="inlineStr">
        <is>
          <t>NGHIÊM ANH HÀO</t>
        </is>
      </c>
      <c r="C223" s="13" t="n">
        <v>253610666</v>
      </c>
      <c r="D223" s="17" t="inlineStr">
        <is>
          <t>Khoa học máy tính K66</t>
        </is>
      </c>
      <c r="E223" s="17" t="inlineStr">
        <is>
          <t>hao253610666@lms.utc.edu.vn</t>
        </is>
      </c>
      <c r="F223" s="14" t="inlineStr">
        <is>
          <t>0987650223</t>
        </is>
      </c>
      <c r="G223" s="15" t="n">
        <v>3.5</v>
      </c>
      <c r="H223" s="15" t="n">
        <v>2.4</v>
      </c>
      <c r="I223" s="15" t="n">
        <v>2</v>
      </c>
      <c r="J223" s="15" t="n">
        <v>2.2</v>
      </c>
      <c r="K223" s="15" t="n">
        <v>3.9</v>
      </c>
      <c r="L223" s="15" t="n">
        <v>2.4</v>
      </c>
      <c r="M223" s="15" t="n">
        <v>3.9</v>
      </c>
      <c r="N223" s="15" t="n">
        <v>2.9</v>
      </c>
      <c r="O223" s="15" t="n">
        <v>2.9</v>
      </c>
      <c r="P223" s="15" t="n">
        <v>1.8</v>
      </c>
      <c r="Q223" s="15" t="n">
        <v>1.9</v>
      </c>
      <c r="R223" s="15" t="n">
        <v>3.5</v>
      </c>
      <c r="S223" s="15" t="n">
        <v>1.8</v>
      </c>
      <c r="T223" s="16">
        <f>(G223*3 + H223*3 + I223*2 + J223*3 + K223*3 + L223*3 + M223*3 + N223*2 + O223*3 + P223*3 + Q223*3 + R223*3 + S223*10) / 44</f>
        <v/>
      </c>
    </row>
    <row r="224">
      <c r="A224" s="12">
        <f>ROW()-2</f>
        <v/>
      </c>
      <c r="B224" s="13" t="inlineStr">
        <is>
          <t>NGUYỄN TRUNG HIẾU</t>
        </is>
      </c>
      <c r="C224" s="13" t="n">
        <v>253610668</v>
      </c>
      <c r="D224" s="17" t="inlineStr">
        <is>
          <t>Khoa học máy tính K66</t>
        </is>
      </c>
      <c r="E224" s="17" t="inlineStr">
        <is>
          <t>hieu253610668@lms.utc.edu.vn</t>
        </is>
      </c>
      <c r="F224" s="14" t="inlineStr">
        <is>
          <t>0987650224</t>
        </is>
      </c>
      <c r="G224" s="15" t="n">
        <v>2</v>
      </c>
      <c r="H224" s="15" t="n">
        <v>3.8</v>
      </c>
      <c r="I224" s="15" t="n">
        <v>2.7</v>
      </c>
      <c r="J224" s="15" t="n">
        <v>0.7</v>
      </c>
      <c r="K224" s="15" t="n">
        <v>3.8</v>
      </c>
      <c r="L224" s="15" t="n">
        <v>3.6</v>
      </c>
      <c r="M224" s="15" t="n">
        <v>1.9</v>
      </c>
      <c r="N224" s="15" t="n">
        <v>3.5</v>
      </c>
      <c r="O224" s="15" t="n">
        <v>3.7</v>
      </c>
      <c r="P224" s="15" t="n">
        <v>2.2</v>
      </c>
      <c r="Q224" s="15" t="n">
        <v>3.8</v>
      </c>
      <c r="R224" s="15" t="n">
        <v>3.2</v>
      </c>
      <c r="S224" s="15" t="n">
        <v>2.8</v>
      </c>
      <c r="T224" s="16">
        <f>(G224*3 + H224*3 + I224*2 + J224*3 + K224*3 + L224*3 + M224*3 + N224*2 + O224*3 + P224*3 + Q224*3 + R224*3 + S224*10) / 44</f>
        <v/>
      </c>
    </row>
    <row r="225">
      <c r="A225" s="12">
        <f>ROW()-2</f>
        <v/>
      </c>
      <c r="B225" s="13" t="inlineStr">
        <is>
          <t>PHẠM KHÁNH HÒA</t>
        </is>
      </c>
      <c r="C225" s="13" t="n">
        <v>253610669</v>
      </c>
      <c r="D225" s="17" t="inlineStr">
        <is>
          <t>Khoa học máy tính K66</t>
        </is>
      </c>
      <c r="E225" s="17" t="inlineStr">
        <is>
          <t>hoa253610669@lms.utc.edu.vn</t>
        </is>
      </c>
      <c r="F225" s="14" t="inlineStr">
        <is>
          <t>0987650225</t>
        </is>
      </c>
      <c r="G225" s="15" t="n">
        <v>2.1</v>
      </c>
      <c r="H225" s="15" t="n">
        <v>2.9</v>
      </c>
      <c r="I225" s="15" t="n">
        <v>2.7</v>
      </c>
      <c r="J225" s="15" t="n">
        <v>1</v>
      </c>
      <c r="K225" s="15" t="n">
        <v>3.3</v>
      </c>
      <c r="L225" s="15" t="n">
        <v>3.4</v>
      </c>
      <c r="M225" s="15" t="n">
        <v>3</v>
      </c>
      <c r="N225" s="15" t="n">
        <v>3.3</v>
      </c>
      <c r="O225" s="15" t="n">
        <v>2.4</v>
      </c>
      <c r="P225" s="15" t="n">
        <v>3.8</v>
      </c>
      <c r="Q225" s="15" t="n">
        <v>3</v>
      </c>
      <c r="R225" s="15" t="n">
        <v>2</v>
      </c>
      <c r="S225" s="15" t="n">
        <v>3.3</v>
      </c>
      <c r="T225" s="16">
        <f>(G225*3 + H225*3 + I225*2 + J225*3 + K225*3 + L225*3 + M225*3 + N225*2 + O225*3 + P225*3 + Q225*3 + R225*3 + S225*10) / 44</f>
        <v/>
      </c>
    </row>
    <row r="226">
      <c r="A226" s="12">
        <f>ROW()-2</f>
        <v/>
      </c>
      <c r="B226" s="13" t="inlineStr">
        <is>
          <t>HOÀNG NGỌC HÙNG</t>
        </is>
      </c>
      <c r="C226" s="13" t="n">
        <v>253610670</v>
      </c>
      <c r="D226" s="17" t="inlineStr">
        <is>
          <t>Khoa học máy tính K66</t>
        </is>
      </c>
      <c r="E226" s="17" t="inlineStr">
        <is>
          <t>hung253610670@lms.utc.edu.vn</t>
        </is>
      </c>
      <c r="F226" s="14" t="inlineStr">
        <is>
          <t>0987650226</t>
        </is>
      </c>
      <c r="G226" s="15" t="n">
        <v>2.8</v>
      </c>
      <c r="H226" s="15" t="n">
        <v>2.6</v>
      </c>
      <c r="I226" s="15" t="n">
        <v>2.4</v>
      </c>
      <c r="J226" s="15" t="n">
        <v>0.8</v>
      </c>
      <c r="K226" s="15" t="n">
        <v>3.1</v>
      </c>
      <c r="L226" s="15" t="n">
        <v>2.6</v>
      </c>
      <c r="M226" s="15" t="n">
        <v>4</v>
      </c>
      <c r="N226" s="15" t="n">
        <v>1.9</v>
      </c>
      <c r="O226" s="15" t="n">
        <v>3.9</v>
      </c>
      <c r="P226" s="15" t="n">
        <v>3.1</v>
      </c>
      <c r="Q226" s="15" t="n">
        <v>3.3</v>
      </c>
      <c r="R226" s="15" t="n">
        <v>3.5</v>
      </c>
      <c r="S226" s="15" t="n">
        <v>2.8</v>
      </c>
      <c r="T226" s="16">
        <f>(G226*3 + H226*3 + I226*2 + J226*3 + K226*3 + L226*3 + M226*3 + N226*2 + O226*3 + P226*3 + Q226*3 + R226*3 + S226*10) / 44</f>
        <v/>
      </c>
    </row>
    <row r="227">
      <c r="A227" s="12">
        <f>ROW()-2</f>
        <v/>
      </c>
      <c r="B227" s="13" t="inlineStr">
        <is>
          <t>MẠC VIỆT HƯNG</t>
        </is>
      </c>
      <c r="C227" s="13" t="n">
        <v>253610672</v>
      </c>
      <c r="D227" s="17" t="inlineStr">
        <is>
          <t>Khoa học máy tính K66</t>
        </is>
      </c>
      <c r="E227" s="17" t="inlineStr">
        <is>
          <t>hung253610672@lms.utc.edu.vn</t>
        </is>
      </c>
      <c r="F227" s="14" t="inlineStr">
        <is>
          <t>0987650227</t>
        </is>
      </c>
      <c r="G227" s="15" t="n">
        <v>2.9</v>
      </c>
      <c r="H227" s="15" t="n">
        <v>2.6</v>
      </c>
      <c r="I227" s="15" t="n">
        <v>2.4</v>
      </c>
      <c r="J227" s="15" t="n">
        <v>2.5</v>
      </c>
      <c r="K227" s="15" t="n">
        <v>3.2</v>
      </c>
      <c r="L227" s="15" t="n">
        <v>1.8</v>
      </c>
      <c r="M227" s="15" t="n">
        <v>2.1</v>
      </c>
      <c r="N227" s="15" t="n">
        <v>2.3</v>
      </c>
      <c r="O227" s="15" t="n">
        <v>2.4</v>
      </c>
      <c r="P227" s="15" t="n">
        <v>1.8</v>
      </c>
      <c r="Q227" s="15" t="n">
        <v>3.1</v>
      </c>
      <c r="R227" s="15" t="n">
        <v>2.1</v>
      </c>
      <c r="S227" s="15" t="n">
        <v>3.1</v>
      </c>
      <c r="T227" s="16">
        <f>(G227*3 + H227*3 + I227*2 + J227*3 + K227*3 + L227*3 + M227*3 + N227*2 + O227*3 + P227*3 + Q227*3 + R227*3 + S227*10) / 44</f>
        <v/>
      </c>
    </row>
    <row r="228">
      <c r="A228" s="12">
        <f>ROW()-2</f>
        <v/>
      </c>
      <c r="B228" s="13" t="inlineStr">
        <is>
          <t>NGUYỄN ĐỨC HÙNG</t>
        </is>
      </c>
      <c r="C228" s="13" t="n">
        <v>253610671</v>
      </c>
      <c r="D228" s="17" t="inlineStr">
        <is>
          <t>Khoa học máy tính K66</t>
        </is>
      </c>
      <c r="E228" s="17" t="inlineStr">
        <is>
          <t>hung253610671@lms.utc.edu.vn</t>
        </is>
      </c>
      <c r="F228" s="14" t="inlineStr">
        <is>
          <t>0987650228</t>
        </is>
      </c>
      <c r="G228" s="15" t="n">
        <v>2.4</v>
      </c>
      <c r="H228" s="15" t="n">
        <v>4</v>
      </c>
      <c r="I228" s="15" t="n">
        <v>1.9</v>
      </c>
      <c r="J228" s="15" t="n">
        <v>3.8</v>
      </c>
      <c r="K228" s="15" t="n">
        <v>3.1</v>
      </c>
      <c r="L228" s="15" t="n">
        <v>2.9</v>
      </c>
      <c r="M228" s="15" t="n">
        <v>3.9</v>
      </c>
      <c r="N228" s="15" t="n">
        <v>1.8</v>
      </c>
      <c r="O228" s="15" t="n">
        <v>2.8</v>
      </c>
      <c r="P228" s="15" t="n">
        <v>1.8</v>
      </c>
      <c r="Q228" s="15" t="n">
        <v>2.2</v>
      </c>
      <c r="R228" s="15" t="n">
        <v>3.3</v>
      </c>
      <c r="S228" s="15" t="n">
        <v>2.8</v>
      </c>
      <c r="T228" s="16">
        <f>(G228*3 + H228*3 + I228*2 + J228*3 + K228*3 + L228*3 + M228*3 + N228*2 + O228*3 + P228*3 + Q228*3 + R228*3 + S228*10) / 44</f>
        <v/>
      </c>
    </row>
    <row r="229">
      <c r="A229" s="12">
        <f>ROW()-2</f>
        <v/>
      </c>
      <c r="B229" s="13" t="inlineStr">
        <is>
          <t>PHẠM GIA KHIÊM</t>
        </is>
      </c>
      <c r="C229" s="13" t="n">
        <v>253610674</v>
      </c>
      <c r="D229" s="17" t="inlineStr">
        <is>
          <t>Khoa học máy tính K66</t>
        </is>
      </c>
      <c r="E229" s="17" t="inlineStr">
        <is>
          <t>khiem253610674@lms.utc.edu.vn</t>
        </is>
      </c>
      <c r="F229" s="14" t="inlineStr">
        <is>
          <t>0987650229</t>
        </is>
      </c>
      <c r="G229" s="15" t="n">
        <v>3.9</v>
      </c>
      <c r="H229" s="15" t="n">
        <v>3</v>
      </c>
      <c r="I229" s="15" t="n">
        <v>2.7</v>
      </c>
      <c r="J229" s="15" t="n">
        <v>1.6</v>
      </c>
      <c r="K229" s="15" t="n">
        <v>3.8</v>
      </c>
      <c r="L229" s="15" t="n">
        <v>2.4</v>
      </c>
      <c r="M229" s="15" t="n">
        <v>3.8</v>
      </c>
      <c r="N229" s="15" t="n">
        <v>2.9</v>
      </c>
      <c r="O229" s="15" t="n">
        <v>2.1</v>
      </c>
      <c r="P229" s="15" t="n">
        <v>2.4</v>
      </c>
      <c r="Q229" s="15" t="n">
        <v>3.7</v>
      </c>
      <c r="R229" s="15" t="n">
        <v>2</v>
      </c>
      <c r="S229" s="15" t="n">
        <v>1.8</v>
      </c>
      <c r="T229" s="16">
        <f>(G229*3 + H229*3 + I229*2 + J229*3 + K229*3 + L229*3 + M229*3 + N229*2 + O229*3 + P229*3 + Q229*3 + R229*3 + S229*10) / 44</f>
        <v/>
      </c>
    </row>
    <row r="230">
      <c r="A230" s="12">
        <f>ROW()-2</f>
        <v/>
      </c>
      <c r="B230" s="13" t="inlineStr">
        <is>
          <t>HOÀNG ANH KHÔI</t>
        </is>
      </c>
      <c r="C230" s="13" t="n">
        <v>253630675</v>
      </c>
      <c r="D230" s="17" t="inlineStr">
        <is>
          <t>Khoa học máy tính K66</t>
        </is>
      </c>
      <c r="E230" s="17" t="inlineStr">
        <is>
          <t>khoi253630675@lms.utc.edu.vn</t>
        </is>
      </c>
      <c r="F230" s="14" t="inlineStr">
        <is>
          <t>0987650230</t>
        </is>
      </c>
      <c r="G230" s="15" t="n">
        <v>2.7</v>
      </c>
      <c r="H230" s="15" t="n">
        <v>2.7</v>
      </c>
      <c r="I230" s="15" t="n">
        <v>1.8</v>
      </c>
      <c r="J230" s="15" t="n">
        <v>3.4</v>
      </c>
      <c r="K230" s="15" t="n">
        <v>2.6</v>
      </c>
      <c r="L230" s="15" t="n">
        <v>2.7</v>
      </c>
      <c r="M230" s="15" t="n">
        <v>3.8</v>
      </c>
      <c r="N230" s="15" t="n">
        <v>2.5</v>
      </c>
      <c r="O230" s="15" t="n">
        <v>3</v>
      </c>
      <c r="P230" s="15" t="n">
        <v>3.7</v>
      </c>
      <c r="Q230" s="15" t="n">
        <v>3.5</v>
      </c>
      <c r="R230" s="15" t="n">
        <v>2.6</v>
      </c>
      <c r="S230" s="15" t="n">
        <v>3.2</v>
      </c>
      <c r="T230" s="16">
        <f>(G230*3 + H230*3 + I230*2 + J230*3 + K230*3 + L230*3 + M230*3 + N230*2 + O230*3 + P230*3 + Q230*3 + R230*3 + S230*10) / 44</f>
        <v/>
      </c>
    </row>
    <row r="231">
      <c r="A231" s="12">
        <f>ROW()-2</f>
        <v/>
      </c>
      <c r="B231" s="13" t="inlineStr">
        <is>
          <t>VŨ MẠNH KIÊN</t>
        </is>
      </c>
      <c r="C231" s="13" t="n">
        <v>253610676</v>
      </c>
      <c r="D231" s="17" t="inlineStr">
        <is>
          <t>Khoa học máy tính K66</t>
        </is>
      </c>
      <c r="E231" s="17" t="inlineStr">
        <is>
          <t>kien253610676@lms.utc.edu.vn</t>
        </is>
      </c>
      <c r="F231" s="14" t="inlineStr">
        <is>
          <t>0987650231</t>
        </is>
      </c>
      <c r="G231" s="15" t="n">
        <v>2.6</v>
      </c>
      <c r="H231" s="15" t="n">
        <v>1.9</v>
      </c>
      <c r="I231" s="15" t="n">
        <v>3</v>
      </c>
      <c r="J231" s="15" t="n">
        <v>2.8</v>
      </c>
      <c r="K231" s="15" t="n">
        <v>2</v>
      </c>
      <c r="L231" s="15" t="n">
        <v>2.8</v>
      </c>
      <c r="M231" s="15" t="n">
        <v>2.7</v>
      </c>
      <c r="N231" s="15" t="n">
        <v>3.1</v>
      </c>
      <c r="O231" s="15" t="n">
        <v>3.5</v>
      </c>
      <c r="P231" s="15" t="n">
        <v>3.5</v>
      </c>
      <c r="Q231" s="15" t="n">
        <v>3</v>
      </c>
      <c r="R231" s="15" t="n">
        <v>2.8</v>
      </c>
      <c r="S231" s="15" t="n">
        <v>1.9</v>
      </c>
      <c r="T231" s="16">
        <f>(G231*3 + H231*3 + I231*2 + J231*3 + K231*3 + L231*3 + M231*3 + N231*2 + O231*3 + P231*3 + Q231*3 + R231*3 + S231*10) / 44</f>
        <v/>
      </c>
    </row>
    <row r="232">
      <c r="A232" s="12">
        <f>ROW()-2</f>
        <v/>
      </c>
      <c r="B232" s="13" t="inlineStr">
        <is>
          <t>NGUYỄN HOÀNG LONG</t>
        </is>
      </c>
      <c r="C232" s="13" t="n">
        <v>253610677</v>
      </c>
      <c r="D232" s="17" t="inlineStr">
        <is>
          <t>Khoa học máy tính K66</t>
        </is>
      </c>
      <c r="E232" s="17" t="inlineStr">
        <is>
          <t>long253610677@lms.utc.edu.vn</t>
        </is>
      </c>
      <c r="F232" s="14" t="inlineStr">
        <is>
          <t>0987650232</t>
        </is>
      </c>
      <c r="G232" s="15" t="n">
        <v>2.4</v>
      </c>
      <c r="H232" s="15" t="n">
        <v>2.2</v>
      </c>
      <c r="I232" s="15" t="n">
        <v>3.6</v>
      </c>
      <c r="J232" s="15" t="n">
        <v>1.8</v>
      </c>
      <c r="K232" s="15" t="n">
        <v>2.1</v>
      </c>
      <c r="L232" s="15" t="n">
        <v>4</v>
      </c>
      <c r="M232" s="15" t="n">
        <v>2.3</v>
      </c>
      <c r="N232" s="15" t="n">
        <v>2.6</v>
      </c>
      <c r="O232" s="15" t="n">
        <v>2.9</v>
      </c>
      <c r="P232" s="15" t="n">
        <v>2.9</v>
      </c>
      <c r="Q232" s="15" t="n">
        <v>3.1</v>
      </c>
      <c r="R232" s="15" t="n">
        <v>3.8</v>
      </c>
      <c r="S232" s="15" t="n">
        <v>2.9</v>
      </c>
      <c r="T232" s="16">
        <f>(G232*3 + H232*3 + I232*2 + J232*3 + K232*3 + L232*3 + M232*3 + N232*2 + O232*3 + P232*3 + Q232*3 + R232*3 + S232*10) / 44</f>
        <v/>
      </c>
    </row>
    <row r="233">
      <c r="A233" s="12">
        <f>ROW()-2</f>
        <v/>
      </c>
      <c r="B233" s="13" t="inlineStr">
        <is>
          <t>BÙI DUY MẠNH</t>
        </is>
      </c>
      <c r="C233" s="13" t="n">
        <v>253610678</v>
      </c>
      <c r="D233" s="17" t="inlineStr">
        <is>
          <t>Khoa học máy tính K66</t>
        </is>
      </c>
      <c r="E233" s="17" t="inlineStr">
        <is>
          <t>manh253610678@lms.utc.edu.vn</t>
        </is>
      </c>
      <c r="F233" s="14" t="inlineStr">
        <is>
          <t>0987650233</t>
        </is>
      </c>
      <c r="G233" s="15" t="n">
        <v>3.4</v>
      </c>
      <c r="H233" s="15" t="n">
        <v>2.4</v>
      </c>
      <c r="I233" s="15" t="n">
        <v>3.1</v>
      </c>
      <c r="J233" s="15" t="n">
        <v>2.3</v>
      </c>
      <c r="K233" s="15" t="n">
        <v>2.6</v>
      </c>
      <c r="L233" s="15" t="n">
        <v>3</v>
      </c>
      <c r="M233" s="15" t="n">
        <v>2.2</v>
      </c>
      <c r="N233" s="15" t="n">
        <v>3.1</v>
      </c>
      <c r="O233" s="15" t="n">
        <v>2.9</v>
      </c>
      <c r="P233" s="15" t="n">
        <v>3.8</v>
      </c>
      <c r="Q233" s="15" t="n">
        <v>2.2</v>
      </c>
      <c r="R233" s="15" t="n">
        <v>2.2</v>
      </c>
      <c r="S233" s="15" t="n">
        <v>3</v>
      </c>
      <c r="T233" s="16">
        <f>(G233*3 + H233*3 + I233*2 + J233*3 + K233*3 + L233*3 + M233*3 + N233*2 + O233*3 + P233*3 + Q233*3 + R233*3 + S233*10) / 44</f>
        <v/>
      </c>
    </row>
    <row r="234">
      <c r="A234" s="12">
        <f>ROW()-2</f>
        <v/>
      </c>
      <c r="B234" s="13" t="inlineStr">
        <is>
          <t>HOÀNG ĐỨC MẠNH</t>
        </is>
      </c>
      <c r="C234" s="13" t="n">
        <v>253610679</v>
      </c>
      <c r="D234" s="17" t="inlineStr">
        <is>
          <t>Khoa học máy tính K66</t>
        </is>
      </c>
      <c r="E234" s="17" t="inlineStr">
        <is>
          <t>manh253610679@lms.utc.edu.vn</t>
        </is>
      </c>
      <c r="F234" s="14" t="inlineStr">
        <is>
          <t>0987650234</t>
        </is>
      </c>
      <c r="G234" s="15" t="n">
        <v>2.7</v>
      </c>
      <c r="H234" s="15" t="n">
        <v>4</v>
      </c>
      <c r="I234" s="15" t="n">
        <v>2.4</v>
      </c>
      <c r="J234" s="15" t="n">
        <v>1.2</v>
      </c>
      <c r="K234" s="15" t="n">
        <v>2.3</v>
      </c>
      <c r="L234" s="15" t="n">
        <v>3.3</v>
      </c>
      <c r="M234" s="15" t="n">
        <v>2.7</v>
      </c>
      <c r="N234" s="15" t="n">
        <v>2.4</v>
      </c>
      <c r="O234" s="15" t="n">
        <v>3.5</v>
      </c>
      <c r="P234" s="15" t="n">
        <v>3.1</v>
      </c>
      <c r="Q234" s="15" t="n">
        <v>3.8</v>
      </c>
      <c r="R234" s="15" t="n">
        <v>3.9</v>
      </c>
      <c r="S234" s="15" t="n">
        <v>3</v>
      </c>
      <c r="T234" s="16">
        <f>(G234*3 + H234*3 + I234*2 + J234*3 + K234*3 + L234*3 + M234*3 + N234*2 + O234*3 + P234*3 + Q234*3 + R234*3 + S234*10) / 44</f>
        <v/>
      </c>
    </row>
    <row r="235">
      <c r="A235" s="12">
        <f>ROW()-2</f>
        <v/>
      </c>
      <c r="B235" s="13" t="inlineStr">
        <is>
          <t>LÊ ĐỨC MẠNH</t>
        </is>
      </c>
      <c r="C235" s="13" t="n">
        <v>253630680</v>
      </c>
      <c r="D235" s="17" t="inlineStr">
        <is>
          <t>Khoa học máy tính K66</t>
        </is>
      </c>
      <c r="E235" s="17" t="inlineStr">
        <is>
          <t>manh253630680@lms.utc.edu.vn</t>
        </is>
      </c>
      <c r="F235" s="14" t="inlineStr">
        <is>
          <t>0987650235</t>
        </is>
      </c>
      <c r="G235" s="15" t="n">
        <v>2.5</v>
      </c>
      <c r="H235" s="15" t="n">
        <v>2.5</v>
      </c>
      <c r="I235" s="15" t="n">
        <v>3.2</v>
      </c>
      <c r="J235" s="15" t="n">
        <v>3</v>
      </c>
      <c r="K235" s="15" t="n">
        <v>2.9</v>
      </c>
      <c r="L235" s="15" t="n">
        <v>2.5</v>
      </c>
      <c r="M235" s="15" t="n">
        <v>3.9</v>
      </c>
      <c r="N235" s="15" t="n">
        <v>3.8</v>
      </c>
      <c r="O235" s="15" t="n">
        <v>3.4</v>
      </c>
      <c r="P235" s="15" t="n">
        <v>2</v>
      </c>
      <c r="Q235" s="15" t="n">
        <v>1.9</v>
      </c>
      <c r="R235" s="15" t="n">
        <v>3.6</v>
      </c>
      <c r="S235" s="15" t="n">
        <v>2.3</v>
      </c>
      <c r="T235" s="16">
        <f>(G235*3 + H235*3 + I235*2 + J235*3 + K235*3 + L235*3 + M235*3 + N235*2 + O235*3 + P235*3 + Q235*3 + R235*3 + S235*10) / 44</f>
        <v/>
      </c>
    </row>
    <row r="236">
      <c r="A236" s="12">
        <f>ROW()-2</f>
        <v/>
      </c>
      <c r="B236" s="13" t="inlineStr">
        <is>
          <t>NGUYỄN BÁ MẠNH</t>
        </is>
      </c>
      <c r="C236" s="13" t="n">
        <v>253610681</v>
      </c>
      <c r="D236" s="17" t="inlineStr">
        <is>
          <t>Khoa học máy tính K66</t>
        </is>
      </c>
      <c r="E236" s="17" t="inlineStr">
        <is>
          <t>manh253610681@lms.utc.edu.vn</t>
        </is>
      </c>
      <c r="F236" s="14" t="inlineStr">
        <is>
          <t>0987650236</t>
        </is>
      </c>
      <c r="G236" s="15" t="n">
        <v>3.1</v>
      </c>
      <c r="H236" s="15" t="n">
        <v>2</v>
      </c>
      <c r="I236" s="15" t="n">
        <v>2.5</v>
      </c>
      <c r="J236" s="15" t="n">
        <v>3.7</v>
      </c>
      <c r="K236" s="15" t="n">
        <v>2.5</v>
      </c>
      <c r="L236" s="15" t="n">
        <v>3.8</v>
      </c>
      <c r="M236" s="15" t="n">
        <v>2.4</v>
      </c>
      <c r="N236" s="15" t="n">
        <v>3.5</v>
      </c>
      <c r="O236" s="15" t="n">
        <v>3.2</v>
      </c>
      <c r="P236" s="15" t="n">
        <v>3.7</v>
      </c>
      <c r="Q236" s="15" t="n">
        <v>2.5</v>
      </c>
      <c r="R236" s="15" t="n">
        <v>1.9</v>
      </c>
      <c r="S236" s="15" t="n">
        <v>3.6</v>
      </c>
      <c r="T236" s="16">
        <f>(G236*3 + H236*3 + I236*2 + J236*3 + K236*3 + L236*3 + M236*3 + N236*2 + O236*3 + P236*3 + Q236*3 + R236*3 + S236*10) / 44</f>
        <v/>
      </c>
    </row>
    <row r="237">
      <c r="A237" s="12">
        <f>ROW()-2</f>
        <v/>
      </c>
      <c r="B237" s="13" t="inlineStr">
        <is>
          <t>HOÀNG GIA MINH</t>
        </is>
      </c>
      <c r="C237" s="13" t="n">
        <v>253610682</v>
      </c>
      <c r="D237" s="17" t="inlineStr">
        <is>
          <t>Khoa học máy tính K66</t>
        </is>
      </c>
      <c r="E237" s="17" t="inlineStr">
        <is>
          <t>minh253610682@lms.utc.edu.vn</t>
        </is>
      </c>
      <c r="F237" s="14" t="inlineStr">
        <is>
          <t>0987650237</t>
        </is>
      </c>
      <c r="G237" s="15" t="n">
        <v>2.8</v>
      </c>
      <c r="H237" s="15" t="n">
        <v>3.1</v>
      </c>
      <c r="I237" s="15" t="n">
        <v>2.2</v>
      </c>
      <c r="J237" s="15" t="n">
        <v>1.5</v>
      </c>
      <c r="K237" s="15" t="n">
        <v>3</v>
      </c>
      <c r="L237" s="15" t="n">
        <v>3.3</v>
      </c>
      <c r="M237" s="15" t="n">
        <v>2.5</v>
      </c>
      <c r="N237" s="15" t="n">
        <v>2</v>
      </c>
      <c r="O237" s="15" t="n">
        <v>1.8</v>
      </c>
      <c r="P237" s="15" t="n">
        <v>3.5</v>
      </c>
      <c r="Q237" s="15" t="n">
        <v>3.8</v>
      </c>
      <c r="R237" s="15" t="n">
        <v>2.7</v>
      </c>
      <c r="S237" s="15" t="n">
        <v>2.5</v>
      </c>
      <c r="T237" s="16">
        <f>(G237*3 + H237*3 + I237*2 + J237*3 + K237*3 + L237*3 + M237*3 + N237*2 + O237*3 + P237*3 + Q237*3 + R237*3 + S237*10) / 44</f>
        <v/>
      </c>
    </row>
    <row r="238">
      <c r="A238" s="12">
        <f>ROW()-2</f>
        <v/>
      </c>
      <c r="B238" s="13" t="inlineStr">
        <is>
          <t>LÊ QUANG MINH</t>
        </is>
      </c>
      <c r="C238" s="13" t="n">
        <v>253610683</v>
      </c>
      <c r="D238" s="17" t="inlineStr">
        <is>
          <t>Khoa học máy tính K66</t>
        </is>
      </c>
      <c r="E238" s="17" t="inlineStr">
        <is>
          <t>minh253610683@lms.utc.edu.vn</t>
        </is>
      </c>
      <c r="F238" s="14" t="inlineStr">
        <is>
          <t>0987650238</t>
        </is>
      </c>
      <c r="G238" s="15" t="n">
        <v>3.6</v>
      </c>
      <c r="H238" s="15" t="n">
        <v>3.2</v>
      </c>
      <c r="I238" s="15" t="n">
        <v>2.6</v>
      </c>
      <c r="J238" s="15" t="n">
        <v>0.8</v>
      </c>
      <c r="K238" s="15" t="n">
        <v>3.3</v>
      </c>
      <c r="L238" s="15" t="n">
        <v>3.9</v>
      </c>
      <c r="M238" s="15" t="n">
        <v>2.6</v>
      </c>
      <c r="N238" s="15" t="n">
        <v>2.3</v>
      </c>
      <c r="O238" s="15" t="n">
        <v>3.4</v>
      </c>
      <c r="P238" s="15" t="n">
        <v>3.2</v>
      </c>
      <c r="Q238" s="15" t="n">
        <v>4</v>
      </c>
      <c r="R238" s="15" t="n">
        <v>1.8</v>
      </c>
      <c r="S238" s="15" t="n">
        <v>3</v>
      </c>
      <c r="T238" s="16">
        <f>(G238*3 + H238*3 + I238*2 + J238*3 + K238*3 + L238*3 + M238*3 + N238*2 + O238*3 + P238*3 + Q238*3 + R238*3 + S238*10) / 44</f>
        <v/>
      </c>
    </row>
    <row r="239">
      <c r="A239" s="12">
        <f>ROW()-2</f>
        <v/>
      </c>
      <c r="B239" s="13" t="inlineStr">
        <is>
          <t>NGUYỄN NHẬT MINH</t>
        </is>
      </c>
      <c r="C239" s="13" t="n">
        <v>253610684</v>
      </c>
      <c r="D239" s="17" t="inlineStr">
        <is>
          <t>Khoa học máy tính K66</t>
        </is>
      </c>
      <c r="E239" s="17" t="inlineStr">
        <is>
          <t>minh253610684@lms.utc.edu.vn</t>
        </is>
      </c>
      <c r="F239" s="14" t="inlineStr">
        <is>
          <t>0987650239</t>
        </is>
      </c>
      <c r="G239" s="15" t="n">
        <v>3.4</v>
      </c>
      <c r="H239" s="15" t="n">
        <v>1.8</v>
      </c>
      <c r="I239" s="15" t="n">
        <v>2</v>
      </c>
      <c r="J239" s="15" t="n">
        <v>3.4</v>
      </c>
      <c r="K239" s="15" t="n">
        <v>3.1</v>
      </c>
      <c r="L239" s="15" t="n">
        <v>3.5</v>
      </c>
      <c r="M239" s="15" t="n">
        <v>2.1</v>
      </c>
      <c r="N239" s="15" t="n">
        <v>1.9</v>
      </c>
      <c r="O239" s="15" t="n">
        <v>2.7</v>
      </c>
      <c r="P239" s="15" t="n">
        <v>3.5</v>
      </c>
      <c r="Q239" s="15" t="n">
        <v>3.4</v>
      </c>
      <c r="R239" s="15" t="n">
        <v>2.7</v>
      </c>
      <c r="S239" s="15" t="n">
        <v>2.2</v>
      </c>
      <c r="T239" s="16">
        <f>(G239*3 + H239*3 + I239*2 + J239*3 + K239*3 + L239*3 + M239*3 + N239*2 + O239*3 + P239*3 + Q239*3 + R239*3 + S239*10) / 44</f>
        <v/>
      </c>
    </row>
    <row r="240">
      <c r="A240" s="12">
        <f>ROW()-2</f>
        <v/>
      </c>
      <c r="B240" s="13" t="inlineStr">
        <is>
          <t>NGUYỄN THÀNH MINH</t>
        </is>
      </c>
      <c r="C240" s="13" t="n">
        <v>253610685</v>
      </c>
      <c r="D240" s="17" t="inlineStr">
        <is>
          <t>Khoa học máy tính K66</t>
        </is>
      </c>
      <c r="E240" s="17" t="inlineStr">
        <is>
          <t>minh253610685@lms.utc.edu.vn</t>
        </is>
      </c>
      <c r="F240" s="14" t="inlineStr">
        <is>
          <t>0987650240</t>
        </is>
      </c>
      <c r="G240" s="15" t="n">
        <v>2.8</v>
      </c>
      <c r="H240" s="15" t="n">
        <v>4</v>
      </c>
      <c r="I240" s="15" t="n">
        <v>4</v>
      </c>
      <c r="J240" s="15" t="n">
        <v>0.7</v>
      </c>
      <c r="K240" s="15" t="n">
        <v>2.9</v>
      </c>
      <c r="L240" s="15" t="n">
        <v>3.6</v>
      </c>
      <c r="M240" s="15" t="n">
        <v>2.5</v>
      </c>
      <c r="N240" s="15" t="n">
        <v>3.7</v>
      </c>
      <c r="O240" s="15" t="n">
        <v>2.8</v>
      </c>
      <c r="P240" s="15" t="n">
        <v>3.8</v>
      </c>
      <c r="Q240" s="15" t="n">
        <v>3.3</v>
      </c>
      <c r="R240" s="15" t="n">
        <v>2.8</v>
      </c>
      <c r="S240" s="15" t="n">
        <v>3.6</v>
      </c>
      <c r="T240" s="16">
        <f>(G240*3 + H240*3 + I240*2 + J240*3 + K240*3 + L240*3 + M240*3 + N240*2 + O240*3 + P240*3 + Q240*3 + R240*3 + S240*10) / 44</f>
        <v/>
      </c>
    </row>
    <row r="241">
      <c r="A241" s="12">
        <f>ROW()-2</f>
        <v/>
      </c>
      <c r="B241" s="13" t="inlineStr">
        <is>
          <t>PHẠM NHẬT MINH</t>
        </is>
      </c>
      <c r="C241" s="13" t="n">
        <v>253610686</v>
      </c>
      <c r="D241" s="17" t="inlineStr">
        <is>
          <t>Khoa học máy tính K66</t>
        </is>
      </c>
      <c r="E241" s="17" t="inlineStr">
        <is>
          <t>minh253610686@lms.utc.edu.vn</t>
        </is>
      </c>
      <c r="F241" s="14" t="inlineStr">
        <is>
          <t>0987650241</t>
        </is>
      </c>
      <c r="G241" s="15" t="n">
        <v>2.9</v>
      </c>
      <c r="H241" s="15" t="n">
        <v>2.4</v>
      </c>
      <c r="I241" s="15" t="n">
        <v>2.1</v>
      </c>
      <c r="J241" s="15" t="n">
        <v>1.9</v>
      </c>
      <c r="K241" s="15" t="n">
        <v>2.2</v>
      </c>
      <c r="L241" s="15" t="n">
        <v>2.3</v>
      </c>
      <c r="M241" s="15" t="n">
        <v>2.1</v>
      </c>
      <c r="N241" s="15" t="n">
        <v>2.8</v>
      </c>
      <c r="O241" s="15" t="n">
        <v>2.7</v>
      </c>
      <c r="P241" s="15" t="n">
        <v>2.1</v>
      </c>
      <c r="Q241" s="15" t="n">
        <v>2.4</v>
      </c>
      <c r="R241" s="15" t="n">
        <v>3</v>
      </c>
      <c r="S241" s="15" t="n">
        <v>2.3</v>
      </c>
      <c r="T241" s="16">
        <f>(G241*3 + H241*3 + I241*2 + J241*3 + K241*3 + L241*3 + M241*3 + N241*2 + O241*3 + P241*3 + Q241*3 + R241*3 + S241*10) / 44</f>
        <v/>
      </c>
    </row>
    <row r="242">
      <c r="A242" s="12">
        <f>ROW()-2</f>
        <v/>
      </c>
      <c r="B242" s="13" t="inlineStr">
        <is>
          <t>HOÀNG TUẤN PHONG</t>
        </is>
      </c>
      <c r="C242" s="13" t="n">
        <v>253630687</v>
      </c>
      <c r="D242" s="17" t="inlineStr">
        <is>
          <t>Khoa học máy tính K66</t>
        </is>
      </c>
      <c r="E242" s="17" t="inlineStr">
        <is>
          <t>phong253630687@lms.utc.edu.vn</t>
        </is>
      </c>
      <c r="F242" s="14" t="inlineStr">
        <is>
          <t>0987650242</t>
        </is>
      </c>
      <c r="G242" s="15" t="n">
        <v>2.5</v>
      </c>
      <c r="H242" s="15" t="n">
        <v>1.8</v>
      </c>
      <c r="I242" s="15" t="n">
        <v>4</v>
      </c>
      <c r="J242" s="15" t="n">
        <v>3.6</v>
      </c>
      <c r="K242" s="15" t="n">
        <v>1.8</v>
      </c>
      <c r="L242" s="15" t="n">
        <v>3.6</v>
      </c>
      <c r="M242" s="15" t="n">
        <v>3.1</v>
      </c>
      <c r="N242" s="15" t="n">
        <v>3.4</v>
      </c>
      <c r="O242" s="15" t="n">
        <v>2.6</v>
      </c>
      <c r="P242" s="15" t="n">
        <v>3.5</v>
      </c>
      <c r="Q242" s="15" t="n">
        <v>3.9</v>
      </c>
      <c r="R242" s="15" t="n">
        <v>3</v>
      </c>
      <c r="S242" s="15" t="n">
        <v>2.6</v>
      </c>
      <c r="T242" s="16">
        <f>(G242*3 + H242*3 + I242*2 + J242*3 + K242*3 + L242*3 + M242*3 + N242*2 + O242*3 + P242*3 + Q242*3 + R242*3 + S242*10) / 44</f>
        <v/>
      </c>
    </row>
    <row r="243">
      <c r="A243" s="12">
        <f>ROW()-2</f>
        <v/>
      </c>
      <c r="B243" s="13" t="inlineStr">
        <is>
          <t>TRẦN ĐAN PHONG</t>
        </is>
      </c>
      <c r="C243" s="13" t="n">
        <v>253630688</v>
      </c>
      <c r="D243" s="17" t="inlineStr">
        <is>
          <t>Khoa học máy tính K66</t>
        </is>
      </c>
      <c r="E243" s="17" t="inlineStr">
        <is>
          <t>phong253630688@lms.utc.edu.vn</t>
        </is>
      </c>
      <c r="F243" s="14" t="inlineStr">
        <is>
          <t>0987650243</t>
        </is>
      </c>
      <c r="G243" s="15" t="n">
        <v>2.9</v>
      </c>
      <c r="H243" s="15" t="n">
        <v>4</v>
      </c>
      <c r="I243" s="15" t="n">
        <v>3.7</v>
      </c>
      <c r="J243" s="15" t="n">
        <v>3.6</v>
      </c>
      <c r="K243" s="15" t="n">
        <v>2.3</v>
      </c>
      <c r="L243" s="15" t="n">
        <v>1.9</v>
      </c>
      <c r="M243" s="15" t="n">
        <v>3.3</v>
      </c>
      <c r="N243" s="15" t="n">
        <v>3</v>
      </c>
      <c r="O243" s="15" t="n">
        <v>3.2</v>
      </c>
      <c r="P243" s="15" t="n">
        <v>3.2</v>
      </c>
      <c r="Q243" s="15" t="n">
        <v>3</v>
      </c>
      <c r="R243" s="15" t="n">
        <v>2.8</v>
      </c>
      <c r="S243" s="15" t="n">
        <v>3.9</v>
      </c>
      <c r="T243" s="16">
        <f>(G243*3 + H243*3 + I243*2 + J243*3 + K243*3 + L243*3 + M243*3 + N243*2 + O243*3 + P243*3 + Q243*3 + R243*3 + S243*10) / 44</f>
        <v/>
      </c>
    </row>
    <row r="244">
      <c r="A244" s="12">
        <f>ROW()-2</f>
        <v/>
      </c>
      <c r="B244" s="13" t="inlineStr">
        <is>
          <t>ĐINH VĂN PHÚC</t>
        </is>
      </c>
      <c r="C244" s="13" t="n">
        <v>253634785</v>
      </c>
      <c r="D244" s="17" t="inlineStr">
        <is>
          <t>Khoa học máy tính K66</t>
        </is>
      </c>
      <c r="E244" s="17" t="inlineStr">
        <is>
          <t>phuc253634785@lms.utc.edu.vn</t>
        </is>
      </c>
      <c r="F244" s="14" t="inlineStr">
        <is>
          <t>0987650244</t>
        </is>
      </c>
      <c r="G244" s="15" t="n">
        <v>3.1</v>
      </c>
      <c r="H244" s="15" t="n">
        <v>3.5</v>
      </c>
      <c r="I244" s="15" t="n">
        <v>2.7</v>
      </c>
      <c r="J244" s="15" t="n">
        <v>3</v>
      </c>
      <c r="K244" s="15" t="n">
        <v>2.6</v>
      </c>
      <c r="L244" s="15" t="n">
        <v>3.3</v>
      </c>
      <c r="M244" s="15" t="n">
        <v>3.2</v>
      </c>
      <c r="N244" s="15" t="n">
        <v>3.3</v>
      </c>
      <c r="O244" s="15" t="n">
        <v>3.2</v>
      </c>
      <c r="P244" s="15" t="n">
        <v>3.6</v>
      </c>
      <c r="Q244" s="15" t="n">
        <v>1.8</v>
      </c>
      <c r="R244" s="15" t="n">
        <v>4</v>
      </c>
      <c r="S244" s="15" t="n">
        <v>2.9</v>
      </c>
      <c r="T244" s="16">
        <f>(G244*3 + H244*3 + I244*2 + J244*3 + K244*3 + L244*3 + M244*3 + N244*2 + O244*3 + P244*3 + Q244*3 + R244*3 + S244*10) / 44</f>
        <v/>
      </c>
    </row>
    <row r="245">
      <c r="A245" s="12">
        <f>ROW()-2</f>
        <v/>
      </c>
      <c r="B245" s="13" t="inlineStr">
        <is>
          <t>HOÀNG MINH QUÂN</t>
        </is>
      </c>
      <c r="C245" s="13" t="n">
        <v>253610689</v>
      </c>
      <c r="D245" s="17" t="inlineStr">
        <is>
          <t>Khoa học máy tính K66</t>
        </is>
      </c>
      <c r="E245" s="17" t="inlineStr">
        <is>
          <t>quan253610689@lms.utc.edu.vn</t>
        </is>
      </c>
      <c r="F245" s="14" t="inlineStr">
        <is>
          <t>0987650245</t>
        </is>
      </c>
      <c r="G245" s="15" t="n">
        <v>2.2</v>
      </c>
      <c r="H245" s="15" t="n">
        <v>3.5</v>
      </c>
      <c r="I245" s="15" t="n">
        <v>2.7</v>
      </c>
      <c r="J245" s="15" t="n">
        <v>2.1</v>
      </c>
      <c r="K245" s="15" t="n">
        <v>2.3</v>
      </c>
      <c r="L245" s="15" t="n">
        <v>3.6</v>
      </c>
      <c r="M245" s="15" t="n">
        <v>1.9</v>
      </c>
      <c r="N245" s="15" t="n">
        <v>3.2</v>
      </c>
      <c r="O245" s="15" t="n">
        <v>3.4</v>
      </c>
      <c r="P245" s="15" t="n">
        <v>3.6</v>
      </c>
      <c r="Q245" s="15" t="n">
        <v>2.1</v>
      </c>
      <c r="R245" s="15" t="n">
        <v>3.3</v>
      </c>
      <c r="S245" s="15" t="n">
        <v>1.8</v>
      </c>
      <c r="T245" s="16">
        <f>(G245*3 + H245*3 + I245*2 + J245*3 + K245*3 + L245*3 + M245*3 + N245*2 + O245*3 + P245*3 + Q245*3 + R245*3 + S245*10) / 44</f>
        <v/>
      </c>
    </row>
    <row r="246">
      <c r="A246" s="12">
        <f>ROW()-2</f>
        <v/>
      </c>
      <c r="B246" s="13" t="inlineStr">
        <is>
          <t>ĐỖ MINH SƠN</t>
        </is>
      </c>
      <c r="C246" s="13" t="n">
        <v>253610690</v>
      </c>
      <c r="D246" s="17" t="inlineStr">
        <is>
          <t>Khoa học máy tính K66</t>
        </is>
      </c>
      <c r="E246" s="17" t="inlineStr">
        <is>
          <t>son253610690@lms.utc.edu.vn</t>
        </is>
      </c>
      <c r="F246" s="14" t="inlineStr">
        <is>
          <t>0987650246</t>
        </is>
      </c>
      <c r="G246" s="15" t="n">
        <v>3.7</v>
      </c>
      <c r="H246" s="15" t="n">
        <v>2.1</v>
      </c>
      <c r="I246" s="15" t="n">
        <v>2.9</v>
      </c>
      <c r="J246" s="15" t="n">
        <v>3.2</v>
      </c>
      <c r="K246" s="15" t="n">
        <v>2.5</v>
      </c>
      <c r="L246" s="15" t="n">
        <v>2.7</v>
      </c>
      <c r="M246" s="15" t="n">
        <v>3.1</v>
      </c>
      <c r="N246" s="15" t="n">
        <v>3.1</v>
      </c>
      <c r="O246" s="15" t="n">
        <v>3.3</v>
      </c>
      <c r="P246" s="15" t="n">
        <v>1.8</v>
      </c>
      <c r="Q246" s="15" t="n">
        <v>3.3</v>
      </c>
      <c r="R246" s="15" t="n">
        <v>2.5</v>
      </c>
      <c r="S246" s="15" t="n">
        <v>3.9</v>
      </c>
      <c r="T246" s="16">
        <f>(G246*3 + H246*3 + I246*2 + J246*3 + K246*3 + L246*3 + M246*3 + N246*2 + O246*3 + P246*3 + Q246*3 + R246*3 + S246*10) / 44</f>
        <v/>
      </c>
    </row>
    <row r="247">
      <c r="A247" s="12">
        <f>ROW()-2</f>
        <v/>
      </c>
      <c r="B247" s="13" t="inlineStr">
        <is>
          <t>HỒ SỸ THẮNG</t>
        </is>
      </c>
      <c r="C247" s="13" t="n">
        <v>253630694</v>
      </c>
      <c r="D247" s="17" t="inlineStr">
        <is>
          <t>Khoa học máy tính K66</t>
        </is>
      </c>
      <c r="E247" s="17" t="inlineStr">
        <is>
          <t>thang253630694@lms.utc.edu.vn</t>
        </is>
      </c>
      <c r="F247" s="14" t="inlineStr">
        <is>
          <t>0987650247</t>
        </is>
      </c>
      <c r="G247" s="15" t="n">
        <v>3.7</v>
      </c>
      <c r="H247" s="15" t="n">
        <v>3.5</v>
      </c>
      <c r="I247" s="15" t="n">
        <v>3.6</v>
      </c>
      <c r="J247" s="15" t="n">
        <v>3.3</v>
      </c>
      <c r="K247" s="15" t="n">
        <v>4</v>
      </c>
      <c r="L247" s="15" t="n">
        <v>2.4</v>
      </c>
      <c r="M247" s="15" t="n">
        <v>3.9</v>
      </c>
      <c r="N247" s="15" t="n">
        <v>2.1</v>
      </c>
      <c r="O247" s="15" t="n">
        <v>3.9</v>
      </c>
      <c r="P247" s="15" t="n">
        <v>2.1</v>
      </c>
      <c r="Q247" s="15" t="n">
        <v>3.7</v>
      </c>
      <c r="R247" s="15" t="n">
        <v>2.3</v>
      </c>
      <c r="S247" s="15" t="n">
        <v>4</v>
      </c>
      <c r="T247" s="16">
        <f>(G247*3 + H247*3 + I247*2 + J247*3 + K247*3 + L247*3 + M247*3 + N247*2 + O247*3 + P247*3 + Q247*3 + R247*3 + S247*10) / 44</f>
        <v/>
      </c>
    </row>
    <row r="248">
      <c r="A248" s="12">
        <f>ROW()-2</f>
        <v/>
      </c>
      <c r="B248" s="13" t="inlineStr">
        <is>
          <t>ĐẶNG THẾ THÀNH</t>
        </is>
      </c>
      <c r="C248" s="13" t="n">
        <v>253610691</v>
      </c>
      <c r="D248" s="17" t="inlineStr">
        <is>
          <t>Khoa học máy tính K66</t>
        </is>
      </c>
      <c r="E248" s="17" t="inlineStr">
        <is>
          <t>thanh253610691@lms.utc.edu.vn</t>
        </is>
      </c>
      <c r="F248" s="14" t="inlineStr">
        <is>
          <t>0987650248</t>
        </is>
      </c>
      <c r="G248" s="15" t="n">
        <v>2.8</v>
      </c>
      <c r="H248" s="15" t="n">
        <v>2.4</v>
      </c>
      <c r="I248" s="15" t="n">
        <v>1.8</v>
      </c>
      <c r="J248" s="15" t="n">
        <v>0.4</v>
      </c>
      <c r="K248" s="15" t="n">
        <v>2.6</v>
      </c>
      <c r="L248" s="15" t="n">
        <v>1.8</v>
      </c>
      <c r="M248" s="15" t="n">
        <v>4</v>
      </c>
      <c r="N248" s="15" t="n">
        <v>2.5</v>
      </c>
      <c r="O248" s="15" t="n">
        <v>3.9</v>
      </c>
      <c r="P248" s="15" t="n">
        <v>2</v>
      </c>
      <c r="Q248" s="15" t="n">
        <v>2.3</v>
      </c>
      <c r="R248" s="15" t="n">
        <v>2.9</v>
      </c>
      <c r="S248" s="15" t="n">
        <v>2.1</v>
      </c>
      <c r="T248" s="16">
        <f>(G248*3 + H248*3 + I248*2 + J248*3 + K248*3 + L248*3 + M248*3 + N248*2 + O248*3 + P248*3 + Q248*3 + R248*3 + S248*10) / 44</f>
        <v/>
      </c>
    </row>
    <row r="249">
      <c r="A249" s="12">
        <f>ROW()-2</f>
        <v/>
      </c>
      <c r="B249" s="13" t="inlineStr">
        <is>
          <t>PHAN CHÍNH THÀNH</t>
        </is>
      </c>
      <c r="C249" s="13" t="n">
        <v>253630692</v>
      </c>
      <c r="D249" s="17" t="inlineStr">
        <is>
          <t>Khoa học máy tính K66</t>
        </is>
      </c>
      <c r="E249" s="17" t="inlineStr">
        <is>
          <t>thanh253630692@lms.utc.edu.vn</t>
        </is>
      </c>
      <c r="F249" s="14" t="inlineStr">
        <is>
          <t>0987650249</t>
        </is>
      </c>
      <c r="G249" s="15" t="n">
        <v>2.8</v>
      </c>
      <c r="H249" s="15" t="n">
        <v>1.9</v>
      </c>
      <c r="I249" s="15" t="n">
        <v>3</v>
      </c>
      <c r="J249" s="15" t="n">
        <v>0.1</v>
      </c>
      <c r="K249" s="15" t="n">
        <v>2.1</v>
      </c>
      <c r="L249" s="15" t="n">
        <v>2.4</v>
      </c>
      <c r="M249" s="15" t="n">
        <v>3.7</v>
      </c>
      <c r="N249" s="15" t="n">
        <v>2.7</v>
      </c>
      <c r="O249" s="15" t="n">
        <v>2.9</v>
      </c>
      <c r="P249" s="15" t="n">
        <v>2.5</v>
      </c>
      <c r="Q249" s="15" t="n">
        <v>2.8</v>
      </c>
      <c r="R249" s="15" t="n">
        <v>3.7</v>
      </c>
      <c r="S249" s="15" t="n">
        <v>3.2</v>
      </c>
      <c r="T249" s="16">
        <f>(G249*3 + H249*3 + I249*2 + J249*3 + K249*3 + L249*3 + M249*3 + N249*2 + O249*3 + P249*3 + Q249*3 + R249*3 + S249*10) / 44</f>
        <v/>
      </c>
    </row>
    <row r="250">
      <c r="A250" s="12">
        <f>ROW()-2</f>
        <v/>
      </c>
      <c r="B250" s="13" t="inlineStr">
        <is>
          <t>TRẦN NHẬT THÀNH</t>
        </is>
      </c>
      <c r="C250" s="13" t="n">
        <v>253610693</v>
      </c>
      <c r="D250" s="17" t="inlineStr">
        <is>
          <t>Khoa học máy tính K66</t>
        </is>
      </c>
      <c r="E250" s="17" t="inlineStr">
        <is>
          <t>thanh253610693@lms.utc.edu.vn</t>
        </is>
      </c>
      <c r="F250" s="14" t="inlineStr">
        <is>
          <t>0987650250</t>
        </is>
      </c>
      <c r="G250" s="15" t="n">
        <v>3.5</v>
      </c>
      <c r="H250" s="15" t="n">
        <v>3.2</v>
      </c>
      <c r="I250" s="15" t="n">
        <v>2.1</v>
      </c>
      <c r="J250" s="15" t="n">
        <v>0.7</v>
      </c>
      <c r="K250" s="15" t="n">
        <v>3.6</v>
      </c>
      <c r="L250" s="15" t="n">
        <v>2.4</v>
      </c>
      <c r="M250" s="15" t="n">
        <v>2.1</v>
      </c>
      <c r="N250" s="15" t="n">
        <v>2.4</v>
      </c>
      <c r="O250" s="15" t="n">
        <v>3.3</v>
      </c>
      <c r="P250" s="15" t="n">
        <v>2.1</v>
      </c>
      <c r="Q250" s="15" t="n">
        <v>3.7</v>
      </c>
      <c r="R250" s="15" t="n">
        <v>3.8</v>
      </c>
      <c r="S250" s="15" t="n">
        <v>3.4</v>
      </c>
      <c r="T250" s="16">
        <f>(G250*3 + H250*3 + I250*2 + J250*3 + K250*3 + L250*3 + M250*3 + N250*2 + O250*3 + P250*3 + Q250*3 + R250*3 + S250*10) / 44</f>
        <v/>
      </c>
    </row>
    <row r="251">
      <c r="A251" s="12">
        <f>ROW()-2</f>
        <v/>
      </c>
      <c r="B251" s="13" t="inlineStr">
        <is>
          <t>CAO ĐĂNG THIỆN</t>
        </is>
      </c>
      <c r="C251" s="13" t="n">
        <v>253630695</v>
      </c>
      <c r="D251" s="17" t="inlineStr">
        <is>
          <t>Khoa học máy tính K66</t>
        </is>
      </c>
      <c r="E251" s="17" t="inlineStr">
        <is>
          <t>thien253630695@lms.utc.edu.vn</t>
        </is>
      </c>
      <c r="F251" s="14" t="inlineStr">
        <is>
          <t>0987650251</t>
        </is>
      </c>
      <c r="G251" s="15" t="n">
        <v>3</v>
      </c>
      <c r="H251" s="15" t="n">
        <v>4</v>
      </c>
      <c r="I251" s="15" t="n">
        <v>3.3</v>
      </c>
      <c r="J251" s="15" t="n">
        <v>0.4</v>
      </c>
      <c r="K251" s="15" t="n">
        <v>2</v>
      </c>
      <c r="L251" s="15" t="n">
        <v>2.3</v>
      </c>
      <c r="M251" s="15" t="n">
        <v>3.8</v>
      </c>
      <c r="N251" s="15" t="n">
        <v>2.2</v>
      </c>
      <c r="O251" s="15" t="n">
        <v>4</v>
      </c>
      <c r="P251" s="15" t="n">
        <v>2.4</v>
      </c>
      <c r="Q251" s="15" t="n">
        <v>3</v>
      </c>
      <c r="R251" s="15" t="n">
        <v>3.9</v>
      </c>
      <c r="S251" s="15" t="n">
        <v>2.9</v>
      </c>
      <c r="T251" s="16">
        <f>(G251*3 + H251*3 + I251*2 + J251*3 + K251*3 + L251*3 + M251*3 + N251*2 + O251*3 + P251*3 + Q251*3 + R251*3 + S251*10) / 44</f>
        <v/>
      </c>
    </row>
    <row r="252">
      <c r="A252" s="12">
        <f>ROW()-2</f>
        <v/>
      </c>
      <c r="B252" s="13" t="inlineStr">
        <is>
          <t>NGUYỄN ĐỨC THỊNH</t>
        </is>
      </c>
      <c r="C252" s="13" t="n">
        <v>253610696</v>
      </c>
      <c r="D252" s="17" t="inlineStr">
        <is>
          <t>Khoa học máy tính K66</t>
        </is>
      </c>
      <c r="E252" s="17" t="inlineStr">
        <is>
          <t>thinh253610696@lms.utc.edu.vn</t>
        </is>
      </c>
      <c r="F252" s="14" t="inlineStr">
        <is>
          <t>0987650252</t>
        </is>
      </c>
      <c r="G252" s="15" t="n">
        <v>2.8</v>
      </c>
      <c r="H252" s="15" t="n">
        <v>1.9</v>
      </c>
      <c r="I252" s="15" t="n">
        <v>2.2</v>
      </c>
      <c r="J252" s="15" t="n">
        <v>2.7</v>
      </c>
      <c r="K252" s="15" t="n">
        <v>2.4</v>
      </c>
      <c r="L252" s="15" t="n">
        <v>3.6</v>
      </c>
      <c r="M252" s="15" t="n">
        <v>1.8</v>
      </c>
      <c r="N252" s="15" t="n">
        <v>3</v>
      </c>
      <c r="O252" s="15" t="n">
        <v>4</v>
      </c>
      <c r="P252" s="15" t="n">
        <v>3.1</v>
      </c>
      <c r="Q252" s="15" t="n">
        <v>3.9</v>
      </c>
      <c r="R252" s="15" t="n">
        <v>3.4</v>
      </c>
      <c r="S252" s="15" t="n">
        <v>1.9</v>
      </c>
      <c r="T252" s="16">
        <f>(G252*3 + H252*3 + I252*2 + J252*3 + K252*3 + L252*3 + M252*3 + N252*2 + O252*3 + P252*3 + Q252*3 + R252*3 + S252*10) / 44</f>
        <v/>
      </c>
    </row>
    <row r="253">
      <c r="A253" s="12">
        <f>ROW()-2</f>
        <v/>
      </c>
      <c r="B253" s="13" t="inlineStr">
        <is>
          <t>PHẠM THANH THÙY</t>
        </is>
      </c>
      <c r="C253" s="13" t="n">
        <v>253610697</v>
      </c>
      <c r="D253" s="17" t="inlineStr">
        <is>
          <t>Khoa học máy tính K66</t>
        </is>
      </c>
      <c r="E253" s="17" t="inlineStr">
        <is>
          <t>thuy253610697@lms.utc.edu.vn</t>
        </is>
      </c>
      <c r="F253" s="14" t="inlineStr">
        <is>
          <t>0987650253</t>
        </is>
      </c>
      <c r="G253" s="15" t="n">
        <v>2.9</v>
      </c>
      <c r="H253" s="15" t="n">
        <v>2.9</v>
      </c>
      <c r="I253" s="15" t="n">
        <v>2.1</v>
      </c>
      <c r="J253" s="15" t="n">
        <v>3.4</v>
      </c>
      <c r="K253" s="15" t="n">
        <v>2.4</v>
      </c>
      <c r="L253" s="15" t="n">
        <v>2.2</v>
      </c>
      <c r="M253" s="15" t="n">
        <v>3.8</v>
      </c>
      <c r="N253" s="15" t="n">
        <v>3</v>
      </c>
      <c r="O253" s="15" t="n">
        <v>3.8</v>
      </c>
      <c r="P253" s="15" t="n">
        <v>3.6</v>
      </c>
      <c r="Q253" s="15" t="n">
        <v>3</v>
      </c>
      <c r="R253" s="15" t="n">
        <v>3</v>
      </c>
      <c r="S253" s="15" t="n">
        <v>2.2</v>
      </c>
      <c r="T253" s="16">
        <f>(G253*3 + H253*3 + I253*2 + J253*3 + K253*3 + L253*3 + M253*3 + N253*2 + O253*3 + P253*3 + Q253*3 + R253*3 + S253*10) / 44</f>
        <v/>
      </c>
    </row>
    <row r="254">
      <c r="A254" s="12">
        <f>ROW()-2</f>
        <v/>
      </c>
      <c r="B254" s="13" t="inlineStr">
        <is>
          <t>NGUYỄN VĂN TIỆM</t>
        </is>
      </c>
      <c r="C254" s="13" t="n">
        <v>253630698</v>
      </c>
      <c r="D254" s="17" t="inlineStr">
        <is>
          <t>Khoa học máy tính K66</t>
        </is>
      </c>
      <c r="E254" s="17" t="inlineStr">
        <is>
          <t>tiem253630698@lms.utc.edu.vn</t>
        </is>
      </c>
      <c r="F254" s="14" t="inlineStr">
        <is>
          <t>0987650254</t>
        </is>
      </c>
      <c r="G254" s="15" t="n">
        <v>3.8</v>
      </c>
      <c r="H254" s="15" t="n">
        <v>3.5</v>
      </c>
      <c r="I254" s="15" t="n">
        <v>2.5</v>
      </c>
      <c r="J254" s="15" t="n">
        <v>2.8</v>
      </c>
      <c r="K254" s="15" t="n">
        <v>3.6</v>
      </c>
      <c r="L254" s="15" t="n">
        <v>3.7</v>
      </c>
      <c r="M254" s="15" t="n">
        <v>2.3</v>
      </c>
      <c r="N254" s="15" t="n">
        <v>3.2</v>
      </c>
      <c r="O254" s="15" t="n">
        <v>3.9</v>
      </c>
      <c r="P254" s="15" t="n">
        <v>3.6</v>
      </c>
      <c r="Q254" s="15" t="n">
        <v>2.4</v>
      </c>
      <c r="R254" s="15" t="n">
        <v>2.2</v>
      </c>
      <c r="S254" s="15" t="n">
        <v>2.8</v>
      </c>
      <c r="T254" s="16">
        <f>(G254*3 + H254*3 + I254*2 + J254*3 + K254*3 + L254*3 + M254*3 + N254*2 + O254*3 + P254*3 + Q254*3 + R254*3 + S254*10) / 44</f>
        <v/>
      </c>
    </row>
    <row r="255">
      <c r="A255" s="12">
        <f>ROW()-2</f>
        <v/>
      </c>
      <c r="B255" s="13" t="inlineStr">
        <is>
          <t>CAO VĂN TRÌNH</t>
        </is>
      </c>
      <c r="C255" s="13" t="n">
        <v>253610699</v>
      </c>
      <c r="D255" s="17" t="inlineStr">
        <is>
          <t>Khoa học máy tính K66</t>
        </is>
      </c>
      <c r="E255" s="17" t="inlineStr">
        <is>
          <t>trinh253610699@lms.utc.edu.vn</t>
        </is>
      </c>
      <c r="F255" s="14" t="inlineStr">
        <is>
          <t>0987650255</t>
        </is>
      </c>
      <c r="G255" s="15" t="n">
        <v>3.1</v>
      </c>
      <c r="H255" s="15" t="n">
        <v>3.7</v>
      </c>
      <c r="I255" s="15" t="n">
        <v>3.5</v>
      </c>
      <c r="J255" s="15" t="n">
        <v>1.7</v>
      </c>
      <c r="K255" s="15" t="n">
        <v>2.9</v>
      </c>
      <c r="L255" s="15" t="n">
        <v>1.9</v>
      </c>
      <c r="M255" s="15" t="n">
        <v>2.4</v>
      </c>
      <c r="N255" s="15" t="n">
        <v>3.8</v>
      </c>
      <c r="O255" s="15" t="n">
        <v>2.8</v>
      </c>
      <c r="P255" s="15" t="n">
        <v>2.1</v>
      </c>
      <c r="Q255" s="15" t="n">
        <v>2.3</v>
      </c>
      <c r="R255" s="15" t="n">
        <v>3.3</v>
      </c>
      <c r="S255" s="15" t="n">
        <v>3.8</v>
      </c>
      <c r="T255" s="16">
        <f>(G255*3 + H255*3 + I255*2 + J255*3 + K255*3 + L255*3 + M255*3 + N255*2 + O255*3 + P255*3 + Q255*3 + R255*3 + S255*10) / 44</f>
        <v/>
      </c>
    </row>
    <row r="256">
      <c r="A256" s="12">
        <f>ROW()-2</f>
        <v/>
      </c>
      <c r="B256" s="13" t="inlineStr">
        <is>
          <t>TRƯƠNG ANH TUẤN</t>
        </is>
      </c>
      <c r="C256" s="13" t="n">
        <v>253610700</v>
      </c>
      <c r="D256" s="17" t="inlineStr">
        <is>
          <t>Khoa học máy tính K66</t>
        </is>
      </c>
      <c r="E256" s="17" t="inlineStr">
        <is>
          <t>tuan253610700@lms.utc.edu.vn</t>
        </is>
      </c>
      <c r="F256" s="14" t="inlineStr">
        <is>
          <t>0987650256</t>
        </is>
      </c>
      <c r="G256" s="15" t="n">
        <v>3.7</v>
      </c>
      <c r="H256" s="15" t="n">
        <v>3.5</v>
      </c>
      <c r="I256" s="15" t="n">
        <v>2.6</v>
      </c>
      <c r="J256" s="15" t="n">
        <v>3</v>
      </c>
      <c r="K256" s="15" t="n">
        <v>3.6</v>
      </c>
      <c r="L256" s="15" t="n">
        <v>2.5</v>
      </c>
      <c r="M256" s="15" t="n">
        <v>1.8</v>
      </c>
      <c r="N256" s="15" t="n">
        <v>2.4</v>
      </c>
      <c r="O256" s="15" t="n">
        <v>3.2</v>
      </c>
      <c r="P256" s="15" t="n">
        <v>2.5</v>
      </c>
      <c r="Q256" s="15" t="n">
        <v>4</v>
      </c>
      <c r="R256" s="15" t="n">
        <v>2.5</v>
      </c>
      <c r="S256" s="15" t="n">
        <v>3.3</v>
      </c>
      <c r="T256" s="16">
        <f>(G256*3 + H256*3 + I256*2 + J256*3 + K256*3 + L256*3 + M256*3 + N256*2 + O256*3 + P256*3 + Q256*3 + R256*3 + S256*10) / 44</f>
        <v/>
      </c>
    </row>
    <row r="257">
      <c r="A257" s="12">
        <f>ROW()-2</f>
        <v/>
      </c>
      <c r="B257" s="13" t="inlineStr">
        <is>
          <t>NGUYỄN ĐĂNG VIỆT</t>
        </is>
      </c>
      <c r="C257" s="13" t="n">
        <v>253610701</v>
      </c>
      <c r="D257" s="17" t="inlineStr">
        <is>
          <t>Khoa học máy tính K66</t>
        </is>
      </c>
      <c r="E257" s="17" t="inlineStr">
        <is>
          <t>viet253610701@lms.utc.edu.vn</t>
        </is>
      </c>
      <c r="F257" s="14" t="inlineStr">
        <is>
          <t>0987650257</t>
        </is>
      </c>
      <c r="G257" s="15" t="n">
        <v>1.8</v>
      </c>
      <c r="H257" s="15" t="n">
        <v>2.4</v>
      </c>
      <c r="I257" s="15" t="n">
        <v>2.2</v>
      </c>
      <c r="J257" s="15" t="n">
        <v>0.4</v>
      </c>
      <c r="K257" s="15" t="n">
        <v>1.9</v>
      </c>
      <c r="L257" s="15" t="n">
        <v>1.9</v>
      </c>
      <c r="M257" s="15" t="n">
        <v>3.3</v>
      </c>
      <c r="N257" s="15" t="n">
        <v>2.3</v>
      </c>
      <c r="O257" s="15" t="n">
        <v>4</v>
      </c>
      <c r="P257" s="15" t="n">
        <v>3.9</v>
      </c>
      <c r="Q257" s="15" t="n">
        <v>3.1</v>
      </c>
      <c r="R257" s="15" t="n">
        <v>3.5</v>
      </c>
      <c r="S257" s="15" t="n">
        <v>2.5</v>
      </c>
      <c r="T257" s="16">
        <f>(G257*3 + H257*3 + I257*2 + J257*3 + K257*3 + L257*3 + M257*3 + N257*2 + O257*3 + P257*3 + Q257*3 + R257*3 + S257*10) / 44</f>
        <v/>
      </c>
    </row>
  </sheetData>
  <mergeCells count="10">
    <mergeCell ref="C1:C2"/>
    <mergeCell ref="B1:B2"/>
    <mergeCell ref="D1:D2"/>
    <mergeCell ref="F1:F2"/>
    <mergeCell ref="E1:E2"/>
    <mergeCell ref="K1:N1"/>
    <mergeCell ref="G1:J1"/>
    <mergeCell ref="O1:R1"/>
    <mergeCell ref="T1:T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4" customWidth="1" style="18" min="1" max="1"/>
    <col width="30" customWidth="1" style="18" min="2" max="2"/>
    <col width="35" customWidth="1" style="18" min="3" max="3"/>
    <col width="14" customWidth="1" style="18" min="4" max="4"/>
    <col width="22" customWidth="1" style="18" min="5" max="5"/>
  </cols>
  <sheetData>
    <row r="1" ht="38" customHeight="1" s="18">
      <c r="A1" s="30" t="inlineStr">
        <is>
          <t>THỜI KHÓA BIỂU CHÍNH THỨC (4 CA BAN NGÀY)</t>
        </is>
      </c>
    </row>
    <row r="3" ht="25" customHeight="1" s="18">
      <c r="A3" s="25" t="inlineStr">
        <is>
          <t>Năm học</t>
        </is>
      </c>
      <c r="B3" s="25" t="inlineStr">
        <is>
          <t>Lớp</t>
        </is>
      </c>
      <c r="C3" s="25" t="inlineStr">
        <is>
          <t>Môn học</t>
        </is>
      </c>
      <c r="D3" s="25" t="inlineStr">
        <is>
          <t>Thứ học</t>
        </is>
      </c>
      <c r="E3" s="25" t="inlineStr">
        <is>
          <t>Ca học ban ngày</t>
        </is>
      </c>
    </row>
    <row r="4" ht="20" customHeight="1" s="18">
      <c r="A4" s="31" t="inlineStr">
        <is>
          <t>Năm 1</t>
        </is>
      </c>
      <c r="B4" s="31" t="inlineStr">
        <is>
          <t>Công nghệ thông tin 1 K66</t>
        </is>
      </c>
      <c r="C4" s="32" t="inlineStr">
        <is>
          <t>Triết Học Mác-lênin(3)</t>
        </is>
      </c>
      <c r="D4" s="31" t="inlineStr">
        <is>
          <t>Thứ 2</t>
        </is>
      </c>
      <c r="E4" s="31" t="inlineStr">
        <is>
          <t>Ca 4 (Tiết 10-12)</t>
        </is>
      </c>
    </row>
    <row r="5" ht="20" customHeight="1" s="18">
      <c r="A5" s="33" t="inlineStr">
        <is>
          <t>Năm 1</t>
        </is>
      </c>
      <c r="B5" s="33" t="inlineStr">
        <is>
          <t>Công nghệ thông tin 1 K66</t>
        </is>
      </c>
      <c r="C5" s="34" t="inlineStr">
        <is>
          <t>Tin đại cương(3)</t>
        </is>
      </c>
      <c r="D5" s="33" t="inlineStr">
        <is>
          <t>Thứ 4</t>
        </is>
      </c>
      <c r="E5" s="33" t="inlineStr">
        <is>
          <t>Ca 3 (Tiết 7-9)</t>
        </is>
      </c>
    </row>
    <row r="6" ht="20" customHeight="1" s="18">
      <c r="A6" s="31" t="inlineStr">
        <is>
          <t>Năm 1</t>
        </is>
      </c>
      <c r="B6" s="31" t="inlineStr">
        <is>
          <t>Công nghệ thông tin 1 K66</t>
        </is>
      </c>
      <c r="C6" s="32" t="inlineStr">
        <is>
          <t>Giải tích(2)</t>
        </is>
      </c>
      <c r="D6" s="31" t="inlineStr">
        <is>
          <t>Thứ 6</t>
        </is>
      </c>
      <c r="E6" s="31" t="inlineStr">
        <is>
          <t>Ca 1 (Tiết 1-3)</t>
        </is>
      </c>
    </row>
    <row r="7" ht="20" customHeight="1" s="18">
      <c r="A7" s="33" t="inlineStr">
        <is>
          <t>Năm 1</t>
        </is>
      </c>
      <c r="B7" s="33" t="inlineStr">
        <is>
          <t>Công nghệ thông tin 1 K66</t>
        </is>
      </c>
      <c r="C7" s="34" t="inlineStr">
        <is>
          <t>Đại số tuyến tính(3)</t>
        </is>
      </c>
      <c r="D7" s="33" t="inlineStr">
        <is>
          <t>Thứ 7</t>
        </is>
      </c>
      <c r="E7" s="33" t="inlineStr">
        <is>
          <t>Ca 1 (Tiết 1-3)</t>
        </is>
      </c>
    </row>
    <row r="8" ht="20" customHeight="1" s="18">
      <c r="A8" s="31" t="inlineStr">
        <is>
          <t>Năm 1</t>
        </is>
      </c>
      <c r="B8" s="31" t="inlineStr">
        <is>
          <t>Công nghệ thông tin 2 K66</t>
        </is>
      </c>
      <c r="C8" s="32" t="inlineStr">
        <is>
          <t>Triết Học Mác-lênin(3)</t>
        </is>
      </c>
      <c r="D8" s="31" t="inlineStr">
        <is>
          <t>Thứ 2</t>
        </is>
      </c>
      <c r="E8" s="31" t="inlineStr">
        <is>
          <t>Ca 4 (Tiết 10-12)</t>
        </is>
      </c>
    </row>
    <row r="9" ht="20" customHeight="1" s="18">
      <c r="A9" s="33" t="inlineStr">
        <is>
          <t>Năm 1</t>
        </is>
      </c>
      <c r="B9" s="33" t="inlineStr">
        <is>
          <t>Công nghệ thông tin 2 K66</t>
        </is>
      </c>
      <c r="C9" s="34" t="inlineStr">
        <is>
          <t>Tin đại cương(3)</t>
        </is>
      </c>
      <c r="D9" s="33" t="inlineStr">
        <is>
          <t>Thứ 3</t>
        </is>
      </c>
      <c r="E9" s="33" t="inlineStr">
        <is>
          <t>Ca 4 (Tiết 10-12)</t>
        </is>
      </c>
    </row>
    <row r="10" ht="20" customHeight="1" s="18">
      <c r="A10" s="31" t="inlineStr">
        <is>
          <t>Năm 1</t>
        </is>
      </c>
      <c r="B10" s="31" t="inlineStr">
        <is>
          <t>Công nghệ thông tin 2 K66</t>
        </is>
      </c>
      <c r="C10" s="32" t="inlineStr">
        <is>
          <t>Giải tích(2)</t>
        </is>
      </c>
      <c r="D10" s="31" t="inlineStr">
        <is>
          <t>Thứ 6</t>
        </is>
      </c>
      <c r="E10" s="31" t="inlineStr">
        <is>
          <t>Ca 4 (Tiết 10-12)</t>
        </is>
      </c>
    </row>
    <row r="11" ht="20" customHeight="1" s="18">
      <c r="A11" s="33" t="inlineStr">
        <is>
          <t>Năm 1</t>
        </is>
      </c>
      <c r="B11" s="33" t="inlineStr">
        <is>
          <t>Công nghệ thông tin 2 K66</t>
        </is>
      </c>
      <c r="C11" s="34" t="inlineStr">
        <is>
          <t>Đại số tuyến tính(3)</t>
        </is>
      </c>
      <c r="D11" s="33" t="inlineStr">
        <is>
          <t>Thứ 6</t>
        </is>
      </c>
      <c r="E11" s="33" t="inlineStr">
        <is>
          <t>Ca 2 (Tiết 4-6)</t>
        </is>
      </c>
    </row>
    <row r="12" ht="20" customHeight="1" s="18">
      <c r="A12" s="31" t="inlineStr">
        <is>
          <t>Năm 1</t>
        </is>
      </c>
      <c r="B12" s="31" t="inlineStr">
        <is>
          <t>Công nghệ thông tin 3 K66</t>
        </is>
      </c>
      <c r="C12" s="32" t="inlineStr">
        <is>
          <t>Triết Học Mác-lênin(3)</t>
        </is>
      </c>
      <c r="D12" s="31" t="inlineStr">
        <is>
          <t>Thứ 5</t>
        </is>
      </c>
      <c r="E12" s="31" t="inlineStr">
        <is>
          <t>Ca 2 (Tiết 4-6)</t>
        </is>
      </c>
    </row>
    <row r="13" ht="20" customHeight="1" s="18">
      <c r="A13" s="33" t="inlineStr">
        <is>
          <t>Năm 1</t>
        </is>
      </c>
      <c r="B13" s="33" t="inlineStr">
        <is>
          <t>Công nghệ thông tin 3 K66</t>
        </is>
      </c>
      <c r="C13" s="34" t="inlineStr">
        <is>
          <t>Tin đại cương(3)</t>
        </is>
      </c>
      <c r="D13" s="33" t="inlineStr">
        <is>
          <t>Thứ 6</t>
        </is>
      </c>
      <c r="E13" s="33" t="inlineStr">
        <is>
          <t>Ca 3 (Tiết 7-9)</t>
        </is>
      </c>
    </row>
    <row r="14" ht="20" customHeight="1" s="18">
      <c r="A14" s="31" t="inlineStr">
        <is>
          <t>Năm 1</t>
        </is>
      </c>
      <c r="B14" s="31" t="inlineStr">
        <is>
          <t>Công nghệ thông tin 3 K66</t>
        </is>
      </c>
      <c r="C14" s="32" t="inlineStr">
        <is>
          <t>Giải tích(2)</t>
        </is>
      </c>
      <c r="D14" s="31" t="inlineStr">
        <is>
          <t>Thứ 6</t>
        </is>
      </c>
      <c r="E14" s="31" t="inlineStr">
        <is>
          <t>Ca 2 (Tiết 4-6)</t>
        </is>
      </c>
    </row>
    <row r="15" ht="20" customHeight="1" s="18">
      <c r="A15" s="33" t="inlineStr">
        <is>
          <t>Năm 1</t>
        </is>
      </c>
      <c r="B15" s="33" t="inlineStr">
        <is>
          <t>Công nghệ thông tin 3 K66</t>
        </is>
      </c>
      <c r="C15" s="34" t="inlineStr">
        <is>
          <t>Đại số tuyến tính(3)</t>
        </is>
      </c>
      <c r="D15" s="33" t="inlineStr">
        <is>
          <t>Thứ 7</t>
        </is>
      </c>
      <c r="E15" s="33" t="inlineStr">
        <is>
          <t>Ca 4 (Tiết 10-12)</t>
        </is>
      </c>
    </row>
    <row r="16" ht="20" customHeight="1" s="18">
      <c r="A16" s="31" t="inlineStr">
        <is>
          <t>Năm 1</t>
        </is>
      </c>
      <c r="B16" s="31" t="inlineStr">
        <is>
          <t>Khoa học máy tính K66</t>
        </is>
      </c>
      <c r="C16" s="32" t="inlineStr">
        <is>
          <t>Triết Học Mác-lênin(3)</t>
        </is>
      </c>
      <c r="D16" s="31" t="inlineStr">
        <is>
          <t>Thứ 5</t>
        </is>
      </c>
      <c r="E16" s="31" t="inlineStr">
        <is>
          <t>Ca 4 (Tiết 10-12)</t>
        </is>
      </c>
    </row>
    <row r="17" ht="20" customHeight="1" s="18">
      <c r="A17" s="33" t="inlineStr">
        <is>
          <t>Năm 1</t>
        </is>
      </c>
      <c r="B17" s="33" t="inlineStr">
        <is>
          <t>Khoa học máy tính K66</t>
        </is>
      </c>
      <c r="C17" s="34" t="inlineStr">
        <is>
          <t>Tin đại cương(3)</t>
        </is>
      </c>
      <c r="D17" s="33" t="inlineStr">
        <is>
          <t>Thứ 6</t>
        </is>
      </c>
      <c r="E17" s="33" t="inlineStr">
        <is>
          <t>Ca 3 (Tiết 7-9)</t>
        </is>
      </c>
    </row>
    <row r="18" ht="20" customHeight="1" s="18">
      <c r="A18" s="31" t="inlineStr">
        <is>
          <t>Năm 1</t>
        </is>
      </c>
      <c r="B18" s="31" t="inlineStr">
        <is>
          <t>Khoa học máy tính K66</t>
        </is>
      </c>
      <c r="C18" s="32" t="inlineStr">
        <is>
          <t>Giải tích(2)</t>
        </is>
      </c>
      <c r="D18" s="31" t="inlineStr">
        <is>
          <t>Thứ 5</t>
        </is>
      </c>
      <c r="E18" s="31" t="inlineStr">
        <is>
          <t>Ca 3 (Tiết 7-9)</t>
        </is>
      </c>
    </row>
    <row r="19" ht="20" customHeight="1" s="18">
      <c r="A19" s="33" t="inlineStr">
        <is>
          <t>Năm 1</t>
        </is>
      </c>
      <c r="B19" s="33" t="inlineStr">
        <is>
          <t>Khoa học máy tính K66</t>
        </is>
      </c>
      <c r="C19" s="34" t="inlineStr">
        <is>
          <t>Đại số tuyến tính(3)</t>
        </is>
      </c>
      <c r="D19" s="33" t="inlineStr">
        <is>
          <t>Thứ 3</t>
        </is>
      </c>
      <c r="E19" s="33" t="inlineStr">
        <is>
          <t>Ca 4 (Tiết 10-12)</t>
        </is>
      </c>
    </row>
    <row r="20" ht="20" customHeight="1" s="18">
      <c r="A20" s="31" t="inlineStr">
        <is>
          <t>Năm 2</t>
        </is>
      </c>
      <c r="B20" s="31" t="inlineStr">
        <is>
          <t>Công nghệ thông tin 1 K66</t>
        </is>
      </c>
      <c r="C20" s="32" t="inlineStr">
        <is>
          <t>Thiết kế web(3)</t>
        </is>
      </c>
      <c r="D20" s="31" t="inlineStr">
        <is>
          <t>Thứ 2</t>
        </is>
      </c>
      <c r="E20" s="31" t="inlineStr">
        <is>
          <t>Ca 1 (Tiết 1-3)</t>
        </is>
      </c>
    </row>
    <row r="21" ht="20" customHeight="1" s="18">
      <c r="A21" s="33" t="inlineStr">
        <is>
          <t>Năm 2</t>
        </is>
      </c>
      <c r="B21" s="33" t="inlineStr">
        <is>
          <t>Công nghệ thông tin 1 K66</t>
        </is>
      </c>
      <c r="C21" s="34" t="inlineStr">
        <is>
          <t>Lập trình hướng đối tượng(3)</t>
        </is>
      </c>
      <c r="D21" s="33" t="inlineStr">
        <is>
          <t>Thứ 6</t>
        </is>
      </c>
      <c r="E21" s="33" t="inlineStr">
        <is>
          <t>Ca 4 (Tiết 10-12)</t>
        </is>
      </c>
    </row>
    <row r="22" ht="20" customHeight="1" s="18">
      <c r="A22" s="31" t="inlineStr">
        <is>
          <t>Năm 2</t>
        </is>
      </c>
      <c r="B22" s="31" t="inlineStr">
        <is>
          <t>Công nghệ thông tin 1 K66</t>
        </is>
      </c>
      <c r="C22" s="32" t="inlineStr">
        <is>
          <t>Cấu trúc dữ liệu và giải thuật(3)</t>
        </is>
      </c>
      <c r="D22" s="31" t="inlineStr">
        <is>
          <t>Thứ 2</t>
        </is>
      </c>
      <c r="E22" s="31" t="inlineStr">
        <is>
          <t>Ca 3 (Tiết 7-9)</t>
        </is>
      </c>
    </row>
    <row r="23" ht="20" customHeight="1" s="18">
      <c r="A23" s="33" t="inlineStr">
        <is>
          <t>Năm 2</t>
        </is>
      </c>
      <c r="B23" s="33" t="inlineStr">
        <is>
          <t>Công nghệ thông tin 1 K66</t>
        </is>
      </c>
      <c r="C23" s="34" t="inlineStr">
        <is>
          <t>Tư tưởng Hồ Chí Minh(2)</t>
        </is>
      </c>
      <c r="D23" s="33" t="inlineStr">
        <is>
          <t>Thứ 2</t>
        </is>
      </c>
      <c r="E23" s="33" t="inlineStr">
        <is>
          <t>Ca 4 (Tiết 10-12)</t>
        </is>
      </c>
    </row>
    <row r="24" ht="20" customHeight="1" s="18">
      <c r="A24" s="31" t="inlineStr">
        <is>
          <t>Năm 2</t>
        </is>
      </c>
      <c r="B24" s="31" t="inlineStr">
        <is>
          <t>Công nghệ thông tin 2 K66</t>
        </is>
      </c>
      <c r="C24" s="32" t="inlineStr">
        <is>
          <t>Thiết kế web(3)</t>
        </is>
      </c>
      <c r="D24" s="31" t="inlineStr">
        <is>
          <t>Thứ 4</t>
        </is>
      </c>
      <c r="E24" s="31" t="inlineStr">
        <is>
          <t>Ca 2 (Tiết 4-6)</t>
        </is>
      </c>
    </row>
    <row r="25" ht="20" customHeight="1" s="18">
      <c r="A25" s="33" t="inlineStr">
        <is>
          <t>Năm 2</t>
        </is>
      </c>
      <c r="B25" s="33" t="inlineStr">
        <is>
          <t>Công nghệ thông tin 2 K66</t>
        </is>
      </c>
      <c r="C25" s="34" t="inlineStr">
        <is>
          <t>Lập trình hướng đối tượng(3)</t>
        </is>
      </c>
      <c r="D25" s="33" t="inlineStr">
        <is>
          <t>Thứ 2</t>
        </is>
      </c>
      <c r="E25" s="33" t="inlineStr">
        <is>
          <t>Ca 4 (Tiết 10-12)</t>
        </is>
      </c>
    </row>
    <row r="26" ht="20" customHeight="1" s="18">
      <c r="A26" s="31" t="inlineStr">
        <is>
          <t>Năm 2</t>
        </is>
      </c>
      <c r="B26" s="31" t="inlineStr">
        <is>
          <t>Công nghệ thông tin 2 K66</t>
        </is>
      </c>
      <c r="C26" s="32" t="inlineStr">
        <is>
          <t>Cấu trúc dữ liệu và giải thuật(3)</t>
        </is>
      </c>
      <c r="D26" s="31" t="inlineStr">
        <is>
          <t>Thứ 5</t>
        </is>
      </c>
      <c r="E26" s="31" t="inlineStr">
        <is>
          <t>Ca 3 (Tiết 7-9)</t>
        </is>
      </c>
    </row>
    <row r="27" ht="20" customHeight="1" s="18">
      <c r="A27" s="33" t="inlineStr">
        <is>
          <t>Năm 2</t>
        </is>
      </c>
      <c r="B27" s="33" t="inlineStr">
        <is>
          <t>Công nghệ thông tin 2 K66</t>
        </is>
      </c>
      <c r="C27" s="34" t="inlineStr">
        <is>
          <t>Tư tưởng Hồ Chí Minh(2)</t>
        </is>
      </c>
      <c r="D27" s="33" t="inlineStr">
        <is>
          <t>Thứ 2</t>
        </is>
      </c>
      <c r="E27" s="33" t="inlineStr">
        <is>
          <t>Ca 1 (Tiết 1-3)</t>
        </is>
      </c>
    </row>
    <row r="28" ht="20" customHeight="1" s="18">
      <c r="A28" s="31" t="inlineStr">
        <is>
          <t>Năm 2</t>
        </is>
      </c>
      <c r="B28" s="31" t="inlineStr">
        <is>
          <t>Công nghệ thông tin 3 K66</t>
        </is>
      </c>
      <c r="C28" s="32" t="inlineStr">
        <is>
          <t>Thiết kế web(3)</t>
        </is>
      </c>
      <c r="D28" s="31" t="inlineStr">
        <is>
          <t>Thứ 7</t>
        </is>
      </c>
      <c r="E28" s="31" t="inlineStr">
        <is>
          <t>Ca 2 (Tiết 4-6)</t>
        </is>
      </c>
    </row>
    <row r="29" ht="20" customHeight="1" s="18">
      <c r="A29" s="33" t="inlineStr">
        <is>
          <t>Năm 2</t>
        </is>
      </c>
      <c r="B29" s="33" t="inlineStr">
        <is>
          <t>Công nghệ thông tin 3 K66</t>
        </is>
      </c>
      <c r="C29" s="34" t="inlineStr">
        <is>
          <t>Lập trình hướng đối tượng(3)</t>
        </is>
      </c>
      <c r="D29" s="33" t="inlineStr">
        <is>
          <t>Thứ 5</t>
        </is>
      </c>
      <c r="E29" s="33" t="inlineStr">
        <is>
          <t>Ca 4 (Tiết 10-12)</t>
        </is>
      </c>
    </row>
    <row r="30" ht="20" customHeight="1" s="18">
      <c r="A30" s="31" t="inlineStr">
        <is>
          <t>Năm 2</t>
        </is>
      </c>
      <c r="B30" s="31" t="inlineStr">
        <is>
          <t>Công nghệ thông tin 3 K66</t>
        </is>
      </c>
      <c r="C30" s="32" t="inlineStr">
        <is>
          <t>Cấu trúc dữ liệu và giải thuật(3)</t>
        </is>
      </c>
      <c r="D30" s="31" t="inlineStr">
        <is>
          <t>Thứ 4</t>
        </is>
      </c>
      <c r="E30" s="31" t="inlineStr">
        <is>
          <t>Ca 3 (Tiết 7-9)</t>
        </is>
      </c>
    </row>
    <row r="31" ht="20" customHeight="1" s="18">
      <c r="A31" s="33" t="inlineStr">
        <is>
          <t>Năm 2</t>
        </is>
      </c>
      <c r="B31" s="33" t="inlineStr">
        <is>
          <t>Công nghệ thông tin 3 K66</t>
        </is>
      </c>
      <c r="C31" s="34" t="inlineStr">
        <is>
          <t>Tư tưởng Hồ Chí Minh(2)</t>
        </is>
      </c>
      <c r="D31" s="33" t="inlineStr">
        <is>
          <t>Thứ 3</t>
        </is>
      </c>
      <c r="E31" s="33" t="inlineStr">
        <is>
          <t>Ca 3 (Tiết 7-9)</t>
        </is>
      </c>
    </row>
    <row r="32" ht="20" customHeight="1" s="18">
      <c r="A32" s="31" t="inlineStr">
        <is>
          <t>Năm 2</t>
        </is>
      </c>
      <c r="B32" s="31" t="inlineStr">
        <is>
          <t>Khoa học máy tính K66</t>
        </is>
      </c>
      <c r="C32" s="32" t="inlineStr">
        <is>
          <t>Thiết kế web(3)</t>
        </is>
      </c>
      <c r="D32" s="31" t="inlineStr">
        <is>
          <t>Thứ 5</t>
        </is>
      </c>
      <c r="E32" s="31" t="inlineStr">
        <is>
          <t>Ca 1 (Tiết 1-3)</t>
        </is>
      </c>
    </row>
    <row r="33" ht="20" customHeight="1" s="18">
      <c r="A33" s="33" t="inlineStr">
        <is>
          <t>Năm 2</t>
        </is>
      </c>
      <c r="B33" s="33" t="inlineStr">
        <is>
          <t>Khoa học máy tính K66</t>
        </is>
      </c>
      <c r="C33" s="34" t="inlineStr">
        <is>
          <t>Lập trình hướng đối tượng(3)</t>
        </is>
      </c>
      <c r="D33" s="33" t="inlineStr">
        <is>
          <t>Thứ 4</t>
        </is>
      </c>
      <c r="E33" s="33" t="inlineStr">
        <is>
          <t>Ca 1 (Tiết 1-3)</t>
        </is>
      </c>
    </row>
    <row r="34" ht="20" customHeight="1" s="18">
      <c r="A34" s="31" t="inlineStr">
        <is>
          <t>Năm 2</t>
        </is>
      </c>
      <c r="B34" s="31" t="inlineStr">
        <is>
          <t>Khoa học máy tính K66</t>
        </is>
      </c>
      <c r="C34" s="32" t="inlineStr">
        <is>
          <t>Cấu trúc dữ liệu và giải thuật(3)</t>
        </is>
      </c>
      <c r="D34" s="31" t="inlineStr">
        <is>
          <t>Thứ 4</t>
        </is>
      </c>
      <c r="E34" s="31" t="inlineStr">
        <is>
          <t>Ca 4 (Tiết 10-12)</t>
        </is>
      </c>
    </row>
    <row r="35" ht="20" customHeight="1" s="18">
      <c r="A35" s="33" t="inlineStr">
        <is>
          <t>Năm 2</t>
        </is>
      </c>
      <c r="B35" s="33" t="inlineStr">
        <is>
          <t>Khoa học máy tính K66</t>
        </is>
      </c>
      <c r="C35" s="34" t="inlineStr">
        <is>
          <t>Tư tưởng Hồ Chí Minh(2)</t>
        </is>
      </c>
      <c r="D35" s="33" t="inlineStr">
        <is>
          <t>Thứ 7</t>
        </is>
      </c>
      <c r="E35" s="33" t="inlineStr">
        <is>
          <t>Ca 4 (Tiết 10-12)</t>
        </is>
      </c>
    </row>
    <row r="36" ht="20" customHeight="1" s="18">
      <c r="A36" s="31" t="inlineStr">
        <is>
          <t>Năm 3</t>
        </is>
      </c>
      <c r="B36" s="31" t="inlineStr">
        <is>
          <t>Công nghệ thông tin 1 K66</t>
        </is>
      </c>
      <c r="C36" s="32" t="inlineStr">
        <is>
          <t>Lập trình Web(3)</t>
        </is>
      </c>
      <c r="D36" s="31" t="inlineStr">
        <is>
          <t>Thứ 6</t>
        </is>
      </c>
      <c r="E36" s="31" t="inlineStr">
        <is>
          <t>Ca 1 (Tiết 1-3)</t>
        </is>
      </c>
    </row>
    <row r="37" ht="20" customHeight="1" s="18">
      <c r="A37" s="33" t="inlineStr">
        <is>
          <t>Năm 3</t>
        </is>
      </c>
      <c r="B37" s="33" t="inlineStr">
        <is>
          <t>Công nghệ thông tin 1 K66</t>
        </is>
      </c>
      <c r="C37" s="34" t="inlineStr">
        <is>
          <t>Lập trình trực quan(3)</t>
        </is>
      </c>
      <c r="D37" s="33" t="inlineStr">
        <is>
          <t>Thứ 7</t>
        </is>
      </c>
      <c r="E37" s="33" t="inlineStr">
        <is>
          <t>Ca 1 (Tiết 1-3)</t>
        </is>
      </c>
    </row>
    <row r="38" ht="20" customHeight="1" s="18">
      <c r="A38" s="31" t="inlineStr">
        <is>
          <t>Năm 3</t>
        </is>
      </c>
      <c r="B38" s="31" t="inlineStr">
        <is>
          <t>Công nghệ thông tin 1 K66</t>
        </is>
      </c>
      <c r="C38" s="32" t="inlineStr">
        <is>
          <t>Thuật toán và ứng dụng(3)</t>
        </is>
      </c>
      <c r="D38" s="31" t="inlineStr">
        <is>
          <t>Thứ 2</t>
        </is>
      </c>
      <c r="E38" s="31" t="inlineStr">
        <is>
          <t>Ca 3 (Tiết 7-9)</t>
        </is>
      </c>
    </row>
    <row r="39" ht="20" customHeight="1" s="18">
      <c r="A39" s="33" t="inlineStr">
        <is>
          <t>Năm 3</t>
        </is>
      </c>
      <c r="B39" s="33" t="inlineStr">
        <is>
          <t>Công nghệ thông tin 1 K66</t>
        </is>
      </c>
      <c r="C39" s="34" t="inlineStr">
        <is>
          <t>Mạng máy tính(3)</t>
        </is>
      </c>
      <c r="D39" s="33" t="inlineStr">
        <is>
          <t>Thứ 7</t>
        </is>
      </c>
      <c r="E39" s="33" t="inlineStr">
        <is>
          <t>Ca 4 (Tiết 10-12)</t>
        </is>
      </c>
    </row>
    <row r="40" ht="20" customHeight="1" s="18">
      <c r="A40" s="31" t="inlineStr">
        <is>
          <t>Năm 3</t>
        </is>
      </c>
      <c r="B40" s="31" t="inlineStr">
        <is>
          <t>Công nghệ thông tin 2 K66</t>
        </is>
      </c>
      <c r="C40" s="32" t="inlineStr">
        <is>
          <t>Lập trình Web(3)</t>
        </is>
      </c>
      <c r="D40" s="31" t="inlineStr">
        <is>
          <t>Thứ 4</t>
        </is>
      </c>
      <c r="E40" s="31" t="inlineStr">
        <is>
          <t>Ca 3 (Tiết 7-9)</t>
        </is>
      </c>
    </row>
    <row r="41" ht="20" customHeight="1" s="18">
      <c r="A41" s="33" t="inlineStr">
        <is>
          <t>Năm 3</t>
        </is>
      </c>
      <c r="B41" s="33" t="inlineStr">
        <is>
          <t>Công nghệ thông tin 2 K66</t>
        </is>
      </c>
      <c r="C41" s="34" t="inlineStr">
        <is>
          <t>Lập trình trực quan(3)</t>
        </is>
      </c>
      <c r="D41" s="33" t="inlineStr">
        <is>
          <t>Thứ 2</t>
        </is>
      </c>
      <c r="E41" s="33" t="inlineStr">
        <is>
          <t>Ca 3 (Tiết 7-9)</t>
        </is>
      </c>
    </row>
    <row r="42" ht="20" customHeight="1" s="18">
      <c r="A42" s="31" t="inlineStr">
        <is>
          <t>Năm 3</t>
        </is>
      </c>
      <c r="B42" s="31" t="inlineStr">
        <is>
          <t>Công nghệ thông tin 2 K66</t>
        </is>
      </c>
      <c r="C42" s="32" t="inlineStr">
        <is>
          <t>Thuật toán và ứng dụng(3)</t>
        </is>
      </c>
      <c r="D42" s="31" t="inlineStr">
        <is>
          <t>Thứ 6</t>
        </is>
      </c>
      <c r="E42" s="31" t="inlineStr">
        <is>
          <t>Ca 2 (Tiết 4-6)</t>
        </is>
      </c>
    </row>
    <row r="43" ht="20" customHeight="1" s="18">
      <c r="A43" s="33" t="inlineStr">
        <is>
          <t>Năm 3</t>
        </is>
      </c>
      <c r="B43" s="33" t="inlineStr">
        <is>
          <t>Công nghệ thông tin 2 K66</t>
        </is>
      </c>
      <c r="C43" s="34" t="inlineStr">
        <is>
          <t>Mạng máy tính(3)</t>
        </is>
      </c>
      <c r="D43" s="33" t="inlineStr">
        <is>
          <t>Thứ 4</t>
        </is>
      </c>
      <c r="E43" s="33" t="inlineStr">
        <is>
          <t>Ca 2 (Tiết 4-6)</t>
        </is>
      </c>
    </row>
    <row r="44" ht="20" customHeight="1" s="18">
      <c r="A44" s="31" t="inlineStr">
        <is>
          <t>Năm 3</t>
        </is>
      </c>
      <c r="B44" s="31" t="inlineStr">
        <is>
          <t>Công nghệ thông tin 3 K66</t>
        </is>
      </c>
      <c r="C44" s="32" t="inlineStr">
        <is>
          <t>Lập trình Web(3)</t>
        </is>
      </c>
      <c r="D44" s="31" t="inlineStr">
        <is>
          <t>Thứ 4</t>
        </is>
      </c>
      <c r="E44" s="31" t="inlineStr">
        <is>
          <t>Ca 2 (Tiết 4-6)</t>
        </is>
      </c>
    </row>
    <row r="45" ht="20" customHeight="1" s="18">
      <c r="A45" s="33" t="inlineStr">
        <is>
          <t>Năm 3</t>
        </is>
      </c>
      <c r="B45" s="33" t="inlineStr">
        <is>
          <t>Công nghệ thông tin 3 K66</t>
        </is>
      </c>
      <c r="C45" s="34" t="inlineStr">
        <is>
          <t>Lập trình trực quan(3)</t>
        </is>
      </c>
      <c r="D45" s="33" t="inlineStr">
        <is>
          <t>Thứ 5</t>
        </is>
      </c>
      <c r="E45" s="33" t="inlineStr">
        <is>
          <t>Ca 3 (Tiết 7-9)</t>
        </is>
      </c>
    </row>
    <row r="46" ht="20" customHeight="1" s="18">
      <c r="A46" s="31" t="inlineStr">
        <is>
          <t>Năm 3</t>
        </is>
      </c>
      <c r="B46" s="31" t="inlineStr">
        <is>
          <t>Công nghệ thông tin 3 K66</t>
        </is>
      </c>
      <c r="C46" s="32" t="inlineStr">
        <is>
          <t>Thuật toán và ứng dụng(3)</t>
        </is>
      </c>
      <c r="D46" s="31" t="inlineStr">
        <is>
          <t>Thứ 3</t>
        </is>
      </c>
      <c r="E46" s="31" t="inlineStr">
        <is>
          <t>Ca 1 (Tiết 1-3)</t>
        </is>
      </c>
    </row>
    <row r="47" ht="20" customHeight="1" s="18">
      <c r="A47" s="33" t="inlineStr">
        <is>
          <t>Năm 3</t>
        </is>
      </c>
      <c r="B47" s="33" t="inlineStr">
        <is>
          <t>Công nghệ thông tin 3 K66</t>
        </is>
      </c>
      <c r="C47" s="34" t="inlineStr">
        <is>
          <t>Mạng máy tính(3)</t>
        </is>
      </c>
      <c r="D47" s="33" t="inlineStr">
        <is>
          <t>Thứ 7</t>
        </is>
      </c>
      <c r="E47" s="33" t="inlineStr">
        <is>
          <t>Ca 1 (Tiết 1-3)</t>
        </is>
      </c>
    </row>
    <row r="48" ht="20" customHeight="1" s="18">
      <c r="A48" s="31" t="inlineStr">
        <is>
          <t>Năm 3</t>
        </is>
      </c>
      <c r="B48" s="31" t="inlineStr">
        <is>
          <t>Khoa học máy tính K66</t>
        </is>
      </c>
      <c r="C48" s="32" t="inlineStr">
        <is>
          <t>Lập trình Web(3)</t>
        </is>
      </c>
      <c r="D48" s="31" t="inlineStr">
        <is>
          <t>Thứ 7</t>
        </is>
      </c>
      <c r="E48" s="31" t="inlineStr">
        <is>
          <t>Ca 3 (Tiết 7-9)</t>
        </is>
      </c>
    </row>
    <row r="49" ht="20" customHeight="1" s="18">
      <c r="A49" s="33" t="inlineStr">
        <is>
          <t>Năm 3</t>
        </is>
      </c>
      <c r="B49" s="33" t="inlineStr">
        <is>
          <t>Khoa học máy tính K66</t>
        </is>
      </c>
      <c r="C49" s="34" t="inlineStr">
        <is>
          <t>Lập trình trực quan(3)</t>
        </is>
      </c>
      <c r="D49" s="33" t="inlineStr">
        <is>
          <t>Thứ 6</t>
        </is>
      </c>
      <c r="E49" s="33" t="inlineStr">
        <is>
          <t>Ca 3 (Tiết 7-9)</t>
        </is>
      </c>
    </row>
    <row r="50" ht="20" customHeight="1" s="18">
      <c r="A50" s="31" t="inlineStr">
        <is>
          <t>Năm 3</t>
        </is>
      </c>
      <c r="B50" s="31" t="inlineStr">
        <is>
          <t>Khoa học máy tính K66</t>
        </is>
      </c>
      <c r="C50" s="32" t="inlineStr">
        <is>
          <t>Thuật toán và ứng dụng(3)</t>
        </is>
      </c>
      <c r="D50" s="31" t="inlineStr">
        <is>
          <t>Thứ 4</t>
        </is>
      </c>
      <c r="E50" s="31" t="inlineStr">
        <is>
          <t>Ca 2 (Tiết 4-6)</t>
        </is>
      </c>
    </row>
    <row r="51" ht="20" customHeight="1" s="18">
      <c r="A51" s="33" t="inlineStr">
        <is>
          <t>Năm 3</t>
        </is>
      </c>
      <c r="B51" s="33" t="inlineStr">
        <is>
          <t>Khoa học máy tính K66</t>
        </is>
      </c>
      <c r="C51" s="34" t="inlineStr">
        <is>
          <t>Mạng máy tính(3)</t>
        </is>
      </c>
      <c r="D51" s="33" t="inlineStr">
        <is>
          <t>Thứ 2</t>
        </is>
      </c>
      <c r="E51" s="33" t="inlineStr">
        <is>
          <t>Ca 1 (Tiết 1-3)</t>
        </is>
      </c>
    </row>
    <row r="52" ht="20" customHeight="1" s="18">
      <c r="A52" s="31" t="inlineStr">
        <is>
          <t>Năm 4</t>
        </is>
      </c>
      <c r="B52" s="31" t="inlineStr">
        <is>
          <t>Công nghệ thông tin 1 K66</t>
        </is>
      </c>
      <c r="C52" s="32" t="inlineStr">
        <is>
          <t>Bảo vệ đồ án(10)</t>
        </is>
      </c>
      <c r="D52" s="31" t="inlineStr">
        <is>
          <t>Thứ 7</t>
        </is>
      </c>
      <c r="E52" s="31" t="inlineStr">
        <is>
          <t>Ca 3 (Tiết 7-9)</t>
        </is>
      </c>
    </row>
    <row r="53" ht="20" customHeight="1" s="18">
      <c r="A53" s="33" t="inlineStr">
        <is>
          <t>Năm 4</t>
        </is>
      </c>
      <c r="B53" s="33" t="inlineStr">
        <is>
          <t>Công nghệ thông tin 2 K66</t>
        </is>
      </c>
      <c r="C53" s="34" t="inlineStr">
        <is>
          <t>Bảo vệ đồ án(10)</t>
        </is>
      </c>
      <c r="D53" s="33" t="inlineStr">
        <is>
          <t>Thứ 4</t>
        </is>
      </c>
      <c r="E53" s="33" t="inlineStr">
        <is>
          <t>Ca 4 (Tiết 10-12)</t>
        </is>
      </c>
    </row>
    <row r="54" ht="20" customHeight="1" s="18">
      <c r="A54" s="31" t="inlineStr">
        <is>
          <t>Năm 4</t>
        </is>
      </c>
      <c r="B54" s="31" t="inlineStr">
        <is>
          <t>Công nghệ thông tin 3 K66</t>
        </is>
      </c>
      <c r="C54" s="32" t="inlineStr">
        <is>
          <t>Bảo vệ đồ án(10)</t>
        </is>
      </c>
      <c r="D54" s="31" t="inlineStr">
        <is>
          <t>Thứ 4</t>
        </is>
      </c>
      <c r="E54" s="31" t="inlineStr">
        <is>
          <t>Ca 4 (Tiết 10-12)</t>
        </is>
      </c>
    </row>
    <row r="55" ht="20" customHeight="1" s="18">
      <c r="A55" s="33" t="inlineStr">
        <is>
          <t>Năm 4</t>
        </is>
      </c>
      <c r="B55" s="33" t="inlineStr">
        <is>
          <t>Khoa học máy tính K66</t>
        </is>
      </c>
      <c r="C55" s="34" t="inlineStr">
        <is>
          <t>Bảo vệ đồ án(10)</t>
        </is>
      </c>
      <c r="D55" s="33" t="inlineStr">
        <is>
          <t>Thứ 5</t>
        </is>
      </c>
      <c r="E55" s="33" t="inlineStr">
        <is>
          <t>Ca 3 (Tiết 7-9)</t>
        </is>
      </c>
    </row>
  </sheetData>
  <autoFilter ref="A3:E55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style="18" min="1" max="1"/>
    <col width="35" customWidth="1" style="18" min="2" max="2"/>
    <col width="14" customWidth="1" style="18" min="3" max="3"/>
    <col width="25" customWidth="1" style="18" min="4" max="4"/>
    <col width="45" customWidth="1" style="18" min="5" max="5"/>
  </cols>
  <sheetData>
    <row r="1" ht="38" customHeight="1" s="18">
      <c r="A1" s="35" t="inlineStr">
        <is>
          <t>LỊCH HỌC PHỤ ĐẠO BUỔI TỐI (DÀNH CHO SV CÓ ĐIỂM MÔN &lt; 2.0)</t>
        </is>
      </c>
    </row>
    <row r="3" ht="25" customHeight="1" s="18">
      <c r="A3" s="36" t="inlineStr">
        <is>
          <t>Năm học</t>
        </is>
      </c>
      <c r="B3" s="36" t="inlineStr">
        <is>
          <t>Môn học phụ đạo</t>
        </is>
      </c>
      <c r="C3" s="36" t="inlineStr">
        <is>
          <t>Thứ học</t>
        </is>
      </c>
      <c r="D3" s="36" t="inlineStr">
        <is>
          <t>Ca học buổi tối</t>
        </is>
      </c>
      <c r="E3" s="36" t="inlineStr">
        <is>
          <t>Đối tượng tham gia</t>
        </is>
      </c>
    </row>
    <row r="4" ht="22" customHeight="1" s="18">
      <c r="A4" s="37" t="inlineStr">
        <is>
          <t>Năm 1</t>
        </is>
      </c>
      <c r="B4" s="38" t="inlineStr">
        <is>
          <t>Triết Học Mác-lênin(3)</t>
        </is>
      </c>
      <c r="C4" s="37" t="inlineStr">
        <is>
          <t>Thứ 5</t>
        </is>
      </c>
      <c r="D4" s="37" t="inlineStr">
        <is>
          <t>Ca Tối (18:00 - 20:00)</t>
        </is>
      </c>
      <c r="E4" s="38" t="inlineStr">
        <is>
          <t>Tất cả SV các lớp có điểm môn &lt; 2.0 (Học chung ca)</t>
        </is>
      </c>
    </row>
    <row r="5" ht="22" customHeight="1" s="18">
      <c r="A5" s="33" t="inlineStr">
        <is>
          <t>Năm 1</t>
        </is>
      </c>
      <c r="B5" s="34" t="inlineStr">
        <is>
          <t>Tin đại cương(3)</t>
        </is>
      </c>
      <c r="C5" s="33" t="inlineStr">
        <is>
          <t>Thứ 2</t>
        </is>
      </c>
      <c r="D5" s="33" t="inlineStr">
        <is>
          <t>Ca Tối (18:00 - 20:00)</t>
        </is>
      </c>
      <c r="E5" s="34" t="inlineStr">
        <is>
          <t>Tất cả SV các lớp có điểm môn &lt; 2.0 (Học chung ca)</t>
        </is>
      </c>
    </row>
    <row r="6" ht="22" customHeight="1" s="18">
      <c r="A6" s="37" t="inlineStr">
        <is>
          <t>Năm 1</t>
        </is>
      </c>
      <c r="B6" s="38" t="inlineStr">
        <is>
          <t>Giải tích(2)</t>
        </is>
      </c>
      <c r="C6" s="37" t="inlineStr">
        <is>
          <t>Thứ 7</t>
        </is>
      </c>
      <c r="D6" s="37" t="inlineStr">
        <is>
          <t>Ca Tối (18:00 - 20:00)</t>
        </is>
      </c>
      <c r="E6" s="38" t="inlineStr">
        <is>
          <t>Tất cả SV các lớp có điểm môn &lt; 2.0 (Học chung ca)</t>
        </is>
      </c>
    </row>
    <row r="7" ht="22" customHeight="1" s="18">
      <c r="A7" s="33" t="inlineStr">
        <is>
          <t>Năm 1</t>
        </is>
      </c>
      <c r="B7" s="34" t="inlineStr">
        <is>
          <t>Đại số tuyến tính(3)</t>
        </is>
      </c>
      <c r="C7" s="33" t="inlineStr">
        <is>
          <t>Thứ 4</t>
        </is>
      </c>
      <c r="D7" s="33" t="inlineStr">
        <is>
          <t>Ca Tối (18:00 - 20:00)</t>
        </is>
      </c>
      <c r="E7" s="34" t="inlineStr">
        <is>
          <t>Tất cả SV các lớp có điểm môn &lt; 2.0 (Học chung ca)</t>
        </is>
      </c>
    </row>
    <row r="8" ht="22" customHeight="1" s="18">
      <c r="A8" s="37" t="inlineStr">
        <is>
          <t>Năm 2</t>
        </is>
      </c>
      <c r="B8" s="38" t="inlineStr">
        <is>
          <t>Thiết kế web(3)</t>
        </is>
      </c>
      <c r="C8" s="37" t="inlineStr">
        <is>
          <t>Thứ 6</t>
        </is>
      </c>
      <c r="D8" s="37" t="inlineStr">
        <is>
          <t>Ca Tối (18:00 - 20:00)</t>
        </is>
      </c>
      <c r="E8" s="38" t="inlineStr">
        <is>
          <t>Tất cả SV các lớp có điểm môn &lt; 2.0 (Học chung ca)</t>
        </is>
      </c>
    </row>
    <row r="9" ht="22" customHeight="1" s="18">
      <c r="A9" s="33" t="inlineStr">
        <is>
          <t>Năm 2</t>
        </is>
      </c>
      <c r="B9" s="34" t="inlineStr">
        <is>
          <t>Lập trình hướng đối tượng(3)</t>
        </is>
      </c>
      <c r="C9" s="33" t="inlineStr">
        <is>
          <t>Thứ 5</t>
        </is>
      </c>
      <c r="D9" s="33" t="inlineStr">
        <is>
          <t>Ca Tối (18:00 - 20:00)</t>
        </is>
      </c>
      <c r="E9" s="34" t="inlineStr">
        <is>
          <t>Tất cả SV các lớp có điểm môn &lt; 2.0 (Học chung ca)</t>
        </is>
      </c>
    </row>
    <row r="10" ht="22" customHeight="1" s="18">
      <c r="A10" s="37" t="inlineStr">
        <is>
          <t>Năm 2</t>
        </is>
      </c>
      <c r="B10" s="38" t="inlineStr">
        <is>
          <t>Cấu trúc dữ liệu và giải thuật(3)</t>
        </is>
      </c>
      <c r="C10" s="37" t="inlineStr">
        <is>
          <t>Thứ 2</t>
        </is>
      </c>
      <c r="D10" s="37" t="inlineStr">
        <is>
          <t>Ca Tối (18:00 - 20:00)</t>
        </is>
      </c>
      <c r="E10" s="38" t="inlineStr">
        <is>
          <t>Tất cả SV các lớp có điểm môn &lt; 2.0 (Học chung ca)</t>
        </is>
      </c>
    </row>
    <row r="11" ht="22" customHeight="1" s="18">
      <c r="A11" s="33" t="inlineStr">
        <is>
          <t>Năm 2</t>
        </is>
      </c>
      <c r="B11" s="34" t="inlineStr">
        <is>
          <t>Tư tưởng Hồ Chí Minh(2)</t>
        </is>
      </c>
      <c r="C11" s="33" t="inlineStr">
        <is>
          <t>Thứ 3</t>
        </is>
      </c>
      <c r="D11" s="33" t="inlineStr">
        <is>
          <t>Ca Tối (18:00 - 20:00)</t>
        </is>
      </c>
      <c r="E11" s="34" t="inlineStr">
        <is>
          <t>Tất cả SV các lớp có điểm môn &lt; 2.0 (Học chung ca)</t>
        </is>
      </c>
    </row>
    <row r="12" ht="22" customHeight="1" s="18">
      <c r="A12" s="37" t="inlineStr">
        <is>
          <t>Năm 3</t>
        </is>
      </c>
      <c r="B12" s="38" t="inlineStr">
        <is>
          <t>Lập trình Web(3)</t>
        </is>
      </c>
      <c r="C12" s="37" t="inlineStr">
        <is>
          <t>Thứ 6</t>
        </is>
      </c>
      <c r="D12" s="37" t="inlineStr">
        <is>
          <t>Ca Tối (18:00 - 20:00)</t>
        </is>
      </c>
      <c r="E12" s="38" t="inlineStr">
        <is>
          <t>Tất cả SV các lớp có điểm môn &lt; 2.0 (Học chung ca)</t>
        </is>
      </c>
    </row>
    <row r="13" ht="22" customHeight="1" s="18">
      <c r="A13" s="33" t="inlineStr">
        <is>
          <t>Năm 3</t>
        </is>
      </c>
      <c r="B13" s="34" t="inlineStr">
        <is>
          <t>Lập trình trực quan(3)</t>
        </is>
      </c>
      <c r="C13" s="33" t="inlineStr">
        <is>
          <t>Thứ 7</t>
        </is>
      </c>
      <c r="D13" s="33" t="inlineStr">
        <is>
          <t>Ca Tối (18:00 - 20:00)</t>
        </is>
      </c>
      <c r="E13" s="34" t="inlineStr">
        <is>
          <t>Tất cả SV các lớp có điểm môn &lt; 2.0 (Học chung ca)</t>
        </is>
      </c>
    </row>
    <row r="14" ht="22" customHeight="1" s="18">
      <c r="A14" s="37" t="inlineStr">
        <is>
          <t>Năm 3</t>
        </is>
      </c>
      <c r="B14" s="38" t="inlineStr">
        <is>
          <t>Thuật toán và ứng dụng(3)</t>
        </is>
      </c>
      <c r="C14" s="37" t="inlineStr">
        <is>
          <t>Thứ 5</t>
        </is>
      </c>
      <c r="D14" s="37" t="inlineStr">
        <is>
          <t>Ca Tối (18:00 - 20:00)</t>
        </is>
      </c>
      <c r="E14" s="38" t="inlineStr">
        <is>
          <t>Tất cả SV các lớp có điểm môn &lt; 2.0 (Học chung ca)</t>
        </is>
      </c>
    </row>
    <row r="15" ht="22" customHeight="1" s="18">
      <c r="A15" s="33" t="inlineStr">
        <is>
          <t>Năm 3</t>
        </is>
      </c>
      <c r="B15" s="34" t="inlineStr">
        <is>
          <t>Mạng máy tính(3)</t>
        </is>
      </c>
      <c r="C15" s="33" t="inlineStr">
        <is>
          <t>Thứ 3</t>
        </is>
      </c>
      <c r="D15" s="33" t="inlineStr">
        <is>
          <t>Ca Tối (18:00 - 20:00)</t>
        </is>
      </c>
      <c r="E15" s="34" t="inlineStr">
        <is>
          <t>Tất cả SV các lớp có điểm môn &lt; 2.0 (Học chung ca)</t>
        </is>
      </c>
    </row>
    <row r="16" ht="22" customHeight="1" s="18">
      <c r="A16" s="37" t="inlineStr">
        <is>
          <t>Năm 4</t>
        </is>
      </c>
      <c r="B16" s="38" t="inlineStr">
        <is>
          <t>Bảo vệ đồ án(10)</t>
        </is>
      </c>
      <c r="C16" s="37" t="inlineStr">
        <is>
          <t>Thứ 6</t>
        </is>
      </c>
      <c r="D16" s="37" t="inlineStr">
        <is>
          <t>Ca Tối (18:00 - 20:00)</t>
        </is>
      </c>
      <c r="E16" s="38" t="inlineStr">
        <is>
          <t>Tất cả SV các lớp có điểm môn &lt; 2.0 (Học chung ca)</t>
        </is>
      </c>
    </row>
  </sheetData>
  <autoFilter ref="A3:E16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cols>
    <col width="14" customWidth="1" style="18" min="1" max="1"/>
    <col width="25" customWidth="1" style="18" min="2" max="2"/>
    <col width="28" customWidth="1" style="18" min="3" max="3"/>
    <col width="12" customWidth="1" style="18" min="4" max="4"/>
    <col width="35" customWidth="1" style="18" min="5" max="5"/>
    <col width="12" customWidth="1" style="18" min="6" max="6"/>
    <col width="32" customWidth="1" style="18" min="7" max="7"/>
  </cols>
  <sheetData>
    <row r="1" ht="38" customHeight="1" s="18">
      <c r="A1" s="35" t="inlineStr">
        <is>
          <t>DANH SÁCH SINH VIÊN BẮC BUỘC HỌC PHỤ ĐẠO BUỔI TỐI (ĐIỂM MÔN &lt; 2.0)</t>
        </is>
      </c>
    </row>
    <row r="3" ht="25" customHeight="1" s="18">
      <c r="A3" s="36" t="inlineStr">
        <is>
          <t>MSV</t>
        </is>
      </c>
      <c r="B3" s="36" t="inlineStr">
        <is>
          <t>Họ và tên</t>
        </is>
      </c>
      <c r="C3" s="36" t="inlineStr">
        <is>
          <t>Lớp</t>
        </is>
      </c>
      <c r="D3" s="36" t="inlineStr">
        <is>
          <t>Năm học</t>
        </is>
      </c>
      <c r="E3" s="36" t="inlineStr">
        <is>
          <t>Môn học cần phụ đạo</t>
        </is>
      </c>
      <c r="F3" s="36" t="inlineStr">
        <is>
          <t>Điểm HP</t>
        </is>
      </c>
      <c r="G3" s="36" t="inlineStr">
        <is>
          <t>Lịch học phụ đạo tối</t>
        </is>
      </c>
    </row>
    <row r="4" ht="20" customHeight="1" s="18">
      <c r="A4" s="37" t="n">
        <v>251210800</v>
      </c>
      <c r="B4" s="38" t="inlineStr">
        <is>
          <t>LÊ QUANG ANH</t>
        </is>
      </c>
      <c r="C4" s="38" t="inlineStr">
        <is>
          <t>Công nghệ thông tin 1 K66</t>
        </is>
      </c>
      <c r="D4" s="37" t="inlineStr">
        <is>
          <t>Năm 2</t>
        </is>
      </c>
      <c r="E4" s="38" t="inlineStr">
        <is>
          <t>Thiết kế web(3)</t>
        </is>
      </c>
      <c r="F4" s="37" t="n">
        <v>1.9</v>
      </c>
      <c r="G4" s="37" t="inlineStr">
        <is>
          <t>Thứ 6 (Ca Tối (18:00 - 20:00))</t>
        </is>
      </c>
    </row>
    <row r="5" ht="20" customHeight="1" s="18">
      <c r="A5" s="33" t="n">
        <v>251230801</v>
      </c>
      <c r="B5" s="34" t="inlineStr">
        <is>
          <t>NGÔ AN ĐỨC ANH</t>
        </is>
      </c>
      <c r="C5" s="34" t="inlineStr">
        <is>
          <t>Công nghệ thông tin 1 K66</t>
        </is>
      </c>
      <c r="D5" s="33" t="inlineStr">
        <is>
          <t>Năm 1</t>
        </is>
      </c>
      <c r="E5" s="34" t="inlineStr">
        <is>
          <t>Giải tích(2)</t>
        </is>
      </c>
      <c r="F5" s="33" t="n">
        <v>1.9</v>
      </c>
      <c r="G5" s="33" t="inlineStr">
        <is>
          <t>Thứ 7 (Ca Tối (18:00 - 20:00))</t>
        </is>
      </c>
    </row>
    <row r="6" ht="20" customHeight="1" s="18">
      <c r="A6" s="37" t="n">
        <v>251230807</v>
      </c>
      <c r="B6" s="38" t="inlineStr">
        <is>
          <t>TÔ VIỆT ANH</t>
        </is>
      </c>
      <c r="C6" s="38" t="inlineStr">
        <is>
          <t>Công nghệ thông tin 1 K66</t>
        </is>
      </c>
      <c r="D6" s="37" t="inlineStr">
        <is>
          <t>Năm 1</t>
        </is>
      </c>
      <c r="E6" s="38" t="inlineStr">
        <is>
          <t>Triết Học Mác-lênin(3)</t>
        </is>
      </c>
      <c r="F6" s="37" t="n">
        <v>1.8</v>
      </c>
      <c r="G6" s="37" t="inlineStr">
        <is>
          <t>Thứ 5 (Ca Tối (18:00 - 20:00))</t>
        </is>
      </c>
    </row>
    <row r="7" ht="20" customHeight="1" s="18">
      <c r="A7" s="33" t="n">
        <v>251230807</v>
      </c>
      <c r="B7" s="34" t="inlineStr">
        <is>
          <t>TÔ VIỆT ANH</t>
        </is>
      </c>
      <c r="C7" s="34" t="inlineStr">
        <is>
          <t>Công nghệ thông tin 1 K66</t>
        </is>
      </c>
      <c r="D7" s="33" t="inlineStr">
        <is>
          <t>Năm 1</t>
        </is>
      </c>
      <c r="E7" s="34" t="inlineStr">
        <is>
          <t>Tin đại cương(3)</t>
        </is>
      </c>
      <c r="F7" s="33" t="n">
        <v>1.8</v>
      </c>
      <c r="G7" s="33" t="inlineStr">
        <is>
          <t>Thứ 2 (Ca Tối (18:00 - 20:00))</t>
        </is>
      </c>
    </row>
    <row r="8" ht="20" customHeight="1" s="18">
      <c r="A8" s="37" t="n">
        <v>251230807</v>
      </c>
      <c r="B8" s="38" t="inlineStr">
        <is>
          <t>TÔ VIỆT ANH</t>
        </is>
      </c>
      <c r="C8" s="38" t="inlineStr">
        <is>
          <t>Công nghệ thông tin 1 K66</t>
        </is>
      </c>
      <c r="D8" s="37" t="inlineStr">
        <is>
          <t>Năm 1</t>
        </is>
      </c>
      <c r="E8" s="38" t="inlineStr">
        <is>
          <t>Đại số tuyến tính(3)</t>
        </is>
      </c>
      <c r="F8" s="37" t="n">
        <v>0.4</v>
      </c>
      <c r="G8" s="37" t="inlineStr">
        <is>
          <t>Thứ 4 (Ca Tối (18:00 - 20:00))</t>
        </is>
      </c>
    </row>
    <row r="9" ht="20" customHeight="1" s="18">
      <c r="A9" s="33" t="n">
        <v>251230813</v>
      </c>
      <c r="B9" s="34" t="inlineStr">
        <is>
          <t>TRẦN MẬU BẮC</t>
        </is>
      </c>
      <c r="C9" s="34" t="inlineStr">
        <is>
          <t>Công nghệ thông tin 1 K66</t>
        </is>
      </c>
      <c r="D9" s="33" t="inlineStr">
        <is>
          <t>Năm 1</t>
        </is>
      </c>
      <c r="E9" s="34" t="inlineStr">
        <is>
          <t>Đại số tuyến tính(3)</t>
        </is>
      </c>
      <c r="F9" s="33" t="n">
        <v>1</v>
      </c>
      <c r="G9" s="33" t="inlineStr">
        <is>
          <t>Thứ 4 (Ca Tối (18:00 - 20:00))</t>
        </is>
      </c>
    </row>
    <row r="10" ht="20" customHeight="1" s="18">
      <c r="A10" s="37" t="n">
        <v>251230813</v>
      </c>
      <c r="B10" s="38" t="inlineStr">
        <is>
          <t>TRẦN MẬU BẮC</t>
        </is>
      </c>
      <c r="C10" s="38" t="inlineStr">
        <is>
          <t>Công nghệ thông tin 1 K66</t>
        </is>
      </c>
      <c r="D10" s="37" t="inlineStr">
        <is>
          <t>Năm 3</t>
        </is>
      </c>
      <c r="E10" s="38" t="inlineStr">
        <is>
          <t>Lập trình trực quan(3)</t>
        </is>
      </c>
      <c r="F10" s="37" t="n">
        <v>1.8</v>
      </c>
      <c r="G10" s="37" t="inlineStr">
        <is>
          <t>Thứ 7 (Ca Tối (18:00 - 20:00))</t>
        </is>
      </c>
    </row>
    <row r="11" ht="20" customHeight="1" s="18">
      <c r="A11" s="33" t="n">
        <v>251230811</v>
      </c>
      <c r="B11" s="34" t="inlineStr">
        <is>
          <t>NGUYỄN VĂN CHÍ BẢO</t>
        </is>
      </c>
      <c r="C11" s="34" t="inlineStr">
        <is>
          <t>Công nghệ thông tin 1 K66</t>
        </is>
      </c>
      <c r="D11" s="33" t="inlineStr">
        <is>
          <t>Năm 1</t>
        </is>
      </c>
      <c r="E11" s="34" t="inlineStr">
        <is>
          <t>Triết Học Mác-lênin(3)</t>
        </is>
      </c>
      <c r="F11" s="33" t="n">
        <v>1.9</v>
      </c>
      <c r="G11" s="33" t="inlineStr">
        <is>
          <t>Thứ 5 (Ca Tối (18:00 - 20:00))</t>
        </is>
      </c>
    </row>
    <row r="12" ht="20" customHeight="1" s="18">
      <c r="A12" s="37" t="n">
        <v>251230811</v>
      </c>
      <c r="B12" s="38" t="inlineStr">
        <is>
          <t>NGUYỄN VĂN CHÍ BẢO</t>
        </is>
      </c>
      <c r="C12" s="38" t="inlineStr">
        <is>
          <t>Công nghệ thông tin 1 K66</t>
        </is>
      </c>
      <c r="D12" s="37" t="inlineStr">
        <is>
          <t>Năm 1</t>
        </is>
      </c>
      <c r="E12" s="38" t="inlineStr">
        <is>
          <t>Đại số tuyến tính(3)</t>
        </is>
      </c>
      <c r="F12" s="37" t="n">
        <v>0.9</v>
      </c>
      <c r="G12" s="37" t="inlineStr">
        <is>
          <t>Thứ 4 (Ca Tối (18:00 - 20:00))</t>
        </is>
      </c>
    </row>
    <row r="13" ht="20" customHeight="1" s="18">
      <c r="A13" s="33" t="n">
        <v>251230812</v>
      </c>
      <c r="B13" s="34" t="inlineStr">
        <is>
          <t>NGUYỄN VĂN GIA BẢO</t>
        </is>
      </c>
      <c r="C13" s="34" t="inlineStr">
        <is>
          <t>Công nghệ thông tin 1 K66</t>
        </is>
      </c>
      <c r="D13" s="33" t="inlineStr">
        <is>
          <t>Năm 1</t>
        </is>
      </c>
      <c r="E13" s="34" t="inlineStr">
        <is>
          <t>Đại số tuyến tính(3)</t>
        </is>
      </c>
      <c r="F13" s="33" t="n">
        <v>1.3</v>
      </c>
      <c r="G13" s="33" t="inlineStr">
        <is>
          <t>Thứ 4 (Ca Tối (18:00 - 20:00))</t>
        </is>
      </c>
    </row>
    <row r="14" ht="20" customHeight="1" s="18">
      <c r="A14" s="37" t="n">
        <v>251210818</v>
      </c>
      <c r="B14" s="38" t="inlineStr">
        <is>
          <t>NGUYỄN ĐỨC CƯƠNG</t>
        </is>
      </c>
      <c r="C14" s="38" t="inlineStr">
        <is>
          <t>Công nghệ thông tin 1 K66</t>
        </is>
      </c>
      <c r="D14" s="37" t="inlineStr">
        <is>
          <t>Năm 1</t>
        </is>
      </c>
      <c r="E14" s="38" t="inlineStr">
        <is>
          <t>Đại số tuyến tính(3)</t>
        </is>
      </c>
      <c r="F14" s="37" t="n">
        <v>0.5</v>
      </c>
      <c r="G14" s="37" t="inlineStr">
        <is>
          <t>Thứ 4 (Ca Tối (18:00 - 20:00))</t>
        </is>
      </c>
    </row>
    <row r="15" ht="20" customHeight="1" s="18">
      <c r="A15" s="33" t="n">
        <v>251210818</v>
      </c>
      <c r="B15" s="34" t="inlineStr">
        <is>
          <t>NGUYỄN ĐỨC CƯƠNG</t>
        </is>
      </c>
      <c r="C15" s="34" t="inlineStr">
        <is>
          <t>Công nghệ thông tin 1 K66</t>
        </is>
      </c>
      <c r="D15" s="33" t="inlineStr">
        <is>
          <t>Năm 3</t>
        </is>
      </c>
      <c r="E15" s="34" t="inlineStr">
        <is>
          <t>Lập trình trực quan(3)</t>
        </is>
      </c>
      <c r="F15" s="33" t="n">
        <v>1.9</v>
      </c>
      <c r="G15" s="33" t="inlineStr">
        <is>
          <t>Thứ 7 (Ca Tối (18:00 - 20:00))</t>
        </is>
      </c>
    </row>
    <row r="16" ht="20" customHeight="1" s="18">
      <c r="A16" s="37" t="n">
        <v>251230821</v>
      </c>
      <c r="B16" s="38" t="inlineStr">
        <is>
          <t>VŨ MẠNH CƯỜNG</t>
        </is>
      </c>
      <c r="C16" s="38" t="inlineStr">
        <is>
          <t>Công nghệ thông tin 1 K66</t>
        </is>
      </c>
      <c r="D16" s="37" t="inlineStr">
        <is>
          <t>Năm 3</t>
        </is>
      </c>
      <c r="E16" s="38" t="inlineStr">
        <is>
          <t>Thuật toán và ứng dụng(3)</t>
        </is>
      </c>
      <c r="F16" s="37" t="n">
        <v>1.9</v>
      </c>
      <c r="G16" s="37" t="inlineStr">
        <is>
          <t>Thứ 5 (Ca Tối (18:00 - 20:00))</t>
        </is>
      </c>
    </row>
    <row r="17" ht="20" customHeight="1" s="18">
      <c r="A17" s="33" t="n">
        <v>251230822</v>
      </c>
      <c r="B17" s="34" t="inlineStr">
        <is>
          <t>NGUYỄN KHÁNH DOANH</t>
        </is>
      </c>
      <c r="C17" s="34" t="inlineStr">
        <is>
          <t>Công nghệ thông tin 1 K66</t>
        </is>
      </c>
      <c r="D17" s="33" t="inlineStr">
        <is>
          <t>Năm 1</t>
        </is>
      </c>
      <c r="E17" s="34" t="inlineStr">
        <is>
          <t>Đại số tuyến tính(3)</t>
        </is>
      </c>
      <c r="F17" s="33" t="n">
        <v>0.3</v>
      </c>
      <c r="G17" s="33" t="inlineStr">
        <is>
          <t>Thứ 4 (Ca Tối (18:00 - 20:00))</t>
        </is>
      </c>
    </row>
    <row r="18" ht="20" customHeight="1" s="18">
      <c r="A18" s="37" t="n">
        <v>251230822</v>
      </c>
      <c r="B18" s="38" t="inlineStr">
        <is>
          <t>NGUYỄN KHÁNH DOANH</t>
        </is>
      </c>
      <c r="C18" s="38" t="inlineStr">
        <is>
          <t>Công nghệ thông tin 1 K66</t>
        </is>
      </c>
      <c r="D18" s="37" t="inlineStr">
        <is>
          <t>Năm 2</t>
        </is>
      </c>
      <c r="E18" s="38" t="inlineStr">
        <is>
          <t>Cấu trúc dữ liệu và giải thuật(3)</t>
        </is>
      </c>
      <c r="F18" s="37" t="n">
        <v>1.8</v>
      </c>
      <c r="G18" s="37" t="inlineStr">
        <is>
          <t>Thứ 2 (Ca Tối (18:00 - 20:00))</t>
        </is>
      </c>
    </row>
    <row r="19" ht="20" customHeight="1" s="18">
      <c r="A19" s="33" t="n">
        <v>251210834</v>
      </c>
      <c r="B19" s="34" t="inlineStr">
        <is>
          <t>NGUYỄN VŨ THÀNH DƯƠNG</t>
        </is>
      </c>
      <c r="C19" s="34" t="inlineStr">
        <is>
          <t>Công nghệ thông tin 1 K66</t>
        </is>
      </c>
      <c r="D19" s="33" t="inlineStr">
        <is>
          <t>Năm 2</t>
        </is>
      </c>
      <c r="E19" s="34" t="inlineStr">
        <is>
          <t>Thiết kế web(3)</t>
        </is>
      </c>
      <c r="F19" s="33" t="n">
        <v>1.8</v>
      </c>
      <c r="G19" s="33" t="inlineStr">
        <is>
          <t>Thứ 6 (Ca Tối (18:00 - 20:00))</t>
        </is>
      </c>
    </row>
    <row r="20" ht="20" customHeight="1" s="18">
      <c r="A20" s="37" t="n">
        <v>251210834</v>
      </c>
      <c r="B20" s="38" t="inlineStr">
        <is>
          <t>NGUYỄN VŨ THÀNH DƯƠNG</t>
        </is>
      </c>
      <c r="C20" s="38" t="inlineStr">
        <is>
          <t>Công nghệ thông tin 1 K66</t>
        </is>
      </c>
      <c r="D20" s="37" t="inlineStr">
        <is>
          <t>Năm 3</t>
        </is>
      </c>
      <c r="E20" s="38" t="inlineStr">
        <is>
          <t>Mạng máy tính(3)</t>
        </is>
      </c>
      <c r="F20" s="37" t="n">
        <v>1.9</v>
      </c>
      <c r="G20" s="37" t="inlineStr">
        <is>
          <t>Thứ 3 (Ca Tối (18:00 - 20:00))</t>
        </is>
      </c>
    </row>
    <row r="21" ht="20" customHeight="1" s="18">
      <c r="A21" s="33" t="n">
        <v>251230836</v>
      </c>
      <c r="B21" s="34" t="inlineStr">
        <is>
          <t>CHỬ TIẾN ĐẠT</t>
        </is>
      </c>
      <c r="C21" s="34" t="inlineStr">
        <is>
          <t>Công nghệ thông tin 1 K66</t>
        </is>
      </c>
      <c r="D21" s="33" t="inlineStr">
        <is>
          <t>Năm 2</t>
        </is>
      </c>
      <c r="E21" s="34" t="inlineStr">
        <is>
          <t>Tư tưởng Hồ Chí Minh(2)</t>
        </is>
      </c>
      <c r="F21" s="33" t="n">
        <v>1.9</v>
      </c>
      <c r="G21" s="33" t="inlineStr">
        <is>
          <t>Thứ 3 (Ca Tối (18:00 - 20:00))</t>
        </is>
      </c>
    </row>
    <row r="22" ht="20" customHeight="1" s="18">
      <c r="A22" s="37" t="n">
        <v>251210848</v>
      </c>
      <c r="B22" s="38" t="inlineStr">
        <is>
          <t>PHẠM ANH ĐỨC</t>
        </is>
      </c>
      <c r="C22" s="38" t="inlineStr">
        <is>
          <t>Công nghệ thông tin 1 K66</t>
        </is>
      </c>
      <c r="D22" s="37" t="inlineStr">
        <is>
          <t>Năm 1</t>
        </is>
      </c>
      <c r="E22" s="38" t="inlineStr">
        <is>
          <t>Đại số tuyến tính(3)</t>
        </is>
      </c>
      <c r="F22" s="37" t="n">
        <v>1.9</v>
      </c>
      <c r="G22" s="37" t="inlineStr">
        <is>
          <t>Thứ 4 (Ca Tối (18:00 - 20:00))</t>
        </is>
      </c>
    </row>
    <row r="23" ht="20" customHeight="1" s="18">
      <c r="A23" s="33" t="n">
        <v>251210849</v>
      </c>
      <c r="B23" s="34" t="inlineStr">
        <is>
          <t>PHẠM ANH ĐỨC</t>
        </is>
      </c>
      <c r="C23" s="34" t="inlineStr">
        <is>
          <t>Công nghệ thông tin 1 K66</t>
        </is>
      </c>
      <c r="D23" s="33" t="inlineStr">
        <is>
          <t>Năm 1</t>
        </is>
      </c>
      <c r="E23" s="34" t="inlineStr">
        <is>
          <t>Đại số tuyến tính(3)</t>
        </is>
      </c>
      <c r="F23" s="33" t="n">
        <v>0.1</v>
      </c>
      <c r="G23" s="33" t="inlineStr">
        <is>
          <t>Thứ 4 (Ca Tối (18:00 - 20:00))</t>
        </is>
      </c>
    </row>
    <row r="24" ht="20" customHeight="1" s="18">
      <c r="A24" s="37" t="n">
        <v>251210852</v>
      </c>
      <c r="B24" s="38" t="inlineStr">
        <is>
          <t>NGUYỄN PHÚC HẢI</t>
        </is>
      </c>
      <c r="C24" s="38" t="inlineStr">
        <is>
          <t>Công nghệ thông tin 1 K66</t>
        </is>
      </c>
      <c r="D24" s="37" t="inlineStr">
        <is>
          <t>Năm 1</t>
        </is>
      </c>
      <c r="E24" s="38" t="inlineStr">
        <is>
          <t>Đại số tuyến tính(3)</t>
        </is>
      </c>
      <c r="F24" s="37" t="n">
        <v>0.9</v>
      </c>
      <c r="G24" s="37" t="inlineStr">
        <is>
          <t>Thứ 4 (Ca Tối (18:00 - 20:00))</t>
        </is>
      </c>
    </row>
    <row r="25" ht="20" customHeight="1" s="18">
      <c r="A25" s="33" t="n">
        <v>251210852</v>
      </c>
      <c r="B25" s="34" t="inlineStr">
        <is>
          <t>NGUYỄN PHÚC HẢI</t>
        </is>
      </c>
      <c r="C25" s="34" t="inlineStr">
        <is>
          <t>Công nghệ thông tin 1 K66</t>
        </is>
      </c>
      <c r="D25" s="33" t="inlineStr">
        <is>
          <t>Năm 2</t>
        </is>
      </c>
      <c r="E25" s="34" t="inlineStr">
        <is>
          <t>Lập trình hướng đối tượng(3)</t>
        </is>
      </c>
      <c r="F25" s="33" t="n">
        <v>1.9</v>
      </c>
      <c r="G25" s="33" t="inlineStr">
        <is>
          <t>Thứ 5 (Ca Tối (18:00 - 20:00))</t>
        </is>
      </c>
    </row>
    <row r="26" ht="20" customHeight="1" s="18">
      <c r="A26" s="37" t="n">
        <v>251210852</v>
      </c>
      <c r="B26" s="38" t="inlineStr">
        <is>
          <t>NGUYỄN PHÚC HẢI</t>
        </is>
      </c>
      <c r="C26" s="38" t="inlineStr">
        <is>
          <t>Công nghệ thông tin 1 K66</t>
        </is>
      </c>
      <c r="D26" s="37" t="inlineStr">
        <is>
          <t>Năm 2</t>
        </is>
      </c>
      <c r="E26" s="38" t="inlineStr">
        <is>
          <t>Cấu trúc dữ liệu và giải thuật(3)</t>
        </is>
      </c>
      <c r="F26" s="37" t="n">
        <v>1.9</v>
      </c>
      <c r="G26" s="37" t="inlineStr">
        <is>
          <t>Thứ 2 (Ca Tối (18:00 - 20:00))</t>
        </is>
      </c>
    </row>
    <row r="27" ht="20" customHeight="1" s="18">
      <c r="A27" s="33" t="n">
        <v>251210852</v>
      </c>
      <c r="B27" s="34" t="inlineStr">
        <is>
          <t>NGUYỄN PHÚC HẢI</t>
        </is>
      </c>
      <c r="C27" s="34" t="inlineStr">
        <is>
          <t>Công nghệ thông tin 1 K66</t>
        </is>
      </c>
      <c r="D27" s="33" t="inlineStr">
        <is>
          <t>Năm 3</t>
        </is>
      </c>
      <c r="E27" s="34" t="inlineStr">
        <is>
          <t>Lập trình Web(3)</t>
        </is>
      </c>
      <c r="F27" s="33" t="n">
        <v>1.9</v>
      </c>
      <c r="G27" s="33" t="inlineStr">
        <is>
          <t>Thứ 6 (Ca Tối (18:00 - 20:00))</t>
        </is>
      </c>
    </row>
    <row r="28" ht="20" customHeight="1" s="18">
      <c r="A28" s="37" t="n">
        <v>251230854</v>
      </c>
      <c r="B28" s="38" t="inlineStr">
        <is>
          <t>NGUYỄN TIẾN HẢI</t>
        </is>
      </c>
      <c r="C28" s="38" t="inlineStr">
        <is>
          <t>Công nghệ thông tin 1 K66</t>
        </is>
      </c>
      <c r="D28" s="37" t="inlineStr">
        <is>
          <t>Năm 3</t>
        </is>
      </c>
      <c r="E28" s="38" t="inlineStr">
        <is>
          <t>Lập trình Web(3)</t>
        </is>
      </c>
      <c r="F28" s="37" t="n">
        <v>1.9</v>
      </c>
      <c r="G28" s="37" t="inlineStr">
        <is>
          <t>Thứ 6 (Ca Tối (18:00 - 20:00))</t>
        </is>
      </c>
    </row>
    <row r="29" ht="20" customHeight="1" s="18">
      <c r="A29" s="33" t="n">
        <v>251230854</v>
      </c>
      <c r="B29" s="34" t="inlineStr">
        <is>
          <t>NGUYỄN TIẾN HẢI</t>
        </is>
      </c>
      <c r="C29" s="34" t="inlineStr">
        <is>
          <t>Công nghệ thông tin 1 K66</t>
        </is>
      </c>
      <c r="D29" s="33" t="inlineStr">
        <is>
          <t>Năm 3</t>
        </is>
      </c>
      <c r="E29" s="34" t="inlineStr">
        <is>
          <t>Thuật toán và ứng dụng(3)</t>
        </is>
      </c>
      <c r="F29" s="33" t="n">
        <v>1.8</v>
      </c>
      <c r="G29" s="33" t="inlineStr">
        <is>
          <t>Thứ 5 (Ca Tối (18:00 - 20:00))</t>
        </is>
      </c>
    </row>
    <row r="30" ht="20" customHeight="1" s="18">
      <c r="A30" s="37" t="n">
        <v>251230856</v>
      </c>
      <c r="B30" s="38" t="inlineStr">
        <is>
          <t>ĐÀM KHÁNH HIỀN</t>
        </is>
      </c>
      <c r="C30" s="38" t="inlineStr">
        <is>
          <t>Công nghệ thông tin 1 K66</t>
        </is>
      </c>
      <c r="D30" s="37" t="inlineStr">
        <is>
          <t>Năm 3</t>
        </is>
      </c>
      <c r="E30" s="38" t="inlineStr">
        <is>
          <t>Lập trình trực quan(3)</t>
        </is>
      </c>
      <c r="F30" s="37" t="n">
        <v>1.9</v>
      </c>
      <c r="G30" s="37" t="inlineStr">
        <is>
          <t>Thứ 7 (Ca Tối (18:00 - 20:00))</t>
        </is>
      </c>
    </row>
    <row r="31" ht="20" customHeight="1" s="18">
      <c r="A31" s="33" t="n">
        <v>251230856</v>
      </c>
      <c r="B31" s="34" t="inlineStr">
        <is>
          <t>ĐÀM KHÁNH HIỀN</t>
        </is>
      </c>
      <c r="C31" s="34" t="inlineStr">
        <is>
          <t>Công nghệ thông tin 1 K66</t>
        </is>
      </c>
      <c r="D31" s="33" t="inlineStr">
        <is>
          <t>Năm 3</t>
        </is>
      </c>
      <c r="E31" s="34" t="inlineStr">
        <is>
          <t>Mạng máy tính(3)</t>
        </is>
      </c>
      <c r="F31" s="33" t="n">
        <v>1.9</v>
      </c>
      <c r="G31" s="33" t="inlineStr">
        <is>
          <t>Thứ 3 (Ca Tối (18:00 - 20:00))</t>
        </is>
      </c>
    </row>
    <row r="32" ht="20" customHeight="1" s="18">
      <c r="A32" s="37" t="n">
        <v>251230858</v>
      </c>
      <c r="B32" s="38" t="inlineStr">
        <is>
          <t>BÙI TIẾN HIỆP</t>
        </is>
      </c>
      <c r="C32" s="38" t="inlineStr">
        <is>
          <t>Công nghệ thông tin 1 K66</t>
        </is>
      </c>
      <c r="D32" s="37" t="inlineStr">
        <is>
          <t>Năm 1</t>
        </is>
      </c>
      <c r="E32" s="38" t="inlineStr">
        <is>
          <t>Đại số tuyến tính(3)</t>
        </is>
      </c>
      <c r="F32" s="37" t="n">
        <v>1</v>
      </c>
      <c r="G32" s="37" t="inlineStr">
        <is>
          <t>Thứ 4 (Ca Tối (18:00 - 20:00))</t>
        </is>
      </c>
    </row>
    <row r="33" ht="20" customHeight="1" s="18">
      <c r="A33" s="33" t="n">
        <v>251230858</v>
      </c>
      <c r="B33" s="34" t="inlineStr">
        <is>
          <t>BÙI TIẾN HIỆP</t>
        </is>
      </c>
      <c r="C33" s="34" t="inlineStr">
        <is>
          <t>Công nghệ thông tin 1 K66</t>
        </is>
      </c>
      <c r="D33" s="33" t="inlineStr">
        <is>
          <t>Năm 2</t>
        </is>
      </c>
      <c r="E33" s="34" t="inlineStr">
        <is>
          <t>Cấu trúc dữ liệu và giải thuật(3)</t>
        </is>
      </c>
      <c r="F33" s="33" t="n">
        <v>1.8</v>
      </c>
      <c r="G33" s="33" t="inlineStr">
        <is>
          <t>Thứ 2 (Ca Tối (18:00 - 20:00))</t>
        </is>
      </c>
    </row>
    <row r="34" ht="20" customHeight="1" s="18">
      <c r="A34" s="37" t="n">
        <v>251230858</v>
      </c>
      <c r="B34" s="38" t="inlineStr">
        <is>
          <t>BÙI TIẾN HIỆP</t>
        </is>
      </c>
      <c r="C34" s="38" t="inlineStr">
        <is>
          <t>Công nghệ thông tin 1 K66</t>
        </is>
      </c>
      <c r="D34" s="37" t="inlineStr">
        <is>
          <t>Năm 3</t>
        </is>
      </c>
      <c r="E34" s="38" t="inlineStr">
        <is>
          <t>Lập trình trực quan(3)</t>
        </is>
      </c>
      <c r="F34" s="37" t="n">
        <v>1.9</v>
      </c>
      <c r="G34" s="37" t="inlineStr">
        <is>
          <t>Thứ 7 (Ca Tối (18:00 - 20:00))</t>
        </is>
      </c>
    </row>
    <row r="35" ht="20" customHeight="1" s="18">
      <c r="A35" s="33" t="n">
        <v>251230861</v>
      </c>
      <c r="B35" s="34" t="inlineStr">
        <is>
          <t>NGUYỄN ANH HIẾU</t>
        </is>
      </c>
      <c r="C35" s="34" t="inlineStr">
        <is>
          <t>Công nghệ thông tin 1 K66</t>
        </is>
      </c>
      <c r="D35" s="33" t="inlineStr">
        <is>
          <t>Năm 1</t>
        </is>
      </c>
      <c r="E35" s="34" t="inlineStr">
        <is>
          <t>Triết Học Mác-lênin(3)</t>
        </is>
      </c>
      <c r="F35" s="33" t="n">
        <v>1.9</v>
      </c>
      <c r="G35" s="33" t="inlineStr">
        <is>
          <t>Thứ 5 (Ca Tối (18:00 - 20:00))</t>
        </is>
      </c>
    </row>
    <row r="36" ht="20" customHeight="1" s="18">
      <c r="A36" s="37" t="n">
        <v>251230861</v>
      </c>
      <c r="B36" s="38" t="inlineStr">
        <is>
          <t>NGUYỄN ANH HIẾU</t>
        </is>
      </c>
      <c r="C36" s="38" t="inlineStr">
        <is>
          <t>Công nghệ thông tin 1 K66</t>
        </is>
      </c>
      <c r="D36" s="37" t="inlineStr">
        <is>
          <t>Năm 1</t>
        </is>
      </c>
      <c r="E36" s="38" t="inlineStr">
        <is>
          <t>Giải tích(2)</t>
        </is>
      </c>
      <c r="F36" s="37" t="n">
        <v>1.9</v>
      </c>
      <c r="G36" s="37" t="inlineStr">
        <is>
          <t>Thứ 7 (Ca Tối (18:00 - 20:00))</t>
        </is>
      </c>
    </row>
    <row r="37" ht="20" customHeight="1" s="18">
      <c r="A37" s="33" t="n">
        <v>251230863</v>
      </c>
      <c r="B37" s="34" t="inlineStr">
        <is>
          <t>TRẦN VĂN HIỆU</t>
        </is>
      </c>
      <c r="C37" s="34" t="inlineStr">
        <is>
          <t>Công nghệ thông tin 1 K66</t>
        </is>
      </c>
      <c r="D37" s="33" t="inlineStr">
        <is>
          <t>Năm 1</t>
        </is>
      </c>
      <c r="E37" s="34" t="inlineStr">
        <is>
          <t>Đại số tuyến tính(3)</t>
        </is>
      </c>
      <c r="F37" s="33" t="n">
        <v>0.2</v>
      </c>
      <c r="G37" s="33" t="inlineStr">
        <is>
          <t>Thứ 4 (Ca Tối (18:00 - 20:00))</t>
        </is>
      </c>
    </row>
    <row r="38" ht="20" customHeight="1" s="18">
      <c r="A38" s="37" t="n">
        <v>251230863</v>
      </c>
      <c r="B38" s="38" t="inlineStr">
        <is>
          <t>TRẦN VĂN HIỆU</t>
        </is>
      </c>
      <c r="C38" s="38" t="inlineStr">
        <is>
          <t>Công nghệ thông tin 1 K66</t>
        </is>
      </c>
      <c r="D38" s="37" t="inlineStr">
        <is>
          <t>Năm 3</t>
        </is>
      </c>
      <c r="E38" s="38" t="inlineStr">
        <is>
          <t>Mạng máy tính(3)</t>
        </is>
      </c>
      <c r="F38" s="37" t="n">
        <v>1.9</v>
      </c>
      <c r="G38" s="37" t="inlineStr">
        <is>
          <t>Thứ 3 (Ca Tối (18:00 - 20:00))</t>
        </is>
      </c>
    </row>
    <row r="39" ht="20" customHeight="1" s="18">
      <c r="A39" s="33" t="n">
        <v>251210866</v>
      </c>
      <c r="B39" s="34" t="inlineStr">
        <is>
          <t>NGUYỄN VIỆT HOÀNG</t>
        </is>
      </c>
      <c r="C39" s="34" t="inlineStr">
        <is>
          <t>Công nghệ thông tin 1 K66</t>
        </is>
      </c>
      <c r="D39" s="33" t="inlineStr">
        <is>
          <t>Năm 1</t>
        </is>
      </c>
      <c r="E39" s="34" t="inlineStr">
        <is>
          <t>Tin đại cương(3)</t>
        </is>
      </c>
      <c r="F39" s="33" t="n">
        <v>1.9</v>
      </c>
      <c r="G39" s="33" t="inlineStr">
        <is>
          <t>Thứ 2 (Ca Tối (18:00 - 20:00))</t>
        </is>
      </c>
    </row>
    <row r="40" ht="20" customHeight="1" s="18">
      <c r="A40" s="37" t="n">
        <v>251210867</v>
      </c>
      <c r="B40" s="38" t="inlineStr">
        <is>
          <t>TRẦN VIỆT HOÀNG</t>
        </is>
      </c>
      <c r="C40" s="38" t="inlineStr">
        <is>
          <t>Công nghệ thông tin 1 K66</t>
        </is>
      </c>
      <c r="D40" s="37" t="inlineStr">
        <is>
          <t>Năm 3</t>
        </is>
      </c>
      <c r="E40" s="38" t="inlineStr">
        <is>
          <t>Thuật toán và ứng dụng(3)</t>
        </is>
      </c>
      <c r="F40" s="37" t="n">
        <v>1.9</v>
      </c>
      <c r="G40" s="37" t="inlineStr">
        <is>
          <t>Thứ 5 (Ca Tối (18:00 - 20:00))</t>
        </is>
      </c>
    </row>
    <row r="41" ht="20" customHeight="1" s="18">
      <c r="A41" s="33" t="n">
        <v>251210881</v>
      </c>
      <c r="B41" s="34" t="inlineStr">
        <is>
          <t>CHU THỊ HƯƠNG</t>
        </is>
      </c>
      <c r="C41" s="34" t="inlineStr">
        <is>
          <t>Công nghệ thông tin 1 K66</t>
        </is>
      </c>
      <c r="D41" s="33" t="inlineStr">
        <is>
          <t>Năm 1</t>
        </is>
      </c>
      <c r="E41" s="34" t="inlineStr">
        <is>
          <t>Đại số tuyến tính(3)</t>
        </is>
      </c>
      <c r="F41" s="33" t="n">
        <v>0.4</v>
      </c>
      <c r="G41" s="33" t="inlineStr">
        <is>
          <t>Thứ 4 (Ca Tối (18:00 - 20:00))</t>
        </is>
      </c>
    </row>
    <row r="42" ht="20" customHeight="1" s="18">
      <c r="A42" s="37" t="n">
        <v>251210881</v>
      </c>
      <c r="B42" s="38" t="inlineStr">
        <is>
          <t>CHU THỊ HƯƠNG</t>
        </is>
      </c>
      <c r="C42" s="38" t="inlineStr">
        <is>
          <t>Công nghệ thông tin 1 K66</t>
        </is>
      </c>
      <c r="D42" s="37" t="inlineStr">
        <is>
          <t>Năm 2</t>
        </is>
      </c>
      <c r="E42" s="38" t="inlineStr">
        <is>
          <t>Cấu trúc dữ liệu và giải thuật(3)</t>
        </is>
      </c>
      <c r="F42" s="37" t="n">
        <v>1.8</v>
      </c>
      <c r="G42" s="37" t="inlineStr">
        <is>
          <t>Thứ 2 (Ca Tối (18:00 - 20:00))</t>
        </is>
      </c>
    </row>
    <row r="43" ht="20" customHeight="1" s="18">
      <c r="A43" s="33" t="n">
        <v>251230871</v>
      </c>
      <c r="B43" s="34" t="inlineStr">
        <is>
          <t>NGUYỄN ĐÌNH HUY</t>
        </is>
      </c>
      <c r="C43" s="34" t="inlineStr">
        <is>
          <t>Công nghệ thông tin 1 K66</t>
        </is>
      </c>
      <c r="D43" s="33" t="inlineStr">
        <is>
          <t>Năm 1</t>
        </is>
      </c>
      <c r="E43" s="34" t="inlineStr">
        <is>
          <t>Tin đại cương(3)</t>
        </is>
      </c>
      <c r="F43" s="33" t="n">
        <v>1.9</v>
      </c>
      <c r="G43" s="33" t="inlineStr">
        <is>
          <t>Thứ 2 (Ca Tối (18:00 - 20:00))</t>
        </is>
      </c>
    </row>
    <row r="44" ht="20" customHeight="1" s="18">
      <c r="A44" s="37" t="n">
        <v>251230874</v>
      </c>
      <c r="B44" s="38" t="inlineStr">
        <is>
          <t>VŨ TĂNG GIA HUY</t>
        </is>
      </c>
      <c r="C44" s="38" t="inlineStr">
        <is>
          <t>Công nghệ thông tin 1 K66</t>
        </is>
      </c>
      <c r="D44" s="37" t="inlineStr">
        <is>
          <t>Năm 1</t>
        </is>
      </c>
      <c r="E44" s="38" t="inlineStr">
        <is>
          <t>Triết Học Mác-lênin(3)</t>
        </is>
      </c>
      <c r="F44" s="37" t="n">
        <v>1.8</v>
      </c>
      <c r="G44" s="37" t="inlineStr">
        <is>
          <t>Thứ 5 (Ca Tối (18:00 - 20:00))</t>
        </is>
      </c>
    </row>
    <row r="45" ht="20" customHeight="1" s="18">
      <c r="A45" s="33" t="n">
        <v>251230874</v>
      </c>
      <c r="B45" s="34" t="inlineStr">
        <is>
          <t>VŨ TĂNG GIA HUY</t>
        </is>
      </c>
      <c r="C45" s="34" t="inlineStr">
        <is>
          <t>Công nghệ thông tin 1 K66</t>
        </is>
      </c>
      <c r="D45" s="33" t="inlineStr">
        <is>
          <t>Năm 2</t>
        </is>
      </c>
      <c r="E45" s="34" t="inlineStr">
        <is>
          <t>Tư tưởng Hồ Chí Minh(2)</t>
        </is>
      </c>
      <c r="F45" s="33" t="n">
        <v>1.9</v>
      </c>
      <c r="G45" s="33" t="inlineStr">
        <is>
          <t>Thứ 3 (Ca Tối (18:00 - 20:00))</t>
        </is>
      </c>
    </row>
    <row r="46" ht="20" customHeight="1" s="18">
      <c r="A46" s="37" t="n">
        <v>251230883</v>
      </c>
      <c r="B46" s="38" t="inlineStr">
        <is>
          <t>TRẦN QUANG KHẢI</t>
        </is>
      </c>
      <c r="C46" s="38" t="inlineStr">
        <is>
          <t>Công nghệ thông tin 1 K66</t>
        </is>
      </c>
      <c r="D46" s="37" t="inlineStr">
        <is>
          <t>Năm 1</t>
        </is>
      </c>
      <c r="E46" s="38" t="inlineStr">
        <is>
          <t>Tin đại cương(3)</t>
        </is>
      </c>
      <c r="F46" s="37" t="n">
        <v>1.9</v>
      </c>
      <c r="G46" s="37" t="inlineStr">
        <is>
          <t>Thứ 2 (Ca Tối (18:00 - 20:00))</t>
        </is>
      </c>
    </row>
    <row r="47" ht="20" customHeight="1" s="18">
      <c r="A47" s="33" t="n">
        <v>251230883</v>
      </c>
      <c r="B47" s="34" t="inlineStr">
        <is>
          <t>TRẦN QUANG KHẢI</t>
        </is>
      </c>
      <c r="C47" s="34" t="inlineStr">
        <is>
          <t>Công nghệ thông tin 1 K66</t>
        </is>
      </c>
      <c r="D47" s="33" t="inlineStr">
        <is>
          <t>Năm 1</t>
        </is>
      </c>
      <c r="E47" s="34" t="inlineStr">
        <is>
          <t>Đại số tuyến tính(3)</t>
        </is>
      </c>
      <c r="F47" s="33" t="n">
        <v>1.3</v>
      </c>
      <c r="G47" s="33" t="inlineStr">
        <is>
          <t>Thứ 4 (Ca Tối (18:00 - 20:00))</t>
        </is>
      </c>
    </row>
    <row r="48" ht="20" customHeight="1" s="18">
      <c r="A48" s="37" t="n">
        <v>251230883</v>
      </c>
      <c r="B48" s="38" t="inlineStr">
        <is>
          <t>TRẦN QUANG KHẢI</t>
        </is>
      </c>
      <c r="C48" s="38" t="inlineStr">
        <is>
          <t>Công nghệ thông tin 1 K66</t>
        </is>
      </c>
      <c r="D48" s="37" t="inlineStr">
        <is>
          <t>Năm 2</t>
        </is>
      </c>
      <c r="E48" s="38" t="inlineStr">
        <is>
          <t>Tư tưởng Hồ Chí Minh(2)</t>
        </is>
      </c>
      <c r="F48" s="37" t="n">
        <v>1.8</v>
      </c>
      <c r="G48" s="37" t="inlineStr">
        <is>
          <t>Thứ 3 (Ca Tối (18:00 - 20:00))</t>
        </is>
      </c>
    </row>
    <row r="49" ht="20" customHeight="1" s="18">
      <c r="A49" s="33" t="n">
        <v>251230883</v>
      </c>
      <c r="B49" s="34" t="inlineStr">
        <is>
          <t>TRẦN QUANG KHẢI</t>
        </is>
      </c>
      <c r="C49" s="34" t="inlineStr">
        <is>
          <t>Công nghệ thông tin 1 K66</t>
        </is>
      </c>
      <c r="D49" s="33" t="inlineStr">
        <is>
          <t>Năm 3</t>
        </is>
      </c>
      <c r="E49" s="34" t="inlineStr">
        <is>
          <t>Mạng máy tính(3)</t>
        </is>
      </c>
      <c r="F49" s="33" t="n">
        <v>1.9</v>
      </c>
      <c r="G49" s="33" t="inlineStr">
        <is>
          <t>Thứ 3 (Ca Tối (18:00 - 20:00))</t>
        </is>
      </c>
    </row>
    <row r="50" ht="20" customHeight="1" s="18">
      <c r="A50" s="37" t="n">
        <v>251230883</v>
      </c>
      <c r="B50" s="38" t="inlineStr">
        <is>
          <t>TRẦN QUANG KHẢI</t>
        </is>
      </c>
      <c r="C50" s="38" t="inlineStr">
        <is>
          <t>Công nghệ thông tin 1 K66</t>
        </is>
      </c>
      <c r="D50" s="37" t="inlineStr">
        <is>
          <t>Năm 4</t>
        </is>
      </c>
      <c r="E50" s="38" t="inlineStr">
        <is>
          <t>Bảo vệ đồ án(10)</t>
        </is>
      </c>
      <c r="F50" s="37" t="n">
        <v>1.9</v>
      </c>
      <c r="G50" s="37" t="inlineStr">
        <is>
          <t>Thứ 6 (Ca Tối (18:00 - 20:00))</t>
        </is>
      </c>
    </row>
    <row r="51" ht="20" customHeight="1" s="18">
      <c r="A51" s="33" t="n">
        <v>251230886</v>
      </c>
      <c r="B51" s="34" t="inlineStr">
        <is>
          <t>NGUYỄN LƯU GIA KHÁNH</t>
        </is>
      </c>
      <c r="C51" s="34" t="inlineStr">
        <is>
          <t>Công nghệ thông tin 1 K66</t>
        </is>
      </c>
      <c r="D51" s="33" t="inlineStr">
        <is>
          <t>Năm 1</t>
        </is>
      </c>
      <c r="E51" s="34" t="inlineStr">
        <is>
          <t>Đại số tuyến tính(3)</t>
        </is>
      </c>
      <c r="F51" s="33" t="n">
        <v>0.6</v>
      </c>
      <c r="G51" s="33" t="inlineStr">
        <is>
          <t>Thứ 4 (Ca Tối (18:00 - 20:00))</t>
        </is>
      </c>
    </row>
    <row r="52" ht="20" customHeight="1" s="18">
      <c r="A52" s="37" t="n">
        <v>251230886</v>
      </c>
      <c r="B52" s="38" t="inlineStr">
        <is>
          <t>NGUYỄN LƯU GIA KHÁNH</t>
        </is>
      </c>
      <c r="C52" s="38" t="inlineStr">
        <is>
          <t>Công nghệ thông tin 1 K66</t>
        </is>
      </c>
      <c r="D52" s="37" t="inlineStr">
        <is>
          <t>Năm 3</t>
        </is>
      </c>
      <c r="E52" s="38" t="inlineStr">
        <is>
          <t>Lập trình Web(3)</t>
        </is>
      </c>
      <c r="F52" s="37" t="n">
        <v>1.9</v>
      </c>
      <c r="G52" s="37" t="inlineStr">
        <is>
          <t>Thứ 6 (Ca Tối (18:00 - 20:00))</t>
        </is>
      </c>
    </row>
    <row r="53" ht="20" customHeight="1" s="18">
      <c r="A53" s="33" t="n">
        <v>251230889</v>
      </c>
      <c r="B53" s="34" t="inlineStr">
        <is>
          <t>PHẠM GIA KHÁNH</t>
        </is>
      </c>
      <c r="C53" s="34" t="inlineStr">
        <is>
          <t>Công nghệ thông tin 1 K66</t>
        </is>
      </c>
      <c r="D53" s="33" t="inlineStr">
        <is>
          <t>Năm 1</t>
        </is>
      </c>
      <c r="E53" s="34" t="inlineStr">
        <is>
          <t>Đại số tuyến tính(3)</t>
        </is>
      </c>
      <c r="F53" s="33" t="n">
        <v>0.8</v>
      </c>
      <c r="G53" s="33" t="inlineStr">
        <is>
          <t>Thứ 4 (Ca Tối (18:00 - 20:00))</t>
        </is>
      </c>
    </row>
    <row r="54" ht="20" customHeight="1" s="18">
      <c r="A54" s="37" t="n">
        <v>251230901</v>
      </c>
      <c r="B54" s="38" t="inlineStr">
        <is>
          <t>NGUYỄN VŨ LÂM</t>
        </is>
      </c>
      <c r="C54" s="38" t="inlineStr">
        <is>
          <t>Công nghệ thông tin 1 K66</t>
        </is>
      </c>
      <c r="D54" s="37" t="inlineStr">
        <is>
          <t>Năm 1</t>
        </is>
      </c>
      <c r="E54" s="38" t="inlineStr">
        <is>
          <t>Đại số tuyến tính(3)</t>
        </is>
      </c>
      <c r="F54" s="37" t="n">
        <v>0.3</v>
      </c>
      <c r="G54" s="37" t="inlineStr">
        <is>
          <t>Thứ 4 (Ca Tối (18:00 - 20:00))</t>
        </is>
      </c>
    </row>
    <row r="55" ht="20" customHeight="1" s="18">
      <c r="A55" s="33" t="n">
        <v>251230918</v>
      </c>
      <c r="B55" s="34" t="inlineStr">
        <is>
          <t>TRẦN XUÂN MẠNH</t>
        </is>
      </c>
      <c r="C55" s="34" t="inlineStr">
        <is>
          <t>Công nghệ thông tin 1 K66</t>
        </is>
      </c>
      <c r="D55" s="33" t="inlineStr">
        <is>
          <t>Năm 2</t>
        </is>
      </c>
      <c r="E55" s="34" t="inlineStr">
        <is>
          <t>Cấu trúc dữ liệu và giải thuật(3)</t>
        </is>
      </c>
      <c r="F55" s="33" t="n">
        <v>1.9</v>
      </c>
      <c r="G55" s="33" t="inlineStr">
        <is>
          <t>Thứ 2 (Ca Tối (18:00 - 20:00))</t>
        </is>
      </c>
    </row>
    <row r="56" ht="20" customHeight="1" s="18">
      <c r="A56" s="37" t="n">
        <v>251230918</v>
      </c>
      <c r="B56" s="38" t="inlineStr">
        <is>
          <t>TRẦN XUÂN MẠNH</t>
        </is>
      </c>
      <c r="C56" s="38" t="inlineStr">
        <is>
          <t>Công nghệ thông tin 1 K66</t>
        </is>
      </c>
      <c r="D56" s="37" t="inlineStr">
        <is>
          <t>Năm 3</t>
        </is>
      </c>
      <c r="E56" s="38" t="inlineStr">
        <is>
          <t>Thuật toán và ứng dụng(3)</t>
        </is>
      </c>
      <c r="F56" s="37" t="n">
        <v>1.8</v>
      </c>
      <c r="G56" s="37" t="inlineStr">
        <is>
          <t>Thứ 5 (Ca Tối (18:00 - 20:00))</t>
        </is>
      </c>
    </row>
    <row r="57" ht="20" customHeight="1" s="18">
      <c r="A57" s="33" t="n">
        <v>251230925</v>
      </c>
      <c r="B57" s="34" t="inlineStr">
        <is>
          <t>TRẦN THỊ MƠ</t>
        </is>
      </c>
      <c r="C57" s="34" t="inlineStr">
        <is>
          <t>Công nghệ thông tin 1 K66</t>
        </is>
      </c>
      <c r="D57" s="33" t="inlineStr">
        <is>
          <t>Năm 1</t>
        </is>
      </c>
      <c r="E57" s="34" t="inlineStr">
        <is>
          <t>Đại số tuyến tính(3)</t>
        </is>
      </c>
      <c r="F57" s="33" t="n">
        <v>1</v>
      </c>
      <c r="G57" s="33" t="inlineStr">
        <is>
          <t>Thứ 4 (Ca Tối (18:00 - 20:00))</t>
        </is>
      </c>
    </row>
    <row r="58" ht="20" customHeight="1" s="18">
      <c r="A58" s="37" t="n">
        <v>251230925</v>
      </c>
      <c r="B58" s="38" t="inlineStr">
        <is>
          <t>TRẦN THỊ MƠ</t>
        </is>
      </c>
      <c r="C58" s="38" t="inlineStr">
        <is>
          <t>Công nghệ thông tin 1 K66</t>
        </is>
      </c>
      <c r="D58" s="37" t="inlineStr">
        <is>
          <t>Năm 2</t>
        </is>
      </c>
      <c r="E58" s="38" t="inlineStr">
        <is>
          <t>Lập trình hướng đối tượng(3)</t>
        </is>
      </c>
      <c r="F58" s="37" t="n">
        <v>1.9</v>
      </c>
      <c r="G58" s="37" t="inlineStr">
        <is>
          <t>Thứ 5 (Ca Tối (18:00 - 20:00))</t>
        </is>
      </c>
    </row>
    <row r="59" ht="20" customHeight="1" s="18">
      <c r="A59" s="33" t="n">
        <v>251230925</v>
      </c>
      <c r="B59" s="34" t="inlineStr">
        <is>
          <t>TRẦN THỊ MƠ</t>
        </is>
      </c>
      <c r="C59" s="34" t="inlineStr">
        <is>
          <t>Công nghệ thông tin 1 K66</t>
        </is>
      </c>
      <c r="D59" s="33" t="inlineStr">
        <is>
          <t>Năm 4</t>
        </is>
      </c>
      <c r="E59" s="34" t="inlineStr">
        <is>
          <t>Bảo vệ đồ án(10)</t>
        </is>
      </c>
      <c r="F59" s="33" t="n">
        <v>1.9</v>
      </c>
      <c r="G59" s="33" t="inlineStr">
        <is>
          <t>Thứ 6 (Ca Tối (18:00 - 20:00))</t>
        </is>
      </c>
    </row>
    <row r="60" ht="20" customHeight="1" s="18">
      <c r="A60" s="37" t="n">
        <v>251230938</v>
      </c>
      <c r="B60" s="38" t="inlineStr">
        <is>
          <t>BÙI HUY PHONG</t>
        </is>
      </c>
      <c r="C60" s="38" t="inlineStr">
        <is>
          <t>Công nghệ thông tin 1 K66</t>
        </is>
      </c>
      <c r="D60" s="37" t="inlineStr">
        <is>
          <t>Năm 1</t>
        </is>
      </c>
      <c r="E60" s="38" t="inlineStr">
        <is>
          <t>Đại số tuyến tính(3)</t>
        </is>
      </c>
      <c r="F60" s="37" t="n">
        <v>1.6</v>
      </c>
      <c r="G60" s="37" t="inlineStr">
        <is>
          <t>Thứ 4 (Ca Tối (18:00 - 20:00))</t>
        </is>
      </c>
    </row>
    <row r="61" ht="20" customHeight="1" s="18">
      <c r="A61" s="33" t="n">
        <v>251230938</v>
      </c>
      <c r="B61" s="34" t="inlineStr">
        <is>
          <t>BÙI HUY PHONG</t>
        </is>
      </c>
      <c r="C61" s="34" t="inlineStr">
        <is>
          <t>Công nghệ thông tin 1 K66</t>
        </is>
      </c>
      <c r="D61" s="33" t="inlineStr">
        <is>
          <t>Năm 4</t>
        </is>
      </c>
      <c r="E61" s="34" t="inlineStr">
        <is>
          <t>Bảo vệ đồ án(10)</t>
        </is>
      </c>
      <c r="F61" s="33" t="n">
        <v>1.8</v>
      </c>
      <c r="G61" s="33" t="inlineStr">
        <is>
          <t>Thứ 6 (Ca Tối (18:00 - 20:00))</t>
        </is>
      </c>
    </row>
    <row r="62" ht="20" customHeight="1" s="18">
      <c r="A62" s="37" t="n">
        <v>251230940</v>
      </c>
      <c r="B62" s="38" t="inlineStr">
        <is>
          <t>LÊ TUẤN PHONG</t>
        </is>
      </c>
      <c r="C62" s="38" t="inlineStr">
        <is>
          <t>Công nghệ thông tin 1 K66</t>
        </is>
      </c>
      <c r="D62" s="37" t="inlineStr">
        <is>
          <t>Năm 1</t>
        </is>
      </c>
      <c r="E62" s="38" t="inlineStr">
        <is>
          <t>Đại số tuyến tính(3)</t>
        </is>
      </c>
      <c r="F62" s="37" t="n">
        <v>0.2</v>
      </c>
      <c r="G62" s="37" t="inlineStr">
        <is>
          <t>Thứ 4 (Ca Tối (18:00 - 20:00))</t>
        </is>
      </c>
    </row>
    <row r="63" ht="20" customHeight="1" s="18">
      <c r="A63" s="33" t="n">
        <v>251230947</v>
      </c>
      <c r="B63" s="34" t="inlineStr">
        <is>
          <t>NGUYỄN VINH QUANG</t>
        </is>
      </c>
      <c r="C63" s="34" t="inlineStr">
        <is>
          <t>Công nghệ thông tin 1 K66</t>
        </is>
      </c>
      <c r="D63" s="33" t="inlineStr">
        <is>
          <t>Năm 1</t>
        </is>
      </c>
      <c r="E63" s="34" t="inlineStr">
        <is>
          <t>Đại số tuyến tính(3)</t>
        </is>
      </c>
      <c r="F63" s="33" t="n">
        <v>0.9</v>
      </c>
      <c r="G63" s="33" t="inlineStr">
        <is>
          <t>Thứ 4 (Ca Tối (18:00 - 20:00))</t>
        </is>
      </c>
    </row>
    <row r="64" ht="20" customHeight="1" s="18">
      <c r="A64" s="37" t="n">
        <v>251230947</v>
      </c>
      <c r="B64" s="38" t="inlineStr">
        <is>
          <t>NGUYỄN VINH QUANG</t>
        </is>
      </c>
      <c r="C64" s="38" t="inlineStr">
        <is>
          <t>Công nghệ thông tin 1 K66</t>
        </is>
      </c>
      <c r="D64" s="37" t="inlineStr">
        <is>
          <t>Năm 2</t>
        </is>
      </c>
      <c r="E64" s="38" t="inlineStr">
        <is>
          <t>Lập trình hướng đối tượng(3)</t>
        </is>
      </c>
      <c r="F64" s="37" t="n">
        <v>1.9</v>
      </c>
      <c r="G64" s="37" t="inlineStr">
        <is>
          <t>Thứ 5 (Ca Tối (18:00 - 20:00))</t>
        </is>
      </c>
    </row>
    <row r="65" ht="20" customHeight="1" s="18">
      <c r="A65" s="33" t="n">
        <v>251230948</v>
      </c>
      <c r="B65" s="34" t="inlineStr">
        <is>
          <t>PHAN ĐỨC NHẬT QUANG</t>
        </is>
      </c>
      <c r="C65" s="34" t="inlineStr">
        <is>
          <t>Công nghệ thông tin 1 K66</t>
        </is>
      </c>
      <c r="D65" s="33" t="inlineStr">
        <is>
          <t>Năm 1</t>
        </is>
      </c>
      <c r="E65" s="34" t="inlineStr">
        <is>
          <t>Giải tích(2)</t>
        </is>
      </c>
      <c r="F65" s="33" t="n">
        <v>1.8</v>
      </c>
      <c r="G65" s="33" t="inlineStr">
        <is>
          <t>Thứ 7 (Ca Tối (18:00 - 20:00))</t>
        </is>
      </c>
    </row>
    <row r="66" ht="20" customHeight="1" s="18">
      <c r="A66" s="37" t="n">
        <v>251230948</v>
      </c>
      <c r="B66" s="38" t="inlineStr">
        <is>
          <t>PHAN ĐỨC NHẬT QUANG</t>
        </is>
      </c>
      <c r="C66" s="38" t="inlineStr">
        <is>
          <t>Công nghệ thông tin 1 K66</t>
        </is>
      </c>
      <c r="D66" s="37" t="inlineStr">
        <is>
          <t>Năm 2</t>
        </is>
      </c>
      <c r="E66" s="38" t="inlineStr">
        <is>
          <t>Tư tưởng Hồ Chí Minh(2)</t>
        </is>
      </c>
      <c r="F66" s="37" t="n">
        <v>1.9</v>
      </c>
      <c r="G66" s="37" t="inlineStr">
        <is>
          <t>Thứ 3 (Ca Tối (18:00 - 20:00))</t>
        </is>
      </c>
    </row>
    <row r="67" ht="20" customHeight="1" s="18">
      <c r="A67" s="33" t="n">
        <v>251210955</v>
      </c>
      <c r="B67" s="34" t="inlineStr">
        <is>
          <t>TRẦN ĐỨC SINH</t>
        </is>
      </c>
      <c r="C67" s="34" t="inlineStr">
        <is>
          <t>Công nghệ thông tin 1 K66</t>
        </is>
      </c>
      <c r="D67" s="33" t="inlineStr">
        <is>
          <t>Năm 1</t>
        </is>
      </c>
      <c r="E67" s="34" t="inlineStr">
        <is>
          <t>Đại số tuyến tính(3)</t>
        </is>
      </c>
      <c r="F67" s="33" t="n">
        <v>0.3</v>
      </c>
      <c r="G67" s="33" t="inlineStr">
        <is>
          <t>Thứ 4 (Ca Tối (18:00 - 20:00))</t>
        </is>
      </c>
    </row>
    <row r="68" ht="20" customHeight="1" s="18">
      <c r="A68" s="37" t="n">
        <v>251210955</v>
      </c>
      <c r="B68" s="38" t="inlineStr">
        <is>
          <t>TRẦN ĐỨC SINH</t>
        </is>
      </c>
      <c r="C68" s="38" t="inlineStr">
        <is>
          <t>Công nghệ thông tin 1 K66</t>
        </is>
      </c>
      <c r="D68" s="37" t="inlineStr">
        <is>
          <t>Năm 3</t>
        </is>
      </c>
      <c r="E68" s="38" t="inlineStr">
        <is>
          <t>Thuật toán và ứng dụng(3)</t>
        </is>
      </c>
      <c r="F68" s="37" t="n">
        <v>1.9</v>
      </c>
      <c r="G68" s="37" t="inlineStr">
        <is>
          <t>Thứ 5 (Ca Tối (18:00 - 20:00))</t>
        </is>
      </c>
    </row>
    <row r="69" ht="20" customHeight="1" s="18">
      <c r="A69" s="33" t="n">
        <v>251230962</v>
      </c>
      <c r="B69" s="34" t="inlineStr">
        <is>
          <t>NGUYỄN ĐỨC THÁI</t>
        </is>
      </c>
      <c r="C69" s="34" t="inlineStr">
        <is>
          <t>Công nghệ thông tin 1 K66</t>
        </is>
      </c>
      <c r="D69" s="33" t="inlineStr">
        <is>
          <t>Năm 1</t>
        </is>
      </c>
      <c r="E69" s="34" t="inlineStr">
        <is>
          <t>Tin đại cương(3)</t>
        </is>
      </c>
      <c r="F69" s="33" t="n">
        <v>1.9</v>
      </c>
      <c r="G69" s="33" t="inlineStr">
        <is>
          <t>Thứ 2 (Ca Tối (18:00 - 20:00))</t>
        </is>
      </c>
    </row>
    <row r="70" ht="20" customHeight="1" s="18">
      <c r="A70" s="37" t="n">
        <v>251230964</v>
      </c>
      <c r="B70" s="38" t="inlineStr">
        <is>
          <t>TRẦN XUÂN THÁI</t>
        </is>
      </c>
      <c r="C70" s="38" t="inlineStr">
        <is>
          <t>Công nghệ thông tin 1 K66</t>
        </is>
      </c>
      <c r="D70" s="37" t="inlineStr">
        <is>
          <t>Năm 2</t>
        </is>
      </c>
      <c r="E70" s="38" t="inlineStr">
        <is>
          <t>Tư tưởng Hồ Chí Minh(2)</t>
        </is>
      </c>
      <c r="F70" s="37" t="n">
        <v>1.9</v>
      </c>
      <c r="G70" s="37" t="inlineStr">
        <is>
          <t>Thứ 3 (Ca Tối (18:00 - 20:00))</t>
        </is>
      </c>
    </row>
    <row r="71" ht="20" customHeight="1" s="18">
      <c r="A71" s="33" t="n">
        <v>241230851</v>
      </c>
      <c r="B71" s="34" t="inlineStr">
        <is>
          <t>Nguyễn Chính Thắng</t>
        </is>
      </c>
      <c r="C71" s="34" t="inlineStr">
        <is>
          <t>Công nghệ thông tin 1 K66</t>
        </is>
      </c>
      <c r="D71" s="33" t="inlineStr">
        <is>
          <t>Năm 1</t>
        </is>
      </c>
      <c r="E71" s="34" t="inlineStr">
        <is>
          <t>Tin đại cương(3)</t>
        </is>
      </c>
      <c r="F71" s="33" t="n">
        <v>1.8</v>
      </c>
      <c r="G71" s="33" t="inlineStr">
        <is>
          <t>Thứ 2 (Ca Tối (18:00 - 20:00))</t>
        </is>
      </c>
    </row>
    <row r="72" ht="20" customHeight="1" s="18">
      <c r="A72" s="37" t="n">
        <v>241230851</v>
      </c>
      <c r="B72" s="38" t="inlineStr">
        <is>
          <t>Nguyễn Chính Thắng</t>
        </is>
      </c>
      <c r="C72" s="38" t="inlineStr">
        <is>
          <t>Công nghệ thông tin 1 K66</t>
        </is>
      </c>
      <c r="D72" s="37" t="inlineStr">
        <is>
          <t>Năm 2</t>
        </is>
      </c>
      <c r="E72" s="38" t="inlineStr">
        <is>
          <t>Cấu trúc dữ liệu và giải thuật(3)</t>
        </is>
      </c>
      <c r="F72" s="37" t="n">
        <v>1.8</v>
      </c>
      <c r="G72" s="37" t="inlineStr">
        <is>
          <t>Thứ 2 (Ca Tối (18:00 - 20:00))</t>
        </is>
      </c>
    </row>
    <row r="73" ht="20" customHeight="1" s="18">
      <c r="A73" s="33" t="n">
        <v>241230851</v>
      </c>
      <c r="B73" s="34" t="inlineStr">
        <is>
          <t>Nguyễn Chính Thắng</t>
        </is>
      </c>
      <c r="C73" s="34" t="inlineStr">
        <is>
          <t>Công nghệ thông tin 1 K66</t>
        </is>
      </c>
      <c r="D73" s="33" t="inlineStr">
        <is>
          <t>Năm 2</t>
        </is>
      </c>
      <c r="E73" s="34" t="inlineStr">
        <is>
          <t>Tư tưởng Hồ Chí Minh(2)</t>
        </is>
      </c>
      <c r="F73" s="33" t="n">
        <v>1.9</v>
      </c>
      <c r="G73" s="33" t="inlineStr">
        <is>
          <t>Thứ 3 (Ca Tối (18:00 - 20:00))</t>
        </is>
      </c>
    </row>
    <row r="74" ht="20" customHeight="1" s="18">
      <c r="A74" s="37" t="n">
        <v>251230967</v>
      </c>
      <c r="B74" s="38" t="inlineStr">
        <is>
          <t>NGUYỄN CÔNG THÀNH</t>
        </is>
      </c>
      <c r="C74" s="38" t="inlineStr">
        <is>
          <t>Công nghệ thông tin 1 K66</t>
        </is>
      </c>
      <c r="D74" s="37" t="inlineStr">
        <is>
          <t>Năm 1</t>
        </is>
      </c>
      <c r="E74" s="38" t="inlineStr">
        <is>
          <t>Đại số tuyến tính(3)</t>
        </is>
      </c>
      <c r="F74" s="37" t="n">
        <v>0.3</v>
      </c>
      <c r="G74" s="37" t="inlineStr">
        <is>
          <t>Thứ 4 (Ca Tối (18:00 - 20:00))</t>
        </is>
      </c>
    </row>
    <row r="75" ht="20" customHeight="1" s="18">
      <c r="A75" s="33" t="n">
        <v>251230970</v>
      </c>
      <c r="B75" s="34" t="inlineStr">
        <is>
          <t>TRẦN KIM THÀNH</t>
        </is>
      </c>
      <c r="C75" s="34" t="inlineStr">
        <is>
          <t>Công nghệ thông tin 1 K66</t>
        </is>
      </c>
      <c r="D75" s="33" t="inlineStr">
        <is>
          <t>Năm 1</t>
        </is>
      </c>
      <c r="E75" s="34" t="inlineStr">
        <is>
          <t>Triết Học Mác-lênin(3)</t>
        </is>
      </c>
      <c r="F75" s="33" t="n">
        <v>1.9</v>
      </c>
      <c r="G75" s="33" t="inlineStr">
        <is>
          <t>Thứ 5 (Ca Tối (18:00 - 20:00))</t>
        </is>
      </c>
    </row>
    <row r="76" ht="20" customHeight="1" s="18">
      <c r="A76" s="37" t="n">
        <v>251210977</v>
      </c>
      <c r="B76" s="38" t="inlineStr">
        <is>
          <t>LƯỜNG HƯNG THỊNH</t>
        </is>
      </c>
      <c r="C76" s="38" t="inlineStr">
        <is>
          <t>Công nghệ thông tin 1 K66</t>
        </is>
      </c>
      <c r="D76" s="37" t="inlineStr">
        <is>
          <t>Năm 1</t>
        </is>
      </c>
      <c r="E76" s="38" t="inlineStr">
        <is>
          <t>Đại số tuyến tính(3)</t>
        </is>
      </c>
      <c r="F76" s="37" t="n">
        <v>1.5</v>
      </c>
      <c r="G76" s="37" t="inlineStr">
        <is>
          <t>Thứ 4 (Ca Tối (18:00 - 20:00))</t>
        </is>
      </c>
    </row>
    <row r="77" ht="20" customHeight="1" s="18">
      <c r="A77" s="33" t="n">
        <v>251210977</v>
      </c>
      <c r="B77" s="34" t="inlineStr">
        <is>
          <t>LƯỜNG HƯNG THỊNH</t>
        </is>
      </c>
      <c r="C77" s="34" t="inlineStr">
        <is>
          <t>Công nghệ thông tin 1 K66</t>
        </is>
      </c>
      <c r="D77" s="33" t="inlineStr">
        <is>
          <t>Năm 3</t>
        </is>
      </c>
      <c r="E77" s="34" t="inlineStr">
        <is>
          <t>Lập trình Web(3)</t>
        </is>
      </c>
      <c r="F77" s="33" t="n">
        <v>1.9</v>
      </c>
      <c r="G77" s="33" t="inlineStr">
        <is>
          <t>Thứ 6 (Ca Tối (18:00 - 20:00))</t>
        </is>
      </c>
    </row>
    <row r="78" ht="20" customHeight="1" s="18">
      <c r="A78" s="37" t="n">
        <v>251230979</v>
      </c>
      <c r="B78" s="38" t="inlineStr">
        <is>
          <t>LÊ VĂN THUẬN</t>
        </is>
      </c>
      <c r="C78" s="38" t="inlineStr">
        <is>
          <t>Công nghệ thông tin 1 K66</t>
        </is>
      </c>
      <c r="D78" s="37" t="inlineStr">
        <is>
          <t>Năm 4</t>
        </is>
      </c>
      <c r="E78" s="38" t="inlineStr">
        <is>
          <t>Bảo vệ đồ án(10)</t>
        </is>
      </c>
      <c r="F78" s="37" t="n">
        <v>1.9</v>
      </c>
      <c r="G78" s="37" t="inlineStr">
        <is>
          <t>Thứ 6 (Ca Tối (18:00 - 20:00))</t>
        </is>
      </c>
    </row>
    <row r="79" ht="20" customHeight="1" s="18">
      <c r="A79" s="33" t="n">
        <v>251210982</v>
      </c>
      <c r="B79" s="34" t="inlineStr">
        <is>
          <t>NGUYỄN MINH TIẾN</t>
        </is>
      </c>
      <c r="C79" s="34" t="inlineStr">
        <is>
          <t>Công nghệ thông tin 1 K66</t>
        </is>
      </c>
      <c r="D79" s="33" t="inlineStr">
        <is>
          <t>Năm 2</t>
        </is>
      </c>
      <c r="E79" s="34" t="inlineStr">
        <is>
          <t>Lập trình hướng đối tượng(3)</t>
        </is>
      </c>
      <c r="F79" s="33" t="n">
        <v>1.8</v>
      </c>
      <c r="G79" s="33" t="inlineStr">
        <is>
          <t>Thứ 5 (Ca Tối (18:00 - 20:00))</t>
        </is>
      </c>
    </row>
    <row r="80" ht="20" customHeight="1" s="18">
      <c r="A80" s="37" t="n">
        <v>251210982</v>
      </c>
      <c r="B80" s="38" t="inlineStr">
        <is>
          <t>NGUYỄN MINH TIẾN</t>
        </is>
      </c>
      <c r="C80" s="38" t="inlineStr">
        <is>
          <t>Công nghệ thông tin 1 K66</t>
        </is>
      </c>
      <c r="D80" s="37" t="inlineStr">
        <is>
          <t>Năm 3</t>
        </is>
      </c>
      <c r="E80" s="38" t="inlineStr">
        <is>
          <t>Lập trình trực quan(3)</t>
        </is>
      </c>
      <c r="F80" s="37" t="n">
        <v>1.8</v>
      </c>
      <c r="G80" s="37" t="inlineStr">
        <is>
          <t>Thứ 7 (Ca Tối (18:00 - 20:00))</t>
        </is>
      </c>
    </row>
    <row r="81" ht="20" customHeight="1" s="18">
      <c r="A81" s="33" t="n">
        <v>251230983</v>
      </c>
      <c r="B81" s="34" t="inlineStr">
        <is>
          <t>NGUYỄN TRƯỜNG TIẾN</t>
        </is>
      </c>
      <c r="C81" s="34" t="inlineStr">
        <is>
          <t>Công nghệ thông tin 1 K66</t>
        </is>
      </c>
      <c r="D81" s="33" t="inlineStr">
        <is>
          <t>Năm 3</t>
        </is>
      </c>
      <c r="E81" s="34" t="inlineStr">
        <is>
          <t>Mạng máy tính(3)</t>
        </is>
      </c>
      <c r="F81" s="33" t="n">
        <v>1.9</v>
      </c>
      <c r="G81" s="33" t="inlineStr">
        <is>
          <t>Thứ 3 (Ca Tối (18:00 - 20:00))</t>
        </is>
      </c>
    </row>
    <row r="82" ht="20" customHeight="1" s="18">
      <c r="A82" s="37" t="n">
        <v>251230986</v>
      </c>
      <c r="B82" s="38" t="inlineStr">
        <is>
          <t>NGUYỄN ĐỨC TRỌNG</t>
        </is>
      </c>
      <c r="C82" s="38" t="inlineStr">
        <is>
          <t>Công nghệ thông tin 1 K66</t>
        </is>
      </c>
      <c r="D82" s="37" t="inlineStr">
        <is>
          <t>Năm 1</t>
        </is>
      </c>
      <c r="E82" s="38" t="inlineStr">
        <is>
          <t>Triết Học Mác-lênin(3)</t>
        </is>
      </c>
      <c r="F82" s="37" t="n">
        <v>1.8</v>
      </c>
      <c r="G82" s="37" t="inlineStr">
        <is>
          <t>Thứ 5 (Ca Tối (18:00 - 20:00))</t>
        </is>
      </c>
    </row>
    <row r="83" ht="20" customHeight="1" s="18">
      <c r="A83" s="33" t="n">
        <v>251230986</v>
      </c>
      <c r="B83" s="34" t="inlineStr">
        <is>
          <t>NGUYỄN ĐỨC TRỌNG</t>
        </is>
      </c>
      <c r="C83" s="34" t="inlineStr">
        <is>
          <t>Công nghệ thông tin 1 K66</t>
        </is>
      </c>
      <c r="D83" s="33" t="inlineStr">
        <is>
          <t>Năm 3</t>
        </is>
      </c>
      <c r="E83" s="34" t="inlineStr">
        <is>
          <t>Lập trình trực quan(3)</t>
        </is>
      </c>
      <c r="F83" s="33" t="n">
        <v>1.9</v>
      </c>
      <c r="G83" s="33" t="inlineStr">
        <is>
          <t>Thứ 7 (Ca Tối (18:00 - 20:00))</t>
        </is>
      </c>
    </row>
    <row r="84" ht="20" customHeight="1" s="18">
      <c r="A84" s="37" t="n">
        <v>251210989</v>
      </c>
      <c r="B84" s="38" t="inlineStr">
        <is>
          <t>GIANG TUẤN TÚ</t>
        </is>
      </c>
      <c r="C84" s="38" t="inlineStr">
        <is>
          <t>Công nghệ thông tin 1 K66</t>
        </is>
      </c>
      <c r="D84" s="37" t="inlineStr">
        <is>
          <t>Năm 1</t>
        </is>
      </c>
      <c r="E84" s="38" t="inlineStr">
        <is>
          <t>Triết Học Mác-lênin(3)</t>
        </is>
      </c>
      <c r="F84" s="37" t="n">
        <v>1.8</v>
      </c>
      <c r="G84" s="37" t="inlineStr">
        <is>
          <t>Thứ 5 (Ca Tối (18:00 - 20:00))</t>
        </is>
      </c>
    </row>
    <row r="85" ht="20" customHeight="1" s="18">
      <c r="A85" s="33" t="n">
        <v>251210992</v>
      </c>
      <c r="B85" s="34" t="inlineStr">
        <is>
          <t>NGUYỄN DUY TUẤN</t>
        </is>
      </c>
      <c r="C85" s="34" t="inlineStr">
        <is>
          <t>Công nghệ thông tin 1 K66</t>
        </is>
      </c>
      <c r="D85" s="33" t="inlineStr">
        <is>
          <t>Năm 1</t>
        </is>
      </c>
      <c r="E85" s="34" t="inlineStr">
        <is>
          <t>Tin đại cương(3)</t>
        </is>
      </c>
      <c r="F85" s="33" t="n">
        <v>1.9</v>
      </c>
      <c r="G85" s="33" t="inlineStr">
        <is>
          <t>Thứ 2 (Ca Tối (18:00 - 20:00))</t>
        </is>
      </c>
    </row>
    <row r="86" ht="20" customHeight="1" s="18">
      <c r="A86" s="37" t="n">
        <v>251210992</v>
      </c>
      <c r="B86" s="38" t="inlineStr">
        <is>
          <t>NGUYỄN DUY TUẤN</t>
        </is>
      </c>
      <c r="C86" s="38" t="inlineStr">
        <is>
          <t>Công nghệ thông tin 1 K66</t>
        </is>
      </c>
      <c r="D86" s="37" t="inlineStr">
        <is>
          <t>Năm 2</t>
        </is>
      </c>
      <c r="E86" s="38" t="inlineStr">
        <is>
          <t>Tư tưởng Hồ Chí Minh(2)</t>
        </is>
      </c>
      <c r="F86" s="37" t="n">
        <v>1.9</v>
      </c>
      <c r="G86" s="37" t="inlineStr">
        <is>
          <t>Thứ 3 (Ca Tối (18:00 - 20:00))</t>
        </is>
      </c>
    </row>
    <row r="87" ht="20" customHeight="1" s="18">
      <c r="A87" s="33" t="n">
        <v>251210992</v>
      </c>
      <c r="B87" s="34" t="inlineStr">
        <is>
          <t>NGUYỄN DUY TUẤN</t>
        </is>
      </c>
      <c r="C87" s="34" t="inlineStr">
        <is>
          <t>Công nghệ thông tin 1 K66</t>
        </is>
      </c>
      <c r="D87" s="33" t="inlineStr">
        <is>
          <t>Năm 3</t>
        </is>
      </c>
      <c r="E87" s="34" t="inlineStr">
        <is>
          <t>Thuật toán và ứng dụng(3)</t>
        </is>
      </c>
      <c r="F87" s="33" t="n">
        <v>1.8</v>
      </c>
      <c r="G87" s="33" t="inlineStr">
        <is>
          <t>Thứ 5 (Ca Tối (18:00 - 20:00))</t>
        </is>
      </c>
    </row>
    <row r="88" ht="20" customHeight="1" s="18">
      <c r="A88" s="37" t="n">
        <v>251210992</v>
      </c>
      <c r="B88" s="38" t="inlineStr">
        <is>
          <t>NGUYỄN DUY TUẤN</t>
        </is>
      </c>
      <c r="C88" s="38" t="inlineStr">
        <is>
          <t>Công nghệ thông tin 1 K66</t>
        </is>
      </c>
      <c r="D88" s="37" t="inlineStr">
        <is>
          <t>Năm 4</t>
        </is>
      </c>
      <c r="E88" s="38" t="inlineStr">
        <is>
          <t>Bảo vệ đồ án(10)</t>
        </is>
      </c>
      <c r="F88" s="37" t="n">
        <v>1.9</v>
      </c>
      <c r="G88" s="37" t="inlineStr">
        <is>
          <t>Thứ 6 (Ca Tối (18:00 - 20:00))</t>
        </is>
      </c>
    </row>
    <row r="89" ht="20" customHeight="1" s="18">
      <c r="A89" s="33" t="n">
        <v>251230995</v>
      </c>
      <c r="B89" s="34" t="inlineStr">
        <is>
          <t>ĐINH VĂN TUYÊN</t>
        </is>
      </c>
      <c r="C89" s="34" t="inlineStr">
        <is>
          <t>Công nghệ thông tin 1 K66</t>
        </is>
      </c>
      <c r="D89" s="33" t="inlineStr">
        <is>
          <t>Năm 1</t>
        </is>
      </c>
      <c r="E89" s="34" t="inlineStr">
        <is>
          <t>Giải tích(2)</t>
        </is>
      </c>
      <c r="F89" s="33" t="n">
        <v>1.8</v>
      </c>
      <c r="G89" s="33" t="inlineStr">
        <is>
          <t>Thứ 7 (Ca Tối (18:00 - 20:00))</t>
        </is>
      </c>
    </row>
    <row r="90" ht="20" customHeight="1" s="18">
      <c r="A90" s="37" t="n">
        <v>251211004</v>
      </c>
      <c r="B90" s="38" t="inlineStr">
        <is>
          <t>VŨ TIẾN VINH</t>
        </is>
      </c>
      <c r="C90" s="38" t="inlineStr">
        <is>
          <t>Công nghệ thông tin 1 K66</t>
        </is>
      </c>
      <c r="D90" s="37" t="inlineStr">
        <is>
          <t>Năm 1</t>
        </is>
      </c>
      <c r="E90" s="38" t="inlineStr">
        <is>
          <t>Đại số tuyến tính(3)</t>
        </is>
      </c>
      <c r="F90" s="37" t="n">
        <v>0.2</v>
      </c>
      <c r="G90" s="37" t="inlineStr">
        <is>
          <t>Thứ 4 (Ca Tối (18:00 - 20:00))</t>
        </is>
      </c>
    </row>
    <row r="91" ht="20" customHeight="1" s="18">
      <c r="A91" s="33" t="n">
        <v>251210798</v>
      </c>
      <c r="B91" s="34" t="inlineStr">
        <is>
          <t>HOÀNG VIỆT ANH</t>
        </is>
      </c>
      <c r="C91" s="34" t="inlineStr">
        <is>
          <t>Công nghệ thông tin 2 K66</t>
        </is>
      </c>
      <c r="D91" s="33" t="inlineStr">
        <is>
          <t>Năm 1</t>
        </is>
      </c>
      <c r="E91" s="34" t="inlineStr">
        <is>
          <t>Giải tích(2)</t>
        </is>
      </c>
      <c r="F91" s="33" t="n">
        <v>1.8</v>
      </c>
      <c r="G91" s="33" t="inlineStr">
        <is>
          <t>Thứ 7 (Ca Tối (18:00 - 20:00))</t>
        </is>
      </c>
    </row>
    <row r="92" ht="20" customHeight="1" s="18">
      <c r="A92" s="37" t="n">
        <v>251230799</v>
      </c>
      <c r="B92" s="38" t="inlineStr">
        <is>
          <t>LÃ TUẤN ANH</t>
        </is>
      </c>
      <c r="C92" s="38" t="inlineStr">
        <is>
          <t>Công nghệ thông tin 2 K66</t>
        </is>
      </c>
      <c r="D92" s="37" t="inlineStr">
        <is>
          <t>Năm 1</t>
        </is>
      </c>
      <c r="E92" s="38" t="inlineStr">
        <is>
          <t>Đại số tuyến tính(3)</t>
        </is>
      </c>
      <c r="F92" s="37" t="n">
        <v>1.5</v>
      </c>
      <c r="G92" s="37" t="inlineStr">
        <is>
          <t>Thứ 4 (Ca Tối (18:00 - 20:00))</t>
        </is>
      </c>
    </row>
    <row r="93" ht="20" customHeight="1" s="18">
      <c r="A93" s="33" t="n">
        <v>251230799</v>
      </c>
      <c r="B93" s="34" t="inlineStr">
        <is>
          <t>LÃ TUẤN ANH</t>
        </is>
      </c>
      <c r="C93" s="34" t="inlineStr">
        <is>
          <t>Công nghệ thông tin 2 K66</t>
        </is>
      </c>
      <c r="D93" s="33" t="inlineStr">
        <is>
          <t>Năm 2</t>
        </is>
      </c>
      <c r="E93" s="34" t="inlineStr">
        <is>
          <t>Lập trình hướng đối tượng(3)</t>
        </is>
      </c>
      <c r="F93" s="33" t="n">
        <v>1.9</v>
      </c>
      <c r="G93" s="33" t="inlineStr">
        <is>
          <t>Thứ 5 (Ca Tối (18:00 - 20:00))</t>
        </is>
      </c>
    </row>
    <row r="94" ht="20" customHeight="1" s="18">
      <c r="A94" s="37" t="n">
        <v>251230802</v>
      </c>
      <c r="B94" s="38" t="inlineStr">
        <is>
          <t>NGUYỄN CÔNG TUẤN ANH</t>
        </is>
      </c>
      <c r="C94" s="38" t="inlineStr">
        <is>
          <t>Công nghệ thông tin 2 K66</t>
        </is>
      </c>
      <c r="D94" s="37" t="inlineStr">
        <is>
          <t>Năm 1</t>
        </is>
      </c>
      <c r="E94" s="38" t="inlineStr">
        <is>
          <t>Giải tích(2)</t>
        </is>
      </c>
      <c r="F94" s="37" t="n">
        <v>1.9</v>
      </c>
      <c r="G94" s="37" t="inlineStr">
        <is>
          <t>Thứ 7 (Ca Tối (18:00 - 20:00))</t>
        </is>
      </c>
    </row>
    <row r="95" ht="20" customHeight="1" s="18">
      <c r="A95" s="33" t="n">
        <v>251230802</v>
      </c>
      <c r="B95" s="34" t="inlineStr">
        <is>
          <t>NGUYỄN CÔNG TUẤN ANH</t>
        </is>
      </c>
      <c r="C95" s="34" t="inlineStr">
        <is>
          <t>Công nghệ thông tin 2 K66</t>
        </is>
      </c>
      <c r="D95" s="33" t="inlineStr">
        <is>
          <t>Năm 2</t>
        </is>
      </c>
      <c r="E95" s="34" t="inlineStr">
        <is>
          <t>Tư tưởng Hồ Chí Minh(2)</t>
        </is>
      </c>
      <c r="F95" s="33" t="n">
        <v>1.9</v>
      </c>
      <c r="G95" s="33" t="inlineStr">
        <is>
          <t>Thứ 3 (Ca Tối (18:00 - 20:00))</t>
        </is>
      </c>
    </row>
    <row r="96" ht="20" customHeight="1" s="18">
      <c r="A96" s="37" t="n">
        <v>251230806</v>
      </c>
      <c r="B96" s="38" t="inlineStr">
        <is>
          <t>NGUYỄN TUẤN ANH</t>
        </is>
      </c>
      <c r="C96" s="38" t="inlineStr">
        <is>
          <t>Công nghệ thông tin 2 K66</t>
        </is>
      </c>
      <c r="D96" s="37" t="inlineStr">
        <is>
          <t>Năm 1</t>
        </is>
      </c>
      <c r="E96" s="38" t="inlineStr">
        <is>
          <t>Đại số tuyến tính(3)</t>
        </is>
      </c>
      <c r="F96" s="37" t="n">
        <v>1.2</v>
      </c>
      <c r="G96" s="37" t="inlineStr">
        <is>
          <t>Thứ 4 (Ca Tối (18:00 - 20:00))</t>
        </is>
      </c>
    </row>
    <row r="97" ht="20" customHeight="1" s="18">
      <c r="A97" s="33" t="n">
        <v>251230806</v>
      </c>
      <c r="B97" s="34" t="inlineStr">
        <is>
          <t>NGUYỄN TUẤN ANH</t>
        </is>
      </c>
      <c r="C97" s="34" t="inlineStr">
        <is>
          <t>Công nghệ thông tin 2 K66</t>
        </is>
      </c>
      <c r="D97" s="33" t="inlineStr">
        <is>
          <t>Năm 3</t>
        </is>
      </c>
      <c r="E97" s="34" t="inlineStr">
        <is>
          <t>Lập trình Web(3)</t>
        </is>
      </c>
      <c r="F97" s="33" t="n">
        <v>1.8</v>
      </c>
      <c r="G97" s="33" t="inlineStr">
        <is>
          <t>Thứ 6 (Ca Tối (18:00 - 20:00))</t>
        </is>
      </c>
    </row>
    <row r="98" ht="20" customHeight="1" s="18">
      <c r="A98" s="37" t="n">
        <v>251230817</v>
      </c>
      <c r="B98" s="38" t="inlineStr">
        <is>
          <t>LÊ CÔNG CƯƠNG</t>
        </is>
      </c>
      <c r="C98" s="38" t="inlineStr">
        <is>
          <t>Công nghệ thông tin 2 K66</t>
        </is>
      </c>
      <c r="D98" s="37" t="inlineStr">
        <is>
          <t>Năm 1</t>
        </is>
      </c>
      <c r="E98" s="38" t="inlineStr">
        <is>
          <t>Triết Học Mác-lênin(3)</t>
        </is>
      </c>
      <c r="F98" s="37" t="n">
        <v>1.9</v>
      </c>
      <c r="G98" s="37" t="inlineStr">
        <is>
          <t>Thứ 5 (Ca Tối (18:00 - 20:00))</t>
        </is>
      </c>
    </row>
    <row r="99" ht="20" customHeight="1" s="18">
      <c r="A99" s="33" t="n">
        <v>251230819</v>
      </c>
      <c r="B99" s="34" t="inlineStr">
        <is>
          <t>NGUYỄN ĐẠI CƯƠNG</t>
        </is>
      </c>
      <c r="C99" s="34" t="inlineStr">
        <is>
          <t>Công nghệ thông tin 2 K66</t>
        </is>
      </c>
      <c r="D99" s="33" t="inlineStr">
        <is>
          <t>Năm 2</t>
        </is>
      </c>
      <c r="E99" s="34" t="inlineStr">
        <is>
          <t>Cấu trúc dữ liệu và giải thuật(3)</t>
        </is>
      </c>
      <c r="F99" s="33" t="n">
        <v>1.8</v>
      </c>
      <c r="G99" s="33" t="inlineStr">
        <is>
          <t>Thứ 2 (Ca Tối (18:00 - 20:00))</t>
        </is>
      </c>
    </row>
    <row r="100" ht="20" customHeight="1" s="18">
      <c r="A100" s="37" t="n">
        <v>251210827</v>
      </c>
      <c r="B100" s="38" t="inlineStr">
        <is>
          <t>NGUYỄN LÂN DŨNG</t>
        </is>
      </c>
      <c r="C100" s="38" t="inlineStr">
        <is>
          <t>Công nghệ thông tin 2 K66</t>
        </is>
      </c>
      <c r="D100" s="37" t="inlineStr">
        <is>
          <t>Năm 1</t>
        </is>
      </c>
      <c r="E100" s="38" t="inlineStr">
        <is>
          <t>Triết Học Mác-lênin(3)</t>
        </is>
      </c>
      <c r="F100" s="37" t="n">
        <v>1.9</v>
      </c>
      <c r="G100" s="37" t="inlineStr">
        <is>
          <t>Thứ 5 (Ca Tối (18:00 - 20:00))</t>
        </is>
      </c>
    </row>
    <row r="101" ht="20" customHeight="1" s="18">
      <c r="A101" s="33" t="n">
        <v>251230828</v>
      </c>
      <c r="B101" s="34" t="inlineStr">
        <is>
          <t>TRẦN QUỐC DŨNG</t>
        </is>
      </c>
      <c r="C101" s="34" t="inlineStr">
        <is>
          <t>Công nghệ thông tin 2 K66</t>
        </is>
      </c>
      <c r="D101" s="33" t="inlineStr">
        <is>
          <t>Năm 1</t>
        </is>
      </c>
      <c r="E101" s="34" t="inlineStr">
        <is>
          <t>Đại số tuyến tính(3)</t>
        </is>
      </c>
      <c r="F101" s="33" t="n">
        <v>0.8</v>
      </c>
      <c r="G101" s="33" t="inlineStr">
        <is>
          <t>Thứ 4 (Ca Tối (18:00 - 20:00))</t>
        </is>
      </c>
    </row>
    <row r="102" ht="20" customHeight="1" s="18">
      <c r="A102" s="37" t="n">
        <v>251230828</v>
      </c>
      <c r="B102" s="38" t="inlineStr">
        <is>
          <t>TRẦN QUỐC DŨNG</t>
        </is>
      </c>
      <c r="C102" s="38" t="inlineStr">
        <is>
          <t>Công nghệ thông tin 2 K66</t>
        </is>
      </c>
      <c r="D102" s="37" t="inlineStr">
        <is>
          <t>Năm 2</t>
        </is>
      </c>
      <c r="E102" s="38" t="inlineStr">
        <is>
          <t>Thiết kế web(3)</t>
        </is>
      </c>
      <c r="F102" s="37" t="n">
        <v>1.8</v>
      </c>
      <c r="G102" s="37" t="inlineStr">
        <is>
          <t>Thứ 6 (Ca Tối (18:00 - 20:00))</t>
        </is>
      </c>
    </row>
    <row r="103" ht="20" customHeight="1" s="18">
      <c r="A103" s="33" t="n">
        <v>251230828</v>
      </c>
      <c r="B103" s="34" t="inlineStr">
        <is>
          <t>TRẦN QUỐC DŨNG</t>
        </is>
      </c>
      <c r="C103" s="34" t="inlineStr">
        <is>
          <t>Công nghệ thông tin 2 K66</t>
        </is>
      </c>
      <c r="D103" s="33" t="inlineStr">
        <is>
          <t>Năm 3</t>
        </is>
      </c>
      <c r="E103" s="34" t="inlineStr">
        <is>
          <t>Mạng máy tính(3)</t>
        </is>
      </c>
      <c r="F103" s="33" t="n">
        <v>1.8</v>
      </c>
      <c r="G103" s="33" t="inlineStr">
        <is>
          <t>Thứ 3 (Ca Tối (18:00 - 20:00))</t>
        </is>
      </c>
    </row>
    <row r="104" ht="20" customHeight="1" s="18">
      <c r="A104" s="37" t="n">
        <v>251230828</v>
      </c>
      <c r="B104" s="38" t="inlineStr">
        <is>
          <t>TRẦN QUỐC DŨNG</t>
        </is>
      </c>
      <c r="C104" s="38" t="inlineStr">
        <is>
          <t>Công nghệ thông tin 2 K66</t>
        </is>
      </c>
      <c r="D104" s="37" t="inlineStr">
        <is>
          <t>Năm 4</t>
        </is>
      </c>
      <c r="E104" s="38" t="inlineStr">
        <is>
          <t>Bảo vệ đồ án(10)</t>
        </is>
      </c>
      <c r="F104" s="37" t="n">
        <v>1.9</v>
      </c>
      <c r="G104" s="37" t="inlineStr">
        <is>
          <t>Thứ 6 (Ca Tối (18:00 - 20:00))</t>
        </is>
      </c>
    </row>
    <row r="105" ht="20" customHeight="1" s="18">
      <c r="A105" s="33" t="n">
        <v>251210831</v>
      </c>
      <c r="B105" s="34" t="inlineStr">
        <is>
          <t>NGUYỄN BÁ DƯƠNG</t>
        </is>
      </c>
      <c r="C105" s="34" t="inlineStr">
        <is>
          <t>Công nghệ thông tin 2 K66</t>
        </is>
      </c>
      <c r="D105" s="33" t="inlineStr">
        <is>
          <t>Năm 2</t>
        </is>
      </c>
      <c r="E105" s="34" t="inlineStr">
        <is>
          <t>Cấu trúc dữ liệu và giải thuật(3)</t>
        </is>
      </c>
      <c r="F105" s="33" t="n">
        <v>1.9</v>
      </c>
      <c r="G105" s="33" t="inlineStr">
        <is>
          <t>Thứ 2 (Ca Tối (18:00 - 20:00))</t>
        </is>
      </c>
    </row>
    <row r="106" ht="20" customHeight="1" s="18">
      <c r="A106" s="37" t="n">
        <v>251210831</v>
      </c>
      <c r="B106" s="38" t="inlineStr">
        <is>
          <t>NGUYỄN BÁ DƯƠNG</t>
        </is>
      </c>
      <c r="C106" s="38" t="inlineStr">
        <is>
          <t>Công nghệ thông tin 2 K66</t>
        </is>
      </c>
      <c r="D106" s="37" t="inlineStr">
        <is>
          <t>Năm 3</t>
        </is>
      </c>
      <c r="E106" s="38" t="inlineStr">
        <is>
          <t>Lập trình Web(3)</t>
        </is>
      </c>
      <c r="F106" s="37" t="n">
        <v>1.8</v>
      </c>
      <c r="G106" s="37" t="inlineStr">
        <is>
          <t>Thứ 6 (Ca Tối (18:00 - 20:00))</t>
        </is>
      </c>
    </row>
    <row r="107" ht="20" customHeight="1" s="18">
      <c r="A107" s="33" t="n">
        <v>251210831</v>
      </c>
      <c r="B107" s="34" t="inlineStr">
        <is>
          <t>NGUYỄN BÁ DƯƠNG</t>
        </is>
      </c>
      <c r="C107" s="34" t="inlineStr">
        <is>
          <t>Công nghệ thông tin 2 K66</t>
        </is>
      </c>
      <c r="D107" s="33" t="inlineStr">
        <is>
          <t>Năm 3</t>
        </is>
      </c>
      <c r="E107" s="34" t="inlineStr">
        <is>
          <t>Mạng máy tính(3)</t>
        </is>
      </c>
      <c r="F107" s="33" t="n">
        <v>1.8</v>
      </c>
      <c r="G107" s="33" t="inlineStr">
        <is>
          <t>Thứ 3 (Ca Tối (18:00 - 20:00))</t>
        </is>
      </c>
    </row>
    <row r="108" ht="20" customHeight="1" s="18">
      <c r="A108" s="37" t="n">
        <v>251230835</v>
      </c>
      <c r="B108" s="38" t="inlineStr">
        <is>
          <t>PHAN TÙNG DƯƠNG</t>
        </is>
      </c>
      <c r="C108" s="38" t="inlineStr">
        <is>
          <t>Công nghệ thông tin 2 K66</t>
        </is>
      </c>
      <c r="D108" s="37" t="inlineStr">
        <is>
          <t>Năm 1</t>
        </is>
      </c>
      <c r="E108" s="38" t="inlineStr">
        <is>
          <t>Tin đại cương(3)</t>
        </is>
      </c>
      <c r="F108" s="37" t="n">
        <v>1.8</v>
      </c>
      <c r="G108" s="37" t="inlineStr">
        <is>
          <t>Thứ 2 (Ca Tối (18:00 - 20:00))</t>
        </is>
      </c>
    </row>
    <row r="109" ht="20" customHeight="1" s="18">
      <c r="A109" s="33" t="n">
        <v>251230835</v>
      </c>
      <c r="B109" s="34" t="inlineStr">
        <is>
          <t>PHAN TÙNG DƯƠNG</t>
        </is>
      </c>
      <c r="C109" s="34" t="inlineStr">
        <is>
          <t>Công nghệ thông tin 2 K66</t>
        </is>
      </c>
      <c r="D109" s="33" t="inlineStr">
        <is>
          <t>Năm 2</t>
        </is>
      </c>
      <c r="E109" s="34" t="inlineStr">
        <is>
          <t>Thiết kế web(3)</t>
        </is>
      </c>
      <c r="F109" s="33" t="n">
        <v>1.8</v>
      </c>
      <c r="G109" s="33" t="inlineStr">
        <is>
          <t>Thứ 6 (Ca Tối (18:00 - 20:00))</t>
        </is>
      </c>
    </row>
    <row r="110" ht="20" customHeight="1" s="18">
      <c r="A110" s="37" t="n">
        <v>251230835</v>
      </c>
      <c r="B110" s="38" t="inlineStr">
        <is>
          <t>PHAN TÙNG DƯƠNG</t>
        </is>
      </c>
      <c r="C110" s="38" t="inlineStr">
        <is>
          <t>Công nghệ thông tin 2 K66</t>
        </is>
      </c>
      <c r="D110" s="37" t="inlineStr">
        <is>
          <t>Năm 3</t>
        </is>
      </c>
      <c r="E110" s="38" t="inlineStr">
        <is>
          <t>Thuật toán và ứng dụng(3)</t>
        </is>
      </c>
      <c r="F110" s="37" t="n">
        <v>1.8</v>
      </c>
      <c r="G110" s="37" t="inlineStr">
        <is>
          <t>Thứ 5 (Ca Tối (18:00 - 20:00))</t>
        </is>
      </c>
    </row>
    <row r="111" ht="20" customHeight="1" s="18">
      <c r="A111" s="33" t="n">
        <v>251230830</v>
      </c>
      <c r="B111" s="34" t="inlineStr">
        <is>
          <t>NGUYỄN VĂN DUY</t>
        </is>
      </c>
      <c r="C111" s="34" t="inlineStr">
        <is>
          <t>Công nghệ thông tin 2 K66</t>
        </is>
      </c>
      <c r="D111" s="33" t="inlineStr">
        <is>
          <t>Năm 2</t>
        </is>
      </c>
      <c r="E111" s="34" t="inlineStr">
        <is>
          <t>Cấu trúc dữ liệu và giải thuật(3)</t>
        </is>
      </c>
      <c r="F111" s="33" t="n">
        <v>1.9</v>
      </c>
      <c r="G111" s="33" t="inlineStr">
        <is>
          <t>Thứ 2 (Ca Tối (18:00 - 20:00))</t>
        </is>
      </c>
    </row>
    <row r="112" ht="20" customHeight="1" s="18">
      <c r="A112" s="37" t="n">
        <v>251230837</v>
      </c>
      <c r="B112" s="38" t="inlineStr">
        <is>
          <t>HOÀNG THÀNH ĐẠT</t>
        </is>
      </c>
      <c r="C112" s="38" t="inlineStr">
        <is>
          <t>Công nghệ thông tin 2 K66</t>
        </is>
      </c>
      <c r="D112" s="37" t="inlineStr">
        <is>
          <t>Năm 1</t>
        </is>
      </c>
      <c r="E112" s="38" t="inlineStr">
        <is>
          <t>Đại số tuyến tính(3)</t>
        </is>
      </c>
      <c r="F112" s="37" t="n">
        <v>1.7</v>
      </c>
      <c r="G112" s="37" t="inlineStr">
        <is>
          <t>Thứ 4 (Ca Tối (18:00 - 20:00))</t>
        </is>
      </c>
    </row>
    <row r="113" ht="20" customHeight="1" s="18">
      <c r="A113" s="33" t="n">
        <v>251210839</v>
      </c>
      <c r="B113" s="34" t="inlineStr">
        <is>
          <t>NGUYỄN TIẾN ĐẠT</t>
        </is>
      </c>
      <c r="C113" s="34" t="inlineStr">
        <is>
          <t>Công nghệ thông tin 2 K66</t>
        </is>
      </c>
      <c r="D113" s="33" t="inlineStr">
        <is>
          <t>Năm 1</t>
        </is>
      </c>
      <c r="E113" s="34" t="inlineStr">
        <is>
          <t>Tin đại cương(3)</t>
        </is>
      </c>
      <c r="F113" s="33" t="n">
        <v>1.8</v>
      </c>
      <c r="G113" s="33" t="inlineStr">
        <is>
          <t>Thứ 2 (Ca Tối (18:00 - 20:00))</t>
        </is>
      </c>
    </row>
    <row r="114" ht="20" customHeight="1" s="18">
      <c r="A114" s="37" t="n">
        <v>251210842</v>
      </c>
      <c r="B114" s="38" t="inlineStr">
        <is>
          <t>LƯƠNG ĐÌNH ĐOÀN</t>
        </is>
      </c>
      <c r="C114" s="38" t="inlineStr">
        <is>
          <t>Công nghệ thông tin 2 K66</t>
        </is>
      </c>
      <c r="D114" s="37" t="inlineStr">
        <is>
          <t>Năm 1</t>
        </is>
      </c>
      <c r="E114" s="38" t="inlineStr">
        <is>
          <t>Đại số tuyến tính(3)</t>
        </is>
      </c>
      <c r="F114" s="37" t="n">
        <v>1</v>
      </c>
      <c r="G114" s="37" t="inlineStr">
        <is>
          <t>Thứ 4 (Ca Tối (18:00 - 20:00))</t>
        </is>
      </c>
    </row>
    <row r="115" ht="20" customHeight="1" s="18">
      <c r="A115" s="33" t="n">
        <v>251210842</v>
      </c>
      <c r="B115" s="34" t="inlineStr">
        <is>
          <t>LƯƠNG ĐÌNH ĐOÀN</t>
        </is>
      </c>
      <c r="C115" s="34" t="inlineStr">
        <is>
          <t>Công nghệ thông tin 2 K66</t>
        </is>
      </c>
      <c r="D115" s="33" t="inlineStr">
        <is>
          <t>Năm 4</t>
        </is>
      </c>
      <c r="E115" s="34" t="inlineStr">
        <is>
          <t>Bảo vệ đồ án(10)</t>
        </is>
      </c>
      <c r="F115" s="33" t="n">
        <v>1.8</v>
      </c>
      <c r="G115" s="33" t="inlineStr">
        <is>
          <t>Thứ 6 (Ca Tối (18:00 - 20:00))</t>
        </is>
      </c>
    </row>
    <row r="116" ht="20" customHeight="1" s="18">
      <c r="A116" s="37" t="n">
        <v>251230844</v>
      </c>
      <c r="B116" s="38" t="inlineStr">
        <is>
          <t>DƯƠNG VIỆT ĐỨC</t>
        </is>
      </c>
      <c r="C116" s="38" t="inlineStr">
        <is>
          <t>Công nghệ thông tin 2 K66</t>
        </is>
      </c>
      <c r="D116" s="37" t="inlineStr">
        <is>
          <t>Năm 1</t>
        </is>
      </c>
      <c r="E116" s="38" t="inlineStr">
        <is>
          <t>Giải tích(2)</t>
        </is>
      </c>
      <c r="F116" s="37" t="n">
        <v>1.8</v>
      </c>
      <c r="G116" s="37" t="inlineStr">
        <is>
          <t>Thứ 7 (Ca Tối (18:00 - 20:00))</t>
        </is>
      </c>
    </row>
    <row r="117" ht="20" customHeight="1" s="18">
      <c r="A117" s="33" t="n">
        <v>251230844</v>
      </c>
      <c r="B117" s="34" t="inlineStr">
        <is>
          <t>DƯƠNG VIỆT ĐỨC</t>
        </is>
      </c>
      <c r="C117" s="34" t="inlineStr">
        <is>
          <t>Công nghệ thông tin 2 K66</t>
        </is>
      </c>
      <c r="D117" s="33" t="inlineStr">
        <is>
          <t>Năm 1</t>
        </is>
      </c>
      <c r="E117" s="34" t="inlineStr">
        <is>
          <t>Đại số tuyến tính(3)</t>
        </is>
      </c>
      <c r="F117" s="33" t="n">
        <v>0.7</v>
      </c>
      <c r="G117" s="33" t="inlineStr">
        <is>
          <t>Thứ 4 (Ca Tối (18:00 - 20:00))</t>
        </is>
      </c>
    </row>
    <row r="118" ht="20" customHeight="1" s="18">
      <c r="A118" s="37" t="n">
        <v>251230844</v>
      </c>
      <c r="B118" s="38" t="inlineStr">
        <is>
          <t>DƯƠNG VIỆT ĐỨC</t>
        </is>
      </c>
      <c r="C118" s="38" t="inlineStr">
        <is>
          <t>Công nghệ thông tin 2 K66</t>
        </is>
      </c>
      <c r="D118" s="37" t="inlineStr">
        <is>
          <t>Năm 3</t>
        </is>
      </c>
      <c r="E118" s="38" t="inlineStr">
        <is>
          <t>Lập trình Web(3)</t>
        </is>
      </c>
      <c r="F118" s="37" t="n">
        <v>1.8</v>
      </c>
      <c r="G118" s="37" t="inlineStr">
        <is>
          <t>Thứ 6 (Ca Tối (18:00 - 20:00))</t>
        </is>
      </c>
    </row>
    <row r="119" ht="20" customHeight="1" s="18">
      <c r="A119" s="33" t="n">
        <v>251210845</v>
      </c>
      <c r="B119" s="34" t="inlineStr">
        <is>
          <t>MAI ANH ĐỨC</t>
        </is>
      </c>
      <c r="C119" s="34" t="inlineStr">
        <is>
          <t>Công nghệ thông tin 2 K66</t>
        </is>
      </c>
      <c r="D119" s="33" t="inlineStr">
        <is>
          <t>Năm 2</t>
        </is>
      </c>
      <c r="E119" s="34" t="inlineStr">
        <is>
          <t>Thiết kế web(3)</t>
        </is>
      </c>
      <c r="F119" s="33" t="n">
        <v>1.9</v>
      </c>
      <c r="G119" s="33" t="inlineStr">
        <is>
          <t>Thứ 6 (Ca Tối (18:00 - 20:00))</t>
        </is>
      </c>
    </row>
    <row r="120" ht="20" customHeight="1" s="18">
      <c r="A120" s="37" t="n">
        <v>251210845</v>
      </c>
      <c r="B120" s="38" t="inlineStr">
        <is>
          <t>MAI ANH ĐỨC</t>
        </is>
      </c>
      <c r="C120" s="38" t="inlineStr">
        <is>
          <t>Công nghệ thông tin 2 K66</t>
        </is>
      </c>
      <c r="D120" s="37" t="inlineStr">
        <is>
          <t>Năm 2</t>
        </is>
      </c>
      <c r="E120" s="38" t="inlineStr">
        <is>
          <t>Tư tưởng Hồ Chí Minh(2)</t>
        </is>
      </c>
      <c r="F120" s="37" t="n">
        <v>1.8</v>
      </c>
      <c r="G120" s="37" t="inlineStr">
        <is>
          <t>Thứ 3 (Ca Tối (18:00 - 20:00))</t>
        </is>
      </c>
    </row>
    <row r="121" ht="20" customHeight="1" s="18">
      <c r="A121" s="33" t="n">
        <v>251210845</v>
      </c>
      <c r="B121" s="34" t="inlineStr">
        <is>
          <t>MAI ANH ĐỨC</t>
        </is>
      </c>
      <c r="C121" s="34" t="inlineStr">
        <is>
          <t>Công nghệ thông tin 2 K66</t>
        </is>
      </c>
      <c r="D121" s="33" t="inlineStr">
        <is>
          <t>Năm 3</t>
        </is>
      </c>
      <c r="E121" s="34" t="inlineStr">
        <is>
          <t>Mạng máy tính(3)</t>
        </is>
      </c>
      <c r="F121" s="33" t="n">
        <v>1.8</v>
      </c>
      <c r="G121" s="33" t="inlineStr">
        <is>
          <t>Thứ 3 (Ca Tối (18:00 - 20:00))</t>
        </is>
      </c>
    </row>
    <row r="122" ht="20" customHeight="1" s="18">
      <c r="A122" s="37" t="n">
        <v>251210860</v>
      </c>
      <c r="B122" s="38" t="inlineStr">
        <is>
          <t>ĐẶNG TRUNG HIẾU</t>
        </is>
      </c>
      <c r="C122" s="38" t="inlineStr">
        <is>
          <t>Công nghệ thông tin 2 K66</t>
        </is>
      </c>
      <c r="D122" s="37" t="inlineStr">
        <is>
          <t>Năm 3</t>
        </is>
      </c>
      <c r="E122" s="38" t="inlineStr">
        <is>
          <t>Thuật toán và ứng dụng(3)</t>
        </is>
      </c>
      <c r="F122" s="37" t="n">
        <v>1.8</v>
      </c>
      <c r="G122" s="37" t="inlineStr">
        <is>
          <t>Thứ 5 (Ca Tối (18:00 - 20:00))</t>
        </is>
      </c>
    </row>
    <row r="123" ht="20" customHeight="1" s="18">
      <c r="A123" s="33" t="n">
        <v>251210862</v>
      </c>
      <c r="B123" s="34" t="inlineStr">
        <is>
          <t>NGUYỄN MINH HIẾU</t>
        </is>
      </c>
      <c r="C123" s="34" t="inlineStr">
        <is>
          <t>Công nghệ thông tin 2 K66</t>
        </is>
      </c>
      <c r="D123" s="33" t="inlineStr">
        <is>
          <t>Năm 1</t>
        </is>
      </c>
      <c r="E123" s="34" t="inlineStr">
        <is>
          <t>Đại số tuyến tính(3)</t>
        </is>
      </c>
      <c r="F123" s="33" t="n">
        <v>1.9</v>
      </c>
      <c r="G123" s="33" t="inlineStr">
        <is>
          <t>Thứ 4 (Ca Tối (18:00 - 20:00))</t>
        </is>
      </c>
    </row>
    <row r="124" ht="20" customHeight="1" s="18">
      <c r="A124" s="37" t="n">
        <v>251210862</v>
      </c>
      <c r="B124" s="38" t="inlineStr">
        <is>
          <t>NGUYỄN MINH HIẾU</t>
        </is>
      </c>
      <c r="C124" s="38" t="inlineStr">
        <is>
          <t>Công nghệ thông tin 2 K66</t>
        </is>
      </c>
      <c r="D124" s="37" t="inlineStr">
        <is>
          <t>Năm 2</t>
        </is>
      </c>
      <c r="E124" s="38" t="inlineStr">
        <is>
          <t>Tư tưởng Hồ Chí Minh(2)</t>
        </is>
      </c>
      <c r="F124" s="37" t="n">
        <v>1.9</v>
      </c>
      <c r="G124" s="37" t="inlineStr">
        <is>
          <t>Thứ 3 (Ca Tối (18:00 - 20:00))</t>
        </is>
      </c>
    </row>
    <row r="125" ht="20" customHeight="1" s="18">
      <c r="A125" s="33" t="n">
        <v>251230864</v>
      </c>
      <c r="B125" s="34" t="inlineStr">
        <is>
          <t>ĐÀO VIỆT HOÀNG</t>
        </is>
      </c>
      <c r="C125" s="34" t="inlineStr">
        <is>
          <t>Công nghệ thông tin 2 K66</t>
        </is>
      </c>
      <c r="D125" s="33" t="inlineStr">
        <is>
          <t>Năm 3</t>
        </is>
      </c>
      <c r="E125" s="34" t="inlineStr">
        <is>
          <t>Lập trình Web(3)</t>
        </is>
      </c>
      <c r="F125" s="33" t="n">
        <v>1.9</v>
      </c>
      <c r="G125" s="33" t="inlineStr">
        <is>
          <t>Thứ 6 (Ca Tối (18:00 - 20:00))</t>
        </is>
      </c>
    </row>
    <row r="126" ht="20" customHeight="1" s="18">
      <c r="A126" s="37" t="n">
        <v>251230868</v>
      </c>
      <c r="B126" s="38" t="inlineStr">
        <is>
          <t>NGÔ XUÂN HUÂN</t>
        </is>
      </c>
      <c r="C126" s="38" t="inlineStr">
        <is>
          <t>Công nghệ thông tin 2 K66</t>
        </is>
      </c>
      <c r="D126" s="37" t="inlineStr">
        <is>
          <t>Năm 1</t>
        </is>
      </c>
      <c r="E126" s="38" t="inlineStr">
        <is>
          <t>Đại số tuyến tính(3)</t>
        </is>
      </c>
      <c r="F126" s="37" t="n">
        <v>1.1</v>
      </c>
      <c r="G126" s="37" t="inlineStr">
        <is>
          <t>Thứ 4 (Ca Tối (18:00 - 20:00))</t>
        </is>
      </c>
    </row>
    <row r="127" ht="20" customHeight="1" s="18">
      <c r="A127" s="33" t="n">
        <v>251230869</v>
      </c>
      <c r="B127" s="34" t="inlineStr">
        <is>
          <t>TRẦN ĐỨC HUÂN</t>
        </is>
      </c>
      <c r="C127" s="34" t="inlineStr">
        <is>
          <t>Công nghệ thông tin 2 K66</t>
        </is>
      </c>
      <c r="D127" s="33" t="inlineStr">
        <is>
          <t>Năm 1</t>
        </is>
      </c>
      <c r="E127" s="34" t="inlineStr">
        <is>
          <t>Đại số tuyến tính(3)</t>
        </is>
      </c>
      <c r="F127" s="33" t="n">
        <v>1.1</v>
      </c>
      <c r="G127" s="33" t="inlineStr">
        <is>
          <t>Thứ 4 (Ca Tối (18:00 - 20:00))</t>
        </is>
      </c>
    </row>
    <row r="128" ht="20" customHeight="1" s="18">
      <c r="A128" s="37" t="n">
        <v>251230877</v>
      </c>
      <c r="B128" s="38" t="inlineStr">
        <is>
          <t>NGUYỄN DUY HƯNG</t>
        </is>
      </c>
      <c r="C128" s="38" t="inlineStr">
        <is>
          <t>Công nghệ thông tin 2 K66</t>
        </is>
      </c>
      <c r="D128" s="37" t="inlineStr">
        <is>
          <t>Năm 1</t>
        </is>
      </c>
      <c r="E128" s="38" t="inlineStr">
        <is>
          <t>Đại số tuyến tính(3)</t>
        </is>
      </c>
      <c r="F128" s="37" t="n">
        <v>0.9</v>
      </c>
      <c r="G128" s="37" t="inlineStr">
        <is>
          <t>Thứ 4 (Ca Tối (18:00 - 20:00))</t>
        </is>
      </c>
    </row>
    <row r="129" ht="20" customHeight="1" s="18">
      <c r="A129" s="33" t="n">
        <v>251230877</v>
      </c>
      <c r="B129" s="34" t="inlineStr">
        <is>
          <t>NGUYỄN DUY HƯNG</t>
        </is>
      </c>
      <c r="C129" s="34" t="inlineStr">
        <is>
          <t>Công nghệ thông tin 2 K66</t>
        </is>
      </c>
      <c r="D129" s="33" t="inlineStr">
        <is>
          <t>Năm 4</t>
        </is>
      </c>
      <c r="E129" s="34" t="inlineStr">
        <is>
          <t>Bảo vệ đồ án(10)</t>
        </is>
      </c>
      <c r="F129" s="33" t="n">
        <v>1.9</v>
      </c>
      <c r="G129" s="33" t="inlineStr">
        <is>
          <t>Thứ 6 (Ca Tối (18:00 - 20:00))</t>
        </is>
      </c>
    </row>
    <row r="130" ht="20" customHeight="1" s="18">
      <c r="A130" s="37" t="n">
        <v>251230884</v>
      </c>
      <c r="B130" s="38" t="inlineStr">
        <is>
          <t>HOÀNG KỲ KHANG</t>
        </is>
      </c>
      <c r="C130" s="38" t="inlineStr">
        <is>
          <t>Công nghệ thông tin 2 K66</t>
        </is>
      </c>
      <c r="D130" s="37" t="inlineStr">
        <is>
          <t>Năm 1</t>
        </is>
      </c>
      <c r="E130" s="38" t="inlineStr">
        <is>
          <t>Đại số tuyến tính(3)</t>
        </is>
      </c>
      <c r="F130" s="37" t="n">
        <v>1.9</v>
      </c>
      <c r="G130" s="37" t="inlineStr">
        <is>
          <t>Thứ 4 (Ca Tối (18:00 - 20:00))</t>
        </is>
      </c>
    </row>
    <row r="131" ht="20" customHeight="1" s="18">
      <c r="A131" s="33" t="n">
        <v>251230884</v>
      </c>
      <c r="B131" s="34" t="inlineStr">
        <is>
          <t>HOÀNG KỲ KHANG</t>
        </is>
      </c>
      <c r="C131" s="34" t="inlineStr">
        <is>
          <t>Công nghệ thông tin 2 K66</t>
        </is>
      </c>
      <c r="D131" s="33" t="inlineStr">
        <is>
          <t>Năm 2</t>
        </is>
      </c>
      <c r="E131" s="34" t="inlineStr">
        <is>
          <t>Cấu trúc dữ liệu và giải thuật(3)</t>
        </is>
      </c>
      <c r="F131" s="33" t="n">
        <v>1.8</v>
      </c>
      <c r="G131" s="33" t="inlineStr">
        <is>
          <t>Thứ 2 (Ca Tối (18:00 - 20:00))</t>
        </is>
      </c>
    </row>
    <row r="132" ht="20" customHeight="1" s="18">
      <c r="A132" s="37" t="n">
        <v>251210888</v>
      </c>
      <c r="B132" s="38" t="inlineStr">
        <is>
          <t>NGUYỄN TRỌNG KHÁNH</t>
        </is>
      </c>
      <c r="C132" s="38" t="inlineStr">
        <is>
          <t>Công nghệ thông tin 2 K66</t>
        </is>
      </c>
      <c r="D132" s="37" t="inlineStr">
        <is>
          <t>Năm 3</t>
        </is>
      </c>
      <c r="E132" s="38" t="inlineStr">
        <is>
          <t>Mạng máy tính(3)</t>
        </is>
      </c>
      <c r="F132" s="37" t="n">
        <v>1.8</v>
      </c>
      <c r="G132" s="37" t="inlineStr">
        <is>
          <t>Thứ 3 (Ca Tối (18:00 - 20:00))</t>
        </is>
      </c>
    </row>
    <row r="133" ht="20" customHeight="1" s="18">
      <c r="A133" s="33" t="n">
        <v>251230895</v>
      </c>
      <c r="B133" s="34" t="inlineStr">
        <is>
          <t>HÀ VĂN KIÊN</t>
        </is>
      </c>
      <c r="C133" s="34" t="inlineStr">
        <is>
          <t>Công nghệ thông tin 2 K66</t>
        </is>
      </c>
      <c r="D133" s="33" t="inlineStr">
        <is>
          <t>Năm 1</t>
        </is>
      </c>
      <c r="E133" s="34" t="inlineStr">
        <is>
          <t>Đại số tuyến tính(3)</t>
        </is>
      </c>
      <c r="F133" s="33" t="n">
        <v>1.6</v>
      </c>
      <c r="G133" s="33" t="inlineStr">
        <is>
          <t>Thứ 4 (Ca Tối (18:00 - 20:00))</t>
        </is>
      </c>
    </row>
    <row r="134" ht="20" customHeight="1" s="18">
      <c r="A134" s="37" t="n">
        <v>251230896</v>
      </c>
      <c r="B134" s="38" t="inlineStr">
        <is>
          <t>NGUYỄN TRUNG KIÊN</t>
        </is>
      </c>
      <c r="C134" s="38" t="inlineStr">
        <is>
          <t>Công nghệ thông tin 2 K66</t>
        </is>
      </c>
      <c r="D134" s="37" t="inlineStr">
        <is>
          <t>Năm 1</t>
        </is>
      </c>
      <c r="E134" s="38" t="inlineStr">
        <is>
          <t>Tin đại cương(3)</t>
        </is>
      </c>
      <c r="F134" s="37" t="n">
        <v>1.9</v>
      </c>
      <c r="G134" s="37" t="inlineStr">
        <is>
          <t>Thứ 2 (Ca Tối (18:00 - 20:00))</t>
        </is>
      </c>
    </row>
    <row r="135" ht="20" customHeight="1" s="18">
      <c r="A135" s="33" t="n">
        <v>251230896</v>
      </c>
      <c r="B135" s="34" t="inlineStr">
        <is>
          <t>NGUYỄN TRUNG KIÊN</t>
        </is>
      </c>
      <c r="C135" s="34" t="inlineStr">
        <is>
          <t>Công nghệ thông tin 2 K66</t>
        </is>
      </c>
      <c r="D135" s="33" t="inlineStr">
        <is>
          <t>Năm 2</t>
        </is>
      </c>
      <c r="E135" s="34" t="inlineStr">
        <is>
          <t>Cấu trúc dữ liệu và giải thuật(3)</t>
        </is>
      </c>
      <c r="F135" s="33" t="n">
        <v>1.8</v>
      </c>
      <c r="G135" s="33" t="inlineStr">
        <is>
          <t>Thứ 2 (Ca Tối (18:00 - 20:00))</t>
        </is>
      </c>
    </row>
    <row r="136" ht="20" customHeight="1" s="18">
      <c r="A136" s="37" t="n">
        <v>251210897</v>
      </c>
      <c r="B136" s="38" t="inlineStr">
        <is>
          <t>CHU HẢI LÂM</t>
        </is>
      </c>
      <c r="C136" s="38" t="inlineStr">
        <is>
          <t>Công nghệ thông tin 2 K66</t>
        </is>
      </c>
      <c r="D136" s="37" t="inlineStr">
        <is>
          <t>Năm 2</t>
        </is>
      </c>
      <c r="E136" s="38" t="inlineStr">
        <is>
          <t>Lập trình hướng đối tượng(3)</t>
        </is>
      </c>
      <c r="F136" s="37" t="n">
        <v>1.9</v>
      </c>
      <c r="G136" s="37" t="inlineStr">
        <is>
          <t>Thứ 5 (Ca Tối (18:00 - 20:00))</t>
        </is>
      </c>
    </row>
    <row r="137" ht="20" customHeight="1" s="18">
      <c r="A137" s="33" t="n">
        <v>251230902</v>
      </c>
      <c r="B137" s="34" t="inlineStr">
        <is>
          <t>NGUYỄN THỊ NGỌC LỆ</t>
        </is>
      </c>
      <c r="C137" s="34" t="inlineStr">
        <is>
          <t>Công nghệ thông tin 2 K66</t>
        </is>
      </c>
      <c r="D137" s="33" t="inlineStr">
        <is>
          <t>Năm 1</t>
        </is>
      </c>
      <c r="E137" s="34" t="inlineStr">
        <is>
          <t>Đại số tuyến tính(3)</t>
        </is>
      </c>
      <c r="F137" s="33" t="n">
        <v>0.9</v>
      </c>
      <c r="G137" s="33" t="inlineStr">
        <is>
          <t>Thứ 4 (Ca Tối (18:00 - 20:00))</t>
        </is>
      </c>
    </row>
    <row r="138" ht="20" customHeight="1" s="18">
      <c r="A138" s="37" t="n">
        <v>251230902</v>
      </c>
      <c r="B138" s="38" t="inlineStr">
        <is>
          <t>NGUYỄN THỊ NGỌC LỆ</t>
        </is>
      </c>
      <c r="C138" s="38" t="inlineStr">
        <is>
          <t>Công nghệ thông tin 2 K66</t>
        </is>
      </c>
      <c r="D138" s="37" t="inlineStr">
        <is>
          <t>Năm 3</t>
        </is>
      </c>
      <c r="E138" s="38" t="inlineStr">
        <is>
          <t>Mạng máy tính(3)</t>
        </is>
      </c>
      <c r="F138" s="37" t="n">
        <v>1.9</v>
      </c>
      <c r="G138" s="37" t="inlineStr">
        <is>
          <t>Thứ 3 (Ca Tối (18:00 - 20:00))</t>
        </is>
      </c>
    </row>
    <row r="139" ht="20" customHeight="1" s="18">
      <c r="A139" s="33" t="n">
        <v>251230906</v>
      </c>
      <c r="B139" s="34" t="inlineStr">
        <is>
          <t>ĐỖ PHẠM HẢI LONG</t>
        </is>
      </c>
      <c r="C139" s="34" t="inlineStr">
        <is>
          <t>Công nghệ thông tin 2 K66</t>
        </is>
      </c>
      <c r="D139" s="33" t="inlineStr">
        <is>
          <t>Năm 1</t>
        </is>
      </c>
      <c r="E139" s="34" t="inlineStr">
        <is>
          <t>Triết Học Mác-lênin(3)</t>
        </is>
      </c>
      <c r="F139" s="33" t="n">
        <v>1.9</v>
      </c>
      <c r="G139" s="33" t="inlineStr">
        <is>
          <t>Thứ 5 (Ca Tối (18:00 - 20:00))</t>
        </is>
      </c>
    </row>
    <row r="140" ht="20" customHeight="1" s="18">
      <c r="A140" s="37" t="n">
        <v>251210908</v>
      </c>
      <c r="B140" s="38" t="inlineStr">
        <is>
          <t>NGUYỄN THÀNH LONG</t>
        </is>
      </c>
      <c r="C140" s="38" t="inlineStr">
        <is>
          <t>Công nghệ thông tin 2 K66</t>
        </is>
      </c>
      <c r="D140" s="37" t="inlineStr">
        <is>
          <t>Năm 1</t>
        </is>
      </c>
      <c r="E140" s="38" t="inlineStr">
        <is>
          <t>Tin đại cương(3)</t>
        </is>
      </c>
      <c r="F140" s="37" t="n">
        <v>1.8</v>
      </c>
      <c r="G140" s="37" t="inlineStr">
        <is>
          <t>Thứ 2 (Ca Tối (18:00 - 20:00))</t>
        </is>
      </c>
    </row>
    <row r="141" ht="20" customHeight="1" s="18">
      <c r="A141" s="33" t="n">
        <v>251210908</v>
      </c>
      <c r="B141" s="34" t="inlineStr">
        <is>
          <t>NGUYỄN THÀNH LONG</t>
        </is>
      </c>
      <c r="C141" s="34" t="inlineStr">
        <is>
          <t>Công nghệ thông tin 2 K66</t>
        </is>
      </c>
      <c r="D141" s="33" t="inlineStr">
        <is>
          <t>Năm 1</t>
        </is>
      </c>
      <c r="E141" s="34" t="inlineStr">
        <is>
          <t>Giải tích(2)</t>
        </is>
      </c>
      <c r="F141" s="33" t="n">
        <v>1.9</v>
      </c>
      <c r="G141" s="33" t="inlineStr">
        <is>
          <t>Thứ 7 (Ca Tối (18:00 - 20:00))</t>
        </is>
      </c>
    </row>
    <row r="142" ht="20" customHeight="1" s="18">
      <c r="A142" s="37" t="n">
        <v>251210908</v>
      </c>
      <c r="B142" s="38" t="inlineStr">
        <is>
          <t>NGUYỄN THÀNH LONG</t>
        </is>
      </c>
      <c r="C142" s="38" t="inlineStr">
        <is>
          <t>Công nghệ thông tin 2 K66</t>
        </is>
      </c>
      <c r="D142" s="37" t="inlineStr">
        <is>
          <t>Năm 1</t>
        </is>
      </c>
      <c r="E142" s="38" t="inlineStr">
        <is>
          <t>Đại số tuyến tính(3)</t>
        </is>
      </c>
      <c r="F142" s="37" t="n">
        <v>0.8</v>
      </c>
      <c r="G142" s="37" t="inlineStr">
        <is>
          <t>Thứ 4 (Ca Tối (18:00 - 20:00))</t>
        </is>
      </c>
    </row>
    <row r="143" ht="20" customHeight="1" s="18">
      <c r="A143" s="33" t="n">
        <v>251230926</v>
      </c>
      <c r="B143" s="34" t="inlineStr">
        <is>
          <t>TRƯƠNG THỊ LY NA</t>
        </is>
      </c>
      <c r="C143" s="34" t="inlineStr">
        <is>
          <t>Công nghệ thông tin 2 K66</t>
        </is>
      </c>
      <c r="D143" s="33" t="inlineStr">
        <is>
          <t>Năm 1</t>
        </is>
      </c>
      <c r="E143" s="34" t="inlineStr">
        <is>
          <t>Tin đại cương(3)</t>
        </is>
      </c>
      <c r="F143" s="33" t="n">
        <v>1.8</v>
      </c>
      <c r="G143" s="33" t="inlineStr">
        <is>
          <t>Thứ 2 (Ca Tối (18:00 - 20:00))</t>
        </is>
      </c>
    </row>
    <row r="144" ht="20" customHeight="1" s="18">
      <c r="A144" s="37" t="n">
        <v>251230926</v>
      </c>
      <c r="B144" s="38" t="inlineStr">
        <is>
          <t>TRƯƠNG THỊ LY NA</t>
        </is>
      </c>
      <c r="C144" s="38" t="inlineStr">
        <is>
          <t>Công nghệ thông tin 2 K66</t>
        </is>
      </c>
      <c r="D144" s="37" t="inlineStr">
        <is>
          <t>Năm 2</t>
        </is>
      </c>
      <c r="E144" s="38" t="inlineStr">
        <is>
          <t>Thiết kế web(3)</t>
        </is>
      </c>
      <c r="F144" s="37" t="n">
        <v>1.9</v>
      </c>
      <c r="G144" s="37" t="inlineStr">
        <is>
          <t>Thứ 6 (Ca Tối (18:00 - 20:00))</t>
        </is>
      </c>
    </row>
    <row r="145" ht="20" customHeight="1" s="18">
      <c r="A145" s="33" t="n">
        <v>251230926</v>
      </c>
      <c r="B145" s="34" t="inlineStr">
        <is>
          <t>TRƯƠNG THỊ LY NA</t>
        </is>
      </c>
      <c r="C145" s="34" t="inlineStr">
        <is>
          <t>Công nghệ thông tin 2 K66</t>
        </is>
      </c>
      <c r="D145" s="33" t="inlineStr">
        <is>
          <t>Năm 2</t>
        </is>
      </c>
      <c r="E145" s="34" t="inlineStr">
        <is>
          <t>Tư tưởng Hồ Chí Minh(2)</t>
        </is>
      </c>
      <c r="F145" s="33" t="n">
        <v>1.9</v>
      </c>
      <c r="G145" s="33" t="inlineStr">
        <is>
          <t>Thứ 3 (Ca Tối (18:00 - 20:00))</t>
        </is>
      </c>
    </row>
    <row r="146" ht="20" customHeight="1" s="18">
      <c r="A146" s="37" t="n">
        <v>251230926</v>
      </c>
      <c r="B146" s="38" t="inlineStr">
        <is>
          <t>TRƯƠNG THỊ LY NA</t>
        </is>
      </c>
      <c r="C146" s="38" t="inlineStr">
        <is>
          <t>Công nghệ thông tin 2 K66</t>
        </is>
      </c>
      <c r="D146" s="37" t="inlineStr">
        <is>
          <t>Năm 3</t>
        </is>
      </c>
      <c r="E146" s="38" t="inlineStr">
        <is>
          <t>Lập trình trực quan(3)</t>
        </is>
      </c>
      <c r="F146" s="37" t="n">
        <v>1.8</v>
      </c>
      <c r="G146" s="37" t="inlineStr">
        <is>
          <t>Thứ 7 (Ca Tối (18:00 - 20:00))</t>
        </is>
      </c>
    </row>
    <row r="147" ht="20" customHeight="1" s="18">
      <c r="A147" s="33" t="n">
        <v>251230931</v>
      </c>
      <c r="B147" s="34" t="inlineStr">
        <is>
          <t>TRẦN ĐÌNH NAM</t>
        </is>
      </c>
      <c r="C147" s="34" t="inlineStr">
        <is>
          <t>Công nghệ thông tin 2 K66</t>
        </is>
      </c>
      <c r="D147" s="33" t="inlineStr">
        <is>
          <t>Năm 1</t>
        </is>
      </c>
      <c r="E147" s="34" t="inlineStr">
        <is>
          <t>Đại số tuyến tính(3)</t>
        </is>
      </c>
      <c r="F147" s="33" t="n">
        <v>1.8</v>
      </c>
      <c r="G147" s="33" t="inlineStr">
        <is>
          <t>Thứ 4 (Ca Tối (18:00 - 20:00))</t>
        </is>
      </c>
    </row>
    <row r="148" ht="20" customHeight="1" s="18">
      <c r="A148" s="37" t="n">
        <v>251230931</v>
      </c>
      <c r="B148" s="38" t="inlineStr">
        <is>
          <t>TRẦN ĐÌNH NAM</t>
        </is>
      </c>
      <c r="C148" s="38" t="inlineStr">
        <is>
          <t>Công nghệ thông tin 2 K66</t>
        </is>
      </c>
      <c r="D148" s="37" t="inlineStr">
        <is>
          <t>Năm 2</t>
        </is>
      </c>
      <c r="E148" s="38" t="inlineStr">
        <is>
          <t>Tư tưởng Hồ Chí Minh(2)</t>
        </is>
      </c>
      <c r="F148" s="37" t="n">
        <v>1.9</v>
      </c>
      <c r="G148" s="37" t="inlineStr">
        <is>
          <t>Thứ 3 (Ca Tối (18:00 - 20:00))</t>
        </is>
      </c>
    </row>
    <row r="149" ht="20" customHeight="1" s="18">
      <c r="A149" s="33" t="n">
        <v>251230931</v>
      </c>
      <c r="B149" s="34" t="inlineStr">
        <is>
          <t>TRẦN ĐÌNH NAM</t>
        </is>
      </c>
      <c r="C149" s="34" t="inlineStr">
        <is>
          <t>Công nghệ thông tin 2 K66</t>
        </is>
      </c>
      <c r="D149" s="33" t="inlineStr">
        <is>
          <t>Năm 3</t>
        </is>
      </c>
      <c r="E149" s="34" t="inlineStr">
        <is>
          <t>Lập trình Web(3)</t>
        </is>
      </c>
      <c r="F149" s="33" t="n">
        <v>1.9</v>
      </c>
      <c r="G149" s="33" t="inlineStr">
        <is>
          <t>Thứ 6 (Ca Tối (18:00 - 20:00))</t>
        </is>
      </c>
    </row>
    <row r="150" ht="20" customHeight="1" s="18">
      <c r="A150" s="37" t="n">
        <v>251210934</v>
      </c>
      <c r="B150" s="38" t="inlineStr">
        <is>
          <t>NGUYỄN KHÔI NGUYÊN</t>
        </is>
      </c>
      <c r="C150" s="38" t="inlineStr">
        <is>
          <t>Công nghệ thông tin 2 K66</t>
        </is>
      </c>
      <c r="D150" s="37" t="inlineStr">
        <is>
          <t>Năm 1</t>
        </is>
      </c>
      <c r="E150" s="38" t="inlineStr">
        <is>
          <t>Đại số tuyến tính(3)</t>
        </is>
      </c>
      <c r="F150" s="37" t="n">
        <v>1</v>
      </c>
      <c r="G150" s="37" t="inlineStr">
        <is>
          <t>Thứ 4 (Ca Tối (18:00 - 20:00))</t>
        </is>
      </c>
    </row>
    <row r="151" ht="20" customHeight="1" s="18">
      <c r="A151" s="33" t="n">
        <v>251230942</v>
      </c>
      <c r="B151" s="34" t="inlineStr">
        <is>
          <t>NGUYỄN HOÀNG PHÚC</t>
        </is>
      </c>
      <c r="C151" s="34" t="inlineStr">
        <is>
          <t>Công nghệ thông tin 2 K66</t>
        </is>
      </c>
      <c r="D151" s="33" t="inlineStr">
        <is>
          <t>Năm 1</t>
        </is>
      </c>
      <c r="E151" s="34" t="inlineStr">
        <is>
          <t>Đại số tuyến tính(3)</t>
        </is>
      </c>
      <c r="F151" s="33" t="n">
        <v>1.7</v>
      </c>
      <c r="G151" s="33" t="inlineStr">
        <is>
          <t>Thứ 4 (Ca Tối (18:00 - 20:00))</t>
        </is>
      </c>
    </row>
    <row r="152" ht="20" customHeight="1" s="18">
      <c r="A152" s="37" t="n">
        <v>251230945</v>
      </c>
      <c r="B152" s="38" t="inlineStr">
        <is>
          <t>HOÀNG MINH PHƯƠNG</t>
        </is>
      </c>
      <c r="C152" s="38" t="inlineStr">
        <is>
          <t>Công nghệ thông tin 2 K66</t>
        </is>
      </c>
      <c r="D152" s="37" t="inlineStr">
        <is>
          <t>Năm 1</t>
        </is>
      </c>
      <c r="E152" s="38" t="inlineStr">
        <is>
          <t>Đại số tuyến tính(3)</t>
        </is>
      </c>
      <c r="F152" s="37" t="n">
        <v>1.8</v>
      </c>
      <c r="G152" s="37" t="inlineStr">
        <is>
          <t>Thứ 4 (Ca Tối (18:00 - 20:00))</t>
        </is>
      </c>
    </row>
    <row r="153" ht="20" customHeight="1" s="18">
      <c r="A153" s="33" t="n">
        <v>251230945</v>
      </c>
      <c r="B153" s="34" t="inlineStr">
        <is>
          <t>HOÀNG MINH PHƯƠNG</t>
        </is>
      </c>
      <c r="C153" s="34" t="inlineStr">
        <is>
          <t>Công nghệ thông tin 2 K66</t>
        </is>
      </c>
      <c r="D153" s="33" t="inlineStr">
        <is>
          <t>Năm 3</t>
        </is>
      </c>
      <c r="E153" s="34" t="inlineStr">
        <is>
          <t>Lập trình trực quan(3)</t>
        </is>
      </c>
      <c r="F153" s="33" t="n">
        <v>1.9</v>
      </c>
      <c r="G153" s="33" t="inlineStr">
        <is>
          <t>Thứ 7 (Ca Tối (18:00 - 20:00))</t>
        </is>
      </c>
    </row>
    <row r="154" ht="20" customHeight="1" s="18">
      <c r="A154" s="37" t="n">
        <v>251230945</v>
      </c>
      <c r="B154" s="38" t="inlineStr">
        <is>
          <t>HOÀNG MINH PHƯƠNG</t>
        </is>
      </c>
      <c r="C154" s="38" t="inlineStr">
        <is>
          <t>Công nghệ thông tin 2 K66</t>
        </is>
      </c>
      <c r="D154" s="37" t="inlineStr">
        <is>
          <t>Năm 4</t>
        </is>
      </c>
      <c r="E154" s="38" t="inlineStr">
        <is>
          <t>Bảo vệ đồ án(10)</t>
        </is>
      </c>
      <c r="F154" s="37" t="n">
        <v>1.8</v>
      </c>
      <c r="G154" s="37" t="inlineStr">
        <is>
          <t>Thứ 6 (Ca Tối (18:00 - 20:00))</t>
        </is>
      </c>
    </row>
    <row r="155" ht="20" customHeight="1" s="18">
      <c r="A155" s="33" t="n">
        <v>251230951</v>
      </c>
      <c r="B155" s="34" t="inlineStr">
        <is>
          <t>NGUYỄN QUANG QUÂN</t>
        </is>
      </c>
      <c r="C155" s="34" t="inlineStr">
        <is>
          <t>Công nghệ thông tin 2 K66</t>
        </is>
      </c>
      <c r="D155" s="33" t="inlineStr">
        <is>
          <t>Năm 2</t>
        </is>
      </c>
      <c r="E155" s="34" t="inlineStr">
        <is>
          <t>Thiết kế web(3)</t>
        </is>
      </c>
      <c r="F155" s="33" t="n">
        <v>1.8</v>
      </c>
      <c r="G155" s="33" t="inlineStr">
        <is>
          <t>Thứ 6 (Ca Tối (18:00 - 20:00))</t>
        </is>
      </c>
    </row>
    <row r="156" ht="20" customHeight="1" s="18">
      <c r="A156" s="37" t="n">
        <v>251210953</v>
      </c>
      <c r="B156" s="38" t="inlineStr">
        <is>
          <t>NGUYỄN ANH QUYỀN</t>
        </is>
      </c>
      <c r="C156" s="38" t="inlineStr">
        <is>
          <t>Công nghệ thông tin 2 K66</t>
        </is>
      </c>
      <c r="D156" s="37" t="inlineStr">
        <is>
          <t>Năm 1</t>
        </is>
      </c>
      <c r="E156" s="38" t="inlineStr">
        <is>
          <t>Đại số tuyến tính(3)</t>
        </is>
      </c>
      <c r="F156" s="37" t="n">
        <v>0.5</v>
      </c>
      <c r="G156" s="37" t="inlineStr">
        <is>
          <t>Thứ 4 (Ca Tối (18:00 - 20:00))</t>
        </is>
      </c>
    </row>
    <row r="157" ht="20" customHeight="1" s="18">
      <c r="A157" s="33" t="n">
        <v>251230954</v>
      </c>
      <c r="B157" s="34" t="inlineStr">
        <is>
          <t>LƯU CHÍ QUYẾT</t>
        </is>
      </c>
      <c r="C157" s="34" t="inlineStr">
        <is>
          <t>Công nghệ thông tin 2 K66</t>
        </is>
      </c>
      <c r="D157" s="33" t="inlineStr">
        <is>
          <t>Năm 2</t>
        </is>
      </c>
      <c r="E157" s="34" t="inlineStr">
        <is>
          <t>Thiết kế web(3)</t>
        </is>
      </c>
      <c r="F157" s="33" t="n">
        <v>1.9</v>
      </c>
      <c r="G157" s="33" t="inlineStr">
        <is>
          <t>Thứ 6 (Ca Tối (18:00 - 20:00))</t>
        </is>
      </c>
    </row>
    <row r="158" ht="20" customHeight="1" s="18">
      <c r="A158" s="37" t="n">
        <v>251230954</v>
      </c>
      <c r="B158" s="38" t="inlineStr">
        <is>
          <t>LƯU CHÍ QUYẾT</t>
        </is>
      </c>
      <c r="C158" s="38" t="inlineStr">
        <is>
          <t>Công nghệ thông tin 2 K66</t>
        </is>
      </c>
      <c r="D158" s="37" t="inlineStr">
        <is>
          <t>Năm 4</t>
        </is>
      </c>
      <c r="E158" s="38" t="inlineStr">
        <is>
          <t>Bảo vệ đồ án(10)</t>
        </is>
      </c>
      <c r="F158" s="37" t="n">
        <v>1.8</v>
      </c>
      <c r="G158" s="37" t="inlineStr">
        <is>
          <t>Thứ 6 (Ca Tối (18:00 - 20:00))</t>
        </is>
      </c>
    </row>
    <row r="159" ht="20" customHeight="1" s="18">
      <c r="A159" s="33" t="n">
        <v>251230960</v>
      </c>
      <c r="B159" s="34" t="inlineStr">
        <is>
          <t>CÔNG ANH TÀI</t>
        </is>
      </c>
      <c r="C159" s="34" t="inlineStr">
        <is>
          <t>Công nghệ thông tin 2 K66</t>
        </is>
      </c>
      <c r="D159" s="33" t="inlineStr">
        <is>
          <t>Năm 1</t>
        </is>
      </c>
      <c r="E159" s="34" t="inlineStr">
        <is>
          <t>Triết Học Mác-lênin(3)</t>
        </is>
      </c>
      <c r="F159" s="33" t="n">
        <v>1.8</v>
      </c>
      <c r="G159" s="33" t="inlineStr">
        <is>
          <t>Thứ 5 (Ca Tối (18:00 - 20:00))</t>
        </is>
      </c>
    </row>
    <row r="160" ht="20" customHeight="1" s="18">
      <c r="A160" s="37" t="n">
        <v>251230960</v>
      </c>
      <c r="B160" s="38" t="inlineStr">
        <is>
          <t>CÔNG ANH TÀI</t>
        </is>
      </c>
      <c r="C160" s="38" t="inlineStr">
        <is>
          <t>Công nghệ thông tin 2 K66</t>
        </is>
      </c>
      <c r="D160" s="37" t="inlineStr">
        <is>
          <t>Năm 1</t>
        </is>
      </c>
      <c r="E160" s="38" t="inlineStr">
        <is>
          <t>Đại số tuyến tính(3)</t>
        </is>
      </c>
      <c r="F160" s="37" t="n">
        <v>1.4</v>
      </c>
      <c r="G160" s="37" t="inlineStr">
        <is>
          <t>Thứ 4 (Ca Tối (18:00 - 20:00))</t>
        </is>
      </c>
    </row>
    <row r="161" ht="20" customHeight="1" s="18">
      <c r="A161" s="33" t="n">
        <v>251230961</v>
      </c>
      <c r="B161" s="34" t="inlineStr">
        <is>
          <t>HOÀNG QUỐC THÁI</t>
        </is>
      </c>
      <c r="C161" s="34" t="inlineStr">
        <is>
          <t>Công nghệ thông tin 2 K66</t>
        </is>
      </c>
      <c r="D161" s="33" t="inlineStr">
        <is>
          <t>Năm 1</t>
        </is>
      </c>
      <c r="E161" s="34" t="inlineStr">
        <is>
          <t>Giải tích(2)</t>
        </is>
      </c>
      <c r="F161" s="33" t="n">
        <v>1.8</v>
      </c>
      <c r="G161" s="33" t="inlineStr">
        <is>
          <t>Thứ 7 (Ca Tối (18:00 - 20:00))</t>
        </is>
      </c>
    </row>
    <row r="162" ht="20" customHeight="1" s="18">
      <c r="A162" s="37" t="n">
        <v>251210975</v>
      </c>
      <c r="B162" s="38" t="inlineStr">
        <is>
          <t>TRƯƠNG NGỌC THẮNG</t>
        </is>
      </c>
      <c r="C162" s="38" t="inlineStr">
        <is>
          <t>Công nghệ thông tin 2 K66</t>
        </is>
      </c>
      <c r="D162" s="37" t="inlineStr">
        <is>
          <t>Năm 1</t>
        </is>
      </c>
      <c r="E162" s="38" t="inlineStr">
        <is>
          <t>Đại số tuyến tính(3)</t>
        </is>
      </c>
      <c r="F162" s="37" t="n">
        <v>0.8</v>
      </c>
      <c r="G162" s="37" t="inlineStr">
        <is>
          <t>Thứ 4 (Ca Tối (18:00 - 20:00))</t>
        </is>
      </c>
    </row>
    <row r="163" ht="20" customHeight="1" s="18">
      <c r="A163" s="33" t="n">
        <v>251210975</v>
      </c>
      <c r="B163" s="34" t="inlineStr">
        <is>
          <t>TRƯƠNG NGỌC THẮNG</t>
        </is>
      </c>
      <c r="C163" s="34" t="inlineStr">
        <is>
          <t>Công nghệ thông tin 2 K66</t>
        </is>
      </c>
      <c r="D163" s="33" t="inlineStr">
        <is>
          <t>Năm 4</t>
        </is>
      </c>
      <c r="E163" s="34" t="inlineStr">
        <is>
          <t>Bảo vệ đồ án(10)</t>
        </is>
      </c>
      <c r="F163" s="33" t="n">
        <v>1.9</v>
      </c>
      <c r="G163" s="33" t="inlineStr">
        <is>
          <t>Thứ 6 (Ca Tối (18:00 - 20:00))</t>
        </is>
      </c>
    </row>
    <row r="164" ht="20" customHeight="1" s="18">
      <c r="A164" s="37" t="n">
        <v>251210965</v>
      </c>
      <c r="B164" s="38" t="inlineStr">
        <is>
          <t>ĐỖ NHƯ THÀNH</t>
        </is>
      </c>
      <c r="C164" s="38" t="inlineStr">
        <is>
          <t>Công nghệ thông tin 2 K66</t>
        </is>
      </c>
      <c r="D164" s="37" t="inlineStr">
        <is>
          <t>Năm 1</t>
        </is>
      </c>
      <c r="E164" s="38" t="inlineStr">
        <is>
          <t>Giải tích(2)</t>
        </is>
      </c>
      <c r="F164" s="37" t="n">
        <v>1.8</v>
      </c>
      <c r="G164" s="37" t="inlineStr">
        <is>
          <t>Thứ 7 (Ca Tối (18:00 - 20:00))</t>
        </is>
      </c>
    </row>
    <row r="165" ht="20" customHeight="1" s="18">
      <c r="A165" s="33" t="n">
        <v>251210965</v>
      </c>
      <c r="B165" s="34" t="inlineStr">
        <is>
          <t>ĐỖ NHƯ THÀNH</t>
        </is>
      </c>
      <c r="C165" s="34" t="inlineStr">
        <is>
          <t>Công nghệ thông tin 2 K66</t>
        </is>
      </c>
      <c r="D165" s="33" t="inlineStr">
        <is>
          <t>Năm 1</t>
        </is>
      </c>
      <c r="E165" s="34" t="inlineStr">
        <is>
          <t>Đại số tuyến tính(3)</t>
        </is>
      </c>
      <c r="F165" s="33" t="n">
        <v>1.3</v>
      </c>
      <c r="G165" s="33" t="inlineStr">
        <is>
          <t>Thứ 4 (Ca Tối (18:00 - 20:00))</t>
        </is>
      </c>
    </row>
    <row r="166" ht="20" customHeight="1" s="18">
      <c r="A166" s="37" t="n">
        <v>251230971</v>
      </c>
      <c r="B166" s="38" t="inlineStr">
        <is>
          <t>TRẦN VĂN THÀNH</t>
        </is>
      </c>
      <c r="C166" s="38" t="inlineStr">
        <is>
          <t>Công nghệ thông tin 2 K66</t>
        </is>
      </c>
      <c r="D166" s="37" t="inlineStr">
        <is>
          <t>Năm 1</t>
        </is>
      </c>
      <c r="E166" s="38" t="inlineStr">
        <is>
          <t>Tin đại cương(3)</t>
        </is>
      </c>
      <c r="F166" s="37" t="n">
        <v>1.9</v>
      </c>
      <c r="G166" s="37" t="inlineStr">
        <is>
          <t>Thứ 2 (Ca Tối (18:00 - 20:00))</t>
        </is>
      </c>
    </row>
    <row r="167" ht="20" customHeight="1" s="18">
      <c r="A167" s="33" t="n">
        <v>251230971</v>
      </c>
      <c r="B167" s="34" t="inlineStr">
        <is>
          <t>TRẦN VĂN THÀNH</t>
        </is>
      </c>
      <c r="C167" s="34" t="inlineStr">
        <is>
          <t>Công nghệ thông tin 2 K66</t>
        </is>
      </c>
      <c r="D167" s="33" t="inlineStr">
        <is>
          <t>Năm 3</t>
        </is>
      </c>
      <c r="E167" s="34" t="inlineStr">
        <is>
          <t>Mạng máy tính(3)</t>
        </is>
      </c>
      <c r="F167" s="33" t="n">
        <v>1.8</v>
      </c>
      <c r="G167" s="33" t="inlineStr">
        <is>
          <t>Thứ 3 (Ca Tối (18:00 - 20:00))</t>
        </is>
      </c>
    </row>
    <row r="168" ht="20" customHeight="1" s="18">
      <c r="A168" s="37" t="n">
        <v>251230978</v>
      </c>
      <c r="B168" s="38" t="inlineStr">
        <is>
          <t>NGUYỄN TÁ ANH THỊNH</t>
        </is>
      </c>
      <c r="C168" s="38" t="inlineStr">
        <is>
          <t>Công nghệ thông tin 2 K66</t>
        </is>
      </c>
      <c r="D168" s="37" t="inlineStr">
        <is>
          <t>Năm 2</t>
        </is>
      </c>
      <c r="E168" s="38" t="inlineStr">
        <is>
          <t>Cấu trúc dữ liệu và giải thuật(3)</t>
        </is>
      </c>
      <c r="F168" s="37" t="n">
        <v>1.8</v>
      </c>
      <c r="G168" s="37" t="inlineStr">
        <is>
          <t>Thứ 2 (Ca Tối (18:00 - 20:00))</t>
        </is>
      </c>
    </row>
    <row r="169" ht="20" customHeight="1" s="18">
      <c r="A169" s="33" t="n">
        <v>251230978</v>
      </c>
      <c r="B169" s="34" t="inlineStr">
        <is>
          <t>NGUYỄN TÁ ANH THỊNH</t>
        </is>
      </c>
      <c r="C169" s="34" t="inlineStr">
        <is>
          <t>Công nghệ thông tin 2 K66</t>
        </is>
      </c>
      <c r="D169" s="33" t="inlineStr">
        <is>
          <t>Năm 4</t>
        </is>
      </c>
      <c r="E169" s="34" t="inlineStr">
        <is>
          <t>Bảo vệ đồ án(10)</t>
        </is>
      </c>
      <c r="F169" s="33" t="n">
        <v>1.8</v>
      </c>
      <c r="G169" s="33" t="inlineStr">
        <is>
          <t>Thứ 6 (Ca Tối (18:00 - 20:00))</t>
        </is>
      </c>
    </row>
    <row r="170" ht="20" customHeight="1" s="18">
      <c r="A170" s="37" t="n">
        <v>251230993</v>
      </c>
      <c r="B170" s="38" t="inlineStr">
        <is>
          <t>TRỊNH QUỐC TUẤN</t>
        </is>
      </c>
      <c r="C170" s="38" t="inlineStr">
        <is>
          <t>Công nghệ thông tin 2 K66</t>
        </is>
      </c>
      <c r="D170" s="37" t="inlineStr">
        <is>
          <t>Năm 1</t>
        </is>
      </c>
      <c r="E170" s="38" t="inlineStr">
        <is>
          <t>Đại số tuyến tính(3)</t>
        </is>
      </c>
      <c r="F170" s="37" t="n">
        <v>0.3</v>
      </c>
      <c r="G170" s="37" t="inlineStr">
        <is>
          <t>Thứ 4 (Ca Tối (18:00 - 20:00))</t>
        </is>
      </c>
    </row>
    <row r="171" ht="20" customHeight="1" s="18">
      <c r="A171" s="33" t="n">
        <v>251230993</v>
      </c>
      <c r="B171" s="34" t="inlineStr">
        <is>
          <t>TRỊNH QUỐC TUẤN</t>
        </is>
      </c>
      <c r="C171" s="34" t="inlineStr">
        <is>
          <t>Công nghệ thông tin 2 K66</t>
        </is>
      </c>
      <c r="D171" s="33" t="inlineStr">
        <is>
          <t>Năm 2</t>
        </is>
      </c>
      <c r="E171" s="34" t="inlineStr">
        <is>
          <t>Thiết kế web(3)</t>
        </is>
      </c>
      <c r="F171" s="33" t="n">
        <v>1.8</v>
      </c>
      <c r="G171" s="33" t="inlineStr">
        <is>
          <t>Thứ 6 (Ca Tối (18:00 - 20:00))</t>
        </is>
      </c>
    </row>
    <row r="172" ht="20" customHeight="1" s="18">
      <c r="A172" s="37" t="n">
        <v>251230996</v>
      </c>
      <c r="B172" s="38" t="inlineStr">
        <is>
          <t>CHÚC ANH VIỆT</t>
        </is>
      </c>
      <c r="C172" s="38" t="inlineStr">
        <is>
          <t>Công nghệ thông tin 2 K66</t>
        </is>
      </c>
      <c r="D172" s="37" t="inlineStr">
        <is>
          <t>Năm 1</t>
        </is>
      </c>
      <c r="E172" s="38" t="inlineStr">
        <is>
          <t>Đại số tuyến tính(3)</t>
        </is>
      </c>
      <c r="F172" s="37" t="n">
        <v>0.6</v>
      </c>
      <c r="G172" s="37" t="inlineStr">
        <is>
          <t>Thứ 4 (Ca Tối (18:00 - 20:00))</t>
        </is>
      </c>
    </row>
    <row r="173" ht="20" customHeight="1" s="18">
      <c r="A173" s="33" t="n">
        <v>251230999</v>
      </c>
      <c r="B173" s="34" t="inlineStr">
        <is>
          <t>PHAN ĐÌNH VIỆT</t>
        </is>
      </c>
      <c r="C173" s="34" t="inlineStr">
        <is>
          <t>Công nghệ thông tin 2 K66</t>
        </is>
      </c>
      <c r="D173" s="33" t="inlineStr">
        <is>
          <t>Năm 1</t>
        </is>
      </c>
      <c r="E173" s="34" t="inlineStr">
        <is>
          <t>Tin đại cương(3)</t>
        </is>
      </c>
      <c r="F173" s="33" t="n">
        <v>1.9</v>
      </c>
      <c r="G173" s="33" t="inlineStr">
        <is>
          <t>Thứ 2 (Ca Tối (18:00 - 20:00))</t>
        </is>
      </c>
    </row>
    <row r="174" ht="20" customHeight="1" s="18">
      <c r="A174" s="37" t="n">
        <v>251230999</v>
      </c>
      <c r="B174" s="38" t="inlineStr">
        <is>
          <t>PHAN ĐÌNH VIỆT</t>
        </is>
      </c>
      <c r="C174" s="38" t="inlineStr">
        <is>
          <t>Công nghệ thông tin 2 K66</t>
        </is>
      </c>
      <c r="D174" s="37" t="inlineStr">
        <is>
          <t>Năm 2</t>
        </is>
      </c>
      <c r="E174" s="38" t="inlineStr">
        <is>
          <t>Tư tưởng Hồ Chí Minh(2)</t>
        </is>
      </c>
      <c r="F174" s="37" t="n">
        <v>1.9</v>
      </c>
      <c r="G174" s="37" t="inlineStr">
        <is>
          <t>Thứ 3 (Ca Tối (18:00 - 20:00))</t>
        </is>
      </c>
    </row>
    <row r="175" ht="20" customHeight="1" s="18">
      <c r="A175" s="33" t="n">
        <v>251230999</v>
      </c>
      <c r="B175" s="34" t="inlineStr">
        <is>
          <t>PHAN ĐÌNH VIỆT</t>
        </is>
      </c>
      <c r="C175" s="34" t="inlineStr">
        <is>
          <t>Công nghệ thông tin 2 K66</t>
        </is>
      </c>
      <c r="D175" s="33" t="inlineStr">
        <is>
          <t>Năm 3</t>
        </is>
      </c>
      <c r="E175" s="34" t="inlineStr">
        <is>
          <t>Lập trình Web(3)</t>
        </is>
      </c>
      <c r="F175" s="33" t="n">
        <v>1.9</v>
      </c>
      <c r="G175" s="33" t="inlineStr">
        <is>
          <t>Thứ 6 (Ca Tối (18:00 - 20:00))</t>
        </is>
      </c>
    </row>
    <row r="176" ht="20" customHeight="1" s="18">
      <c r="A176" s="37" t="n">
        <v>251230999</v>
      </c>
      <c r="B176" s="38" t="inlineStr">
        <is>
          <t>PHAN ĐÌNH VIỆT</t>
        </is>
      </c>
      <c r="C176" s="38" t="inlineStr">
        <is>
          <t>Công nghệ thông tin 2 K66</t>
        </is>
      </c>
      <c r="D176" s="37" t="inlineStr">
        <is>
          <t>Năm 3</t>
        </is>
      </c>
      <c r="E176" s="38" t="inlineStr">
        <is>
          <t>Mạng máy tính(3)</t>
        </is>
      </c>
      <c r="F176" s="37" t="n">
        <v>1.8</v>
      </c>
      <c r="G176" s="37" t="inlineStr">
        <is>
          <t>Thứ 3 (Ca Tối (18:00 - 20:00))</t>
        </is>
      </c>
    </row>
    <row r="177" ht="20" customHeight="1" s="18">
      <c r="A177" s="33" t="n">
        <v>251231003</v>
      </c>
      <c r="B177" s="34" t="inlineStr">
        <is>
          <t>TRẦN QUANG VINH</t>
        </is>
      </c>
      <c r="C177" s="34" t="inlineStr">
        <is>
          <t>Công nghệ thông tin 2 K66</t>
        </is>
      </c>
      <c r="D177" s="33" t="inlineStr">
        <is>
          <t>Năm 1</t>
        </is>
      </c>
      <c r="E177" s="34" t="inlineStr">
        <is>
          <t>Đại số tuyến tính(3)</t>
        </is>
      </c>
      <c r="F177" s="33" t="n">
        <v>0.3</v>
      </c>
      <c r="G177" s="33" t="inlineStr">
        <is>
          <t>Thứ 4 (Ca Tối (18:00 - 20:00))</t>
        </is>
      </c>
    </row>
    <row r="178" ht="20" customHeight="1" s="18">
      <c r="A178" s="37" t="n">
        <v>251231003</v>
      </c>
      <c r="B178" s="38" t="inlineStr">
        <is>
          <t>TRẦN QUANG VINH</t>
        </is>
      </c>
      <c r="C178" s="38" t="inlineStr">
        <is>
          <t>Công nghệ thông tin 2 K66</t>
        </is>
      </c>
      <c r="D178" s="37" t="inlineStr">
        <is>
          <t>Năm 2</t>
        </is>
      </c>
      <c r="E178" s="38" t="inlineStr">
        <is>
          <t>Tư tưởng Hồ Chí Minh(2)</t>
        </is>
      </c>
      <c r="F178" s="37" t="n">
        <v>1.8</v>
      </c>
      <c r="G178" s="37" t="inlineStr">
        <is>
          <t>Thứ 3 (Ca Tối (18:00 - 20:00))</t>
        </is>
      </c>
    </row>
    <row r="179" ht="20" customHeight="1" s="18">
      <c r="A179" s="33" t="n">
        <v>251211005</v>
      </c>
      <c r="B179" s="34" t="inlineStr">
        <is>
          <t>DƯƠNG HOÀNG VŨ</t>
        </is>
      </c>
      <c r="C179" s="34" t="inlineStr">
        <is>
          <t>Công nghệ thông tin 2 K66</t>
        </is>
      </c>
      <c r="D179" s="33" t="inlineStr">
        <is>
          <t>Năm 1</t>
        </is>
      </c>
      <c r="E179" s="34" t="inlineStr">
        <is>
          <t>Triết Học Mác-lênin(3)</t>
        </is>
      </c>
      <c r="F179" s="33" t="n">
        <v>1.8</v>
      </c>
      <c r="G179" s="33" t="inlineStr">
        <is>
          <t>Thứ 5 (Ca Tối (18:00 - 20:00))</t>
        </is>
      </c>
    </row>
    <row r="180" ht="20" customHeight="1" s="18">
      <c r="A180" s="37" t="n">
        <v>251211005</v>
      </c>
      <c r="B180" s="38" t="inlineStr">
        <is>
          <t>DƯƠNG HOÀNG VŨ</t>
        </is>
      </c>
      <c r="C180" s="38" t="inlineStr">
        <is>
          <t>Công nghệ thông tin 2 K66</t>
        </is>
      </c>
      <c r="D180" s="37" t="inlineStr">
        <is>
          <t>Năm 1</t>
        </is>
      </c>
      <c r="E180" s="38" t="inlineStr">
        <is>
          <t>Đại số tuyến tính(3)</t>
        </is>
      </c>
      <c r="F180" s="37" t="n">
        <v>0.3</v>
      </c>
      <c r="G180" s="37" t="inlineStr">
        <is>
          <t>Thứ 4 (Ca Tối (18:00 - 20:00))</t>
        </is>
      </c>
    </row>
    <row r="181" ht="20" customHeight="1" s="18">
      <c r="A181" s="33" t="n">
        <v>251210795</v>
      </c>
      <c r="B181" s="34" t="inlineStr">
        <is>
          <t>NGÔ ĐÌNH NGỌC AN</t>
        </is>
      </c>
      <c r="C181" s="34" t="inlineStr">
        <is>
          <t>Công nghệ thông tin 3 K66</t>
        </is>
      </c>
      <c r="D181" s="33" t="inlineStr">
        <is>
          <t>Năm 1</t>
        </is>
      </c>
      <c r="E181" s="34" t="inlineStr">
        <is>
          <t>Đại số tuyến tính(3)</t>
        </is>
      </c>
      <c r="F181" s="33" t="n">
        <v>1</v>
      </c>
      <c r="G181" s="33" t="inlineStr">
        <is>
          <t>Thứ 4 (Ca Tối (18:00 - 20:00))</t>
        </is>
      </c>
    </row>
    <row r="182" ht="20" customHeight="1" s="18">
      <c r="A182" s="37" t="n">
        <v>251210797</v>
      </c>
      <c r="B182" s="38" t="inlineStr">
        <is>
          <t>NGUYỄN VIỆT AN</t>
        </is>
      </c>
      <c r="C182" s="38" t="inlineStr">
        <is>
          <t>Công nghệ thông tin 3 K66</t>
        </is>
      </c>
      <c r="D182" s="37" t="inlineStr">
        <is>
          <t>Năm 2</t>
        </is>
      </c>
      <c r="E182" s="38" t="inlineStr">
        <is>
          <t>Thiết kế web(3)</t>
        </is>
      </c>
      <c r="F182" s="37" t="n">
        <v>1.9</v>
      </c>
      <c r="G182" s="37" t="inlineStr">
        <is>
          <t>Thứ 6 (Ca Tối (18:00 - 20:00))</t>
        </is>
      </c>
    </row>
    <row r="183" ht="20" customHeight="1" s="18">
      <c r="A183" s="33" t="n">
        <v>251230803</v>
      </c>
      <c r="B183" s="34" t="inlineStr">
        <is>
          <t>NGUYỄN ĐỨC ANH</t>
        </is>
      </c>
      <c r="C183" s="34" t="inlineStr">
        <is>
          <t>Công nghệ thông tin 3 K66</t>
        </is>
      </c>
      <c r="D183" s="33" t="inlineStr">
        <is>
          <t>Năm 1</t>
        </is>
      </c>
      <c r="E183" s="34" t="inlineStr">
        <is>
          <t>Đại số tuyến tính(3)</t>
        </is>
      </c>
      <c r="F183" s="33" t="n">
        <v>0.8</v>
      </c>
      <c r="G183" s="33" t="inlineStr">
        <is>
          <t>Thứ 4 (Ca Tối (18:00 - 20:00))</t>
        </is>
      </c>
    </row>
    <row r="184" ht="20" customHeight="1" s="18">
      <c r="A184" s="37" t="n">
        <v>251230803</v>
      </c>
      <c r="B184" s="38" t="inlineStr">
        <is>
          <t>NGUYỄN ĐỨC ANH</t>
        </is>
      </c>
      <c r="C184" s="38" t="inlineStr">
        <is>
          <t>Công nghệ thông tin 3 K66</t>
        </is>
      </c>
      <c r="D184" s="37" t="inlineStr">
        <is>
          <t>Năm 2</t>
        </is>
      </c>
      <c r="E184" s="38" t="inlineStr">
        <is>
          <t>Tư tưởng Hồ Chí Minh(2)</t>
        </is>
      </c>
      <c r="F184" s="37" t="n">
        <v>1.9</v>
      </c>
      <c r="G184" s="37" t="inlineStr">
        <is>
          <t>Thứ 3 (Ca Tối (18:00 - 20:00))</t>
        </is>
      </c>
    </row>
    <row r="185" ht="20" customHeight="1" s="18">
      <c r="A185" s="33" t="n">
        <v>251210804</v>
      </c>
      <c r="B185" s="34" t="inlineStr">
        <is>
          <t>NGUYỄN NHẬT ANH</t>
        </is>
      </c>
      <c r="C185" s="34" t="inlineStr">
        <is>
          <t>Công nghệ thông tin 3 K66</t>
        </is>
      </c>
      <c r="D185" s="33" t="inlineStr">
        <is>
          <t>Năm 1</t>
        </is>
      </c>
      <c r="E185" s="34" t="inlineStr">
        <is>
          <t>Triết Học Mác-lênin(3)</t>
        </is>
      </c>
      <c r="F185" s="33" t="n">
        <v>1.9</v>
      </c>
      <c r="G185" s="33" t="inlineStr">
        <is>
          <t>Thứ 5 (Ca Tối (18:00 - 20:00))</t>
        </is>
      </c>
    </row>
    <row r="186" ht="20" customHeight="1" s="18">
      <c r="A186" s="37" t="n">
        <v>251210804</v>
      </c>
      <c r="B186" s="38" t="inlineStr">
        <is>
          <t>NGUYỄN NHẬT ANH</t>
        </is>
      </c>
      <c r="C186" s="38" t="inlineStr">
        <is>
          <t>Công nghệ thông tin 3 K66</t>
        </is>
      </c>
      <c r="D186" s="37" t="inlineStr">
        <is>
          <t>Năm 3</t>
        </is>
      </c>
      <c r="E186" s="38" t="inlineStr">
        <is>
          <t>Lập trình trực quan(3)</t>
        </is>
      </c>
      <c r="F186" s="37" t="n">
        <v>1.8</v>
      </c>
      <c r="G186" s="37" t="inlineStr">
        <is>
          <t>Thứ 7 (Ca Tối (18:00 - 20:00))</t>
        </is>
      </c>
    </row>
    <row r="187" ht="20" customHeight="1" s="18">
      <c r="A187" s="33" t="n">
        <v>251230805</v>
      </c>
      <c r="B187" s="34" t="inlineStr">
        <is>
          <t>NGUYỄN QUỐC ANH</t>
        </is>
      </c>
      <c r="C187" s="34" t="inlineStr">
        <is>
          <t>Công nghệ thông tin 3 K66</t>
        </is>
      </c>
      <c r="D187" s="33" t="inlineStr">
        <is>
          <t>Năm 1</t>
        </is>
      </c>
      <c r="E187" s="34" t="inlineStr">
        <is>
          <t>Đại số tuyến tính(3)</t>
        </is>
      </c>
      <c r="F187" s="33" t="n">
        <v>0.7</v>
      </c>
      <c r="G187" s="33" t="inlineStr">
        <is>
          <t>Thứ 4 (Ca Tối (18:00 - 20:00))</t>
        </is>
      </c>
    </row>
    <row r="188" ht="20" customHeight="1" s="18">
      <c r="A188" s="37" t="n">
        <v>251230810</v>
      </c>
      <c r="B188" s="38" t="inlineStr">
        <is>
          <t>NGUYỄN XUÂN BÁCH</t>
        </is>
      </c>
      <c r="C188" s="38" t="inlineStr">
        <is>
          <t>Công nghệ thông tin 3 K66</t>
        </is>
      </c>
      <c r="D188" s="37" t="inlineStr">
        <is>
          <t>Năm 1</t>
        </is>
      </c>
      <c r="E188" s="38" t="inlineStr">
        <is>
          <t>Giải tích(2)</t>
        </is>
      </c>
      <c r="F188" s="37" t="n">
        <v>1.8</v>
      </c>
      <c r="G188" s="37" t="inlineStr">
        <is>
          <t>Thứ 7 (Ca Tối (18:00 - 20:00))</t>
        </is>
      </c>
    </row>
    <row r="189" ht="20" customHeight="1" s="18">
      <c r="A189" s="33" t="n">
        <v>251230810</v>
      </c>
      <c r="B189" s="34" t="inlineStr">
        <is>
          <t>NGUYỄN XUÂN BÁCH</t>
        </is>
      </c>
      <c r="C189" s="34" t="inlineStr">
        <is>
          <t>Công nghệ thông tin 3 K66</t>
        </is>
      </c>
      <c r="D189" s="33" t="inlineStr">
        <is>
          <t>Năm 1</t>
        </is>
      </c>
      <c r="E189" s="34" t="inlineStr">
        <is>
          <t>Đại số tuyến tính(3)</t>
        </is>
      </c>
      <c r="F189" s="33" t="n">
        <v>0.8</v>
      </c>
      <c r="G189" s="33" t="inlineStr">
        <is>
          <t>Thứ 4 (Ca Tối (18:00 - 20:00))</t>
        </is>
      </c>
    </row>
    <row r="190" ht="20" customHeight="1" s="18">
      <c r="A190" s="37" t="n">
        <v>251210814</v>
      </c>
      <c r="B190" s="38" t="inlineStr">
        <is>
          <t>NGUYỄN DUY CAO</t>
        </is>
      </c>
      <c r="C190" s="38" t="inlineStr">
        <is>
          <t>Công nghệ thông tin 3 K66</t>
        </is>
      </c>
      <c r="D190" s="37" t="inlineStr">
        <is>
          <t>Năm 1</t>
        </is>
      </c>
      <c r="E190" s="38" t="inlineStr">
        <is>
          <t>Đại số tuyến tính(3)</t>
        </is>
      </c>
      <c r="F190" s="37" t="n">
        <v>0.3</v>
      </c>
      <c r="G190" s="37" t="inlineStr">
        <is>
          <t>Thứ 4 (Ca Tối (18:00 - 20:00))</t>
        </is>
      </c>
    </row>
    <row r="191" ht="20" customHeight="1" s="18">
      <c r="A191" s="33" t="n">
        <v>251210814</v>
      </c>
      <c r="B191" s="34" t="inlineStr">
        <is>
          <t>NGUYỄN DUY CAO</t>
        </is>
      </c>
      <c r="C191" s="34" t="inlineStr">
        <is>
          <t>Công nghệ thông tin 3 K66</t>
        </is>
      </c>
      <c r="D191" s="33" t="inlineStr">
        <is>
          <t>Năm 2</t>
        </is>
      </c>
      <c r="E191" s="34" t="inlineStr">
        <is>
          <t>Lập trình hướng đối tượng(3)</t>
        </is>
      </c>
      <c r="F191" s="33" t="n">
        <v>1.8</v>
      </c>
      <c r="G191" s="33" t="inlineStr">
        <is>
          <t>Thứ 5 (Ca Tối (18:00 - 20:00))</t>
        </is>
      </c>
    </row>
    <row r="192" ht="20" customHeight="1" s="18">
      <c r="A192" s="37" t="n">
        <v>251210814</v>
      </c>
      <c r="B192" s="38" t="inlineStr">
        <is>
          <t>NGUYỄN DUY CAO</t>
        </is>
      </c>
      <c r="C192" s="38" t="inlineStr">
        <is>
          <t>Công nghệ thông tin 3 K66</t>
        </is>
      </c>
      <c r="D192" s="37" t="inlineStr">
        <is>
          <t>Năm 3</t>
        </is>
      </c>
      <c r="E192" s="38" t="inlineStr">
        <is>
          <t>Thuật toán và ứng dụng(3)</t>
        </is>
      </c>
      <c r="F192" s="37" t="n">
        <v>1.9</v>
      </c>
      <c r="G192" s="37" t="inlineStr">
        <is>
          <t>Thứ 5 (Ca Tối (18:00 - 20:00))</t>
        </is>
      </c>
    </row>
    <row r="193" ht="20" customHeight="1" s="18">
      <c r="A193" s="33" t="n">
        <v>251230815</v>
      </c>
      <c r="B193" s="34" t="inlineStr">
        <is>
          <t>NGUYỄN THÀNH CÔNG</t>
        </is>
      </c>
      <c r="C193" s="34" t="inlineStr">
        <is>
          <t>Công nghệ thông tin 3 K66</t>
        </is>
      </c>
      <c r="D193" s="33" t="inlineStr">
        <is>
          <t>Năm 1</t>
        </is>
      </c>
      <c r="E193" s="34" t="inlineStr">
        <is>
          <t>Đại số tuyến tính(3)</t>
        </is>
      </c>
      <c r="F193" s="33" t="n">
        <v>0.5</v>
      </c>
      <c r="G193" s="33" t="inlineStr">
        <is>
          <t>Thứ 4 (Ca Tối (18:00 - 20:00))</t>
        </is>
      </c>
    </row>
    <row r="194" ht="20" customHeight="1" s="18">
      <c r="A194" s="37" t="n">
        <v>251230815</v>
      </c>
      <c r="B194" s="38" t="inlineStr">
        <is>
          <t>NGUYỄN THÀNH CÔNG</t>
        </is>
      </c>
      <c r="C194" s="38" t="inlineStr">
        <is>
          <t>Công nghệ thông tin 3 K66</t>
        </is>
      </c>
      <c r="D194" s="37" t="inlineStr">
        <is>
          <t>Năm 3</t>
        </is>
      </c>
      <c r="E194" s="38" t="inlineStr">
        <is>
          <t>Mạng máy tính(3)</t>
        </is>
      </c>
      <c r="F194" s="37" t="n">
        <v>1.9</v>
      </c>
      <c r="G194" s="37" t="inlineStr">
        <is>
          <t>Thứ 3 (Ca Tối (18:00 - 20:00))</t>
        </is>
      </c>
    </row>
    <row r="195" ht="20" customHeight="1" s="18">
      <c r="A195" s="33" t="n">
        <v>251230816</v>
      </c>
      <c r="B195" s="34" t="inlineStr">
        <is>
          <t>VŨ THÀNH CÔNG</t>
        </is>
      </c>
      <c r="C195" s="34" t="inlineStr">
        <is>
          <t>Công nghệ thông tin 3 K66</t>
        </is>
      </c>
      <c r="D195" s="33" t="inlineStr">
        <is>
          <t>Năm 1</t>
        </is>
      </c>
      <c r="E195" s="34" t="inlineStr">
        <is>
          <t>Đại số tuyến tính(3)</t>
        </is>
      </c>
      <c r="F195" s="33" t="n">
        <v>1.5</v>
      </c>
      <c r="G195" s="33" t="inlineStr">
        <is>
          <t>Thứ 4 (Ca Tối (18:00 - 20:00))</t>
        </is>
      </c>
    </row>
    <row r="196" ht="20" customHeight="1" s="18">
      <c r="A196" s="37" t="n">
        <v>251230816</v>
      </c>
      <c r="B196" s="38" t="inlineStr">
        <is>
          <t>VŨ THÀNH CÔNG</t>
        </is>
      </c>
      <c r="C196" s="38" t="inlineStr">
        <is>
          <t>Công nghệ thông tin 3 K66</t>
        </is>
      </c>
      <c r="D196" s="37" t="inlineStr">
        <is>
          <t>Năm 3</t>
        </is>
      </c>
      <c r="E196" s="38" t="inlineStr">
        <is>
          <t>Thuật toán và ứng dụng(3)</t>
        </is>
      </c>
      <c r="F196" s="37" t="n">
        <v>1.9</v>
      </c>
      <c r="G196" s="37" t="inlineStr">
        <is>
          <t>Thứ 5 (Ca Tối (18:00 - 20:00))</t>
        </is>
      </c>
    </row>
    <row r="197" ht="20" customHeight="1" s="18">
      <c r="A197" s="33" t="n">
        <v>251230816</v>
      </c>
      <c r="B197" s="34" t="inlineStr">
        <is>
          <t>VŨ THÀNH CÔNG</t>
        </is>
      </c>
      <c r="C197" s="34" t="inlineStr">
        <is>
          <t>Công nghệ thông tin 3 K66</t>
        </is>
      </c>
      <c r="D197" s="33" t="inlineStr">
        <is>
          <t>Năm 3</t>
        </is>
      </c>
      <c r="E197" s="34" t="inlineStr">
        <is>
          <t>Mạng máy tính(3)</t>
        </is>
      </c>
      <c r="F197" s="33" t="n">
        <v>1.8</v>
      </c>
      <c r="G197" s="33" t="inlineStr">
        <is>
          <t>Thứ 3 (Ca Tối (18:00 - 20:00))</t>
        </is>
      </c>
    </row>
    <row r="198" ht="20" customHeight="1" s="18">
      <c r="A198" s="37" t="n">
        <v>251230820</v>
      </c>
      <c r="B198" s="38" t="inlineStr">
        <is>
          <t>BÙI VĂN CƯỜNG</t>
        </is>
      </c>
      <c r="C198" s="38" t="inlineStr">
        <is>
          <t>Công nghệ thông tin 3 K66</t>
        </is>
      </c>
      <c r="D198" s="37" t="inlineStr">
        <is>
          <t>Năm 1</t>
        </is>
      </c>
      <c r="E198" s="38" t="inlineStr">
        <is>
          <t>Đại số tuyến tính(3)</t>
        </is>
      </c>
      <c r="F198" s="37" t="n">
        <v>0.4</v>
      </c>
      <c r="G198" s="37" t="inlineStr">
        <is>
          <t>Thứ 4 (Ca Tối (18:00 - 20:00))</t>
        </is>
      </c>
    </row>
    <row r="199" ht="20" customHeight="1" s="18">
      <c r="A199" s="33" t="n">
        <v>251230820</v>
      </c>
      <c r="B199" s="34" t="inlineStr">
        <is>
          <t>BÙI VĂN CƯỜNG</t>
        </is>
      </c>
      <c r="C199" s="34" t="inlineStr">
        <is>
          <t>Công nghệ thông tin 3 K66</t>
        </is>
      </c>
      <c r="D199" s="33" t="inlineStr">
        <is>
          <t>Năm 2</t>
        </is>
      </c>
      <c r="E199" s="34" t="inlineStr">
        <is>
          <t>Cấu trúc dữ liệu và giải thuật(3)</t>
        </is>
      </c>
      <c r="F199" s="33" t="n">
        <v>1.9</v>
      </c>
      <c r="G199" s="33" t="inlineStr">
        <is>
          <t>Thứ 2 (Ca Tối (18:00 - 20:00))</t>
        </is>
      </c>
    </row>
    <row r="200" ht="20" customHeight="1" s="18">
      <c r="A200" s="37" t="n">
        <v>251230820</v>
      </c>
      <c r="B200" s="38" t="inlineStr">
        <is>
          <t>BÙI VĂN CƯỜNG</t>
        </is>
      </c>
      <c r="C200" s="38" t="inlineStr">
        <is>
          <t>Công nghệ thông tin 3 K66</t>
        </is>
      </c>
      <c r="D200" s="37" t="inlineStr">
        <is>
          <t>Năm 3</t>
        </is>
      </c>
      <c r="E200" s="38" t="inlineStr">
        <is>
          <t>Thuật toán và ứng dụng(3)</t>
        </is>
      </c>
      <c r="F200" s="37" t="n">
        <v>1.9</v>
      </c>
      <c r="G200" s="37" t="inlineStr">
        <is>
          <t>Thứ 5 (Ca Tối (18:00 - 20:00))</t>
        </is>
      </c>
    </row>
    <row r="201" ht="20" customHeight="1" s="18">
      <c r="A201" s="33" t="n">
        <v>251230820</v>
      </c>
      <c r="B201" s="34" t="inlineStr">
        <is>
          <t>BÙI VĂN CƯỜNG</t>
        </is>
      </c>
      <c r="C201" s="34" t="inlineStr">
        <is>
          <t>Công nghệ thông tin 3 K66</t>
        </is>
      </c>
      <c r="D201" s="33" t="inlineStr">
        <is>
          <t>Năm 3</t>
        </is>
      </c>
      <c r="E201" s="34" t="inlineStr">
        <is>
          <t>Mạng máy tính(3)</t>
        </is>
      </c>
      <c r="F201" s="33" t="n">
        <v>1.9</v>
      </c>
      <c r="G201" s="33" t="inlineStr">
        <is>
          <t>Thứ 3 (Ca Tối (18:00 - 20:00))</t>
        </is>
      </c>
    </row>
    <row r="202" ht="20" customHeight="1" s="18">
      <c r="A202" s="37" t="n">
        <v>251230820</v>
      </c>
      <c r="B202" s="38" t="inlineStr">
        <is>
          <t>BÙI VĂN CƯỜNG</t>
        </is>
      </c>
      <c r="C202" s="38" t="inlineStr">
        <is>
          <t>Công nghệ thông tin 3 K66</t>
        </is>
      </c>
      <c r="D202" s="37" t="inlineStr">
        <is>
          <t>Năm 4</t>
        </is>
      </c>
      <c r="E202" s="38" t="inlineStr">
        <is>
          <t>Bảo vệ đồ án(10)</t>
        </is>
      </c>
      <c r="F202" s="37" t="n">
        <v>1.9</v>
      </c>
      <c r="G202" s="37" t="inlineStr">
        <is>
          <t>Thứ 6 (Ca Tối (18:00 - 20:00))</t>
        </is>
      </c>
    </row>
    <row r="203" ht="20" customHeight="1" s="18">
      <c r="A203" s="33" t="n">
        <v>251230823</v>
      </c>
      <c r="B203" s="34" t="inlineStr">
        <is>
          <t>NGUYỄN THÁI DOANH</t>
        </is>
      </c>
      <c r="C203" s="34" t="inlineStr">
        <is>
          <t>Công nghệ thông tin 3 K66</t>
        </is>
      </c>
      <c r="D203" s="33" t="inlineStr">
        <is>
          <t>Năm 1</t>
        </is>
      </c>
      <c r="E203" s="34" t="inlineStr">
        <is>
          <t>Đại số tuyến tính(3)</t>
        </is>
      </c>
      <c r="F203" s="33" t="n">
        <v>1.8</v>
      </c>
      <c r="G203" s="33" t="inlineStr">
        <is>
          <t>Thứ 4 (Ca Tối (18:00 - 20:00))</t>
        </is>
      </c>
    </row>
    <row r="204" ht="20" customHeight="1" s="18">
      <c r="A204" s="37" t="n">
        <v>251230823</v>
      </c>
      <c r="B204" s="38" t="inlineStr">
        <is>
          <t>NGUYỄN THÁI DOANH</t>
        </is>
      </c>
      <c r="C204" s="38" t="inlineStr">
        <is>
          <t>Công nghệ thông tin 3 K66</t>
        </is>
      </c>
      <c r="D204" s="37" t="inlineStr">
        <is>
          <t>Năm 3</t>
        </is>
      </c>
      <c r="E204" s="38" t="inlineStr">
        <is>
          <t>Lập trình trực quan(3)</t>
        </is>
      </c>
      <c r="F204" s="37" t="n">
        <v>1.9</v>
      </c>
      <c r="G204" s="37" t="inlineStr">
        <is>
          <t>Thứ 7 (Ca Tối (18:00 - 20:00))</t>
        </is>
      </c>
    </row>
    <row r="205" ht="20" customHeight="1" s="18">
      <c r="A205" s="33" t="n">
        <v>251230826</v>
      </c>
      <c r="B205" s="34" t="inlineStr">
        <is>
          <t>ĐINH VĂN PHAN DŨNG</t>
        </is>
      </c>
      <c r="C205" s="34" t="inlineStr">
        <is>
          <t>Công nghệ thông tin 3 K66</t>
        </is>
      </c>
      <c r="D205" s="33" t="inlineStr">
        <is>
          <t>Năm 1</t>
        </is>
      </c>
      <c r="E205" s="34" t="inlineStr">
        <is>
          <t>Triết Học Mác-lênin(3)</t>
        </is>
      </c>
      <c r="F205" s="33" t="n">
        <v>1.9</v>
      </c>
      <c r="G205" s="33" t="inlineStr">
        <is>
          <t>Thứ 5 (Ca Tối (18:00 - 20:00))</t>
        </is>
      </c>
    </row>
    <row r="206" ht="20" customHeight="1" s="18">
      <c r="A206" s="37" t="n">
        <v>251230826</v>
      </c>
      <c r="B206" s="38" t="inlineStr">
        <is>
          <t>ĐINH VĂN PHAN DŨNG</t>
        </is>
      </c>
      <c r="C206" s="38" t="inlineStr">
        <is>
          <t>Công nghệ thông tin 3 K66</t>
        </is>
      </c>
      <c r="D206" s="37" t="inlineStr">
        <is>
          <t>Năm 2</t>
        </is>
      </c>
      <c r="E206" s="38" t="inlineStr">
        <is>
          <t>Thiết kế web(3)</t>
        </is>
      </c>
      <c r="F206" s="37" t="n">
        <v>1.8</v>
      </c>
      <c r="G206" s="37" t="inlineStr">
        <is>
          <t>Thứ 6 (Ca Tối (18:00 - 20:00))</t>
        </is>
      </c>
    </row>
    <row r="207" ht="20" customHeight="1" s="18">
      <c r="A207" s="33" t="n">
        <v>251230824</v>
      </c>
      <c r="B207" s="34" t="inlineStr">
        <is>
          <t>MAI PHƯƠNG DUNG</t>
        </is>
      </c>
      <c r="C207" s="34" t="inlineStr">
        <is>
          <t>Công nghệ thông tin 3 K66</t>
        </is>
      </c>
      <c r="D207" s="33" t="inlineStr">
        <is>
          <t>Năm 1</t>
        </is>
      </c>
      <c r="E207" s="34" t="inlineStr">
        <is>
          <t>Tin đại cương(3)</t>
        </is>
      </c>
      <c r="F207" s="33" t="n">
        <v>1.9</v>
      </c>
      <c r="G207" s="33" t="inlineStr">
        <is>
          <t>Thứ 2 (Ca Tối (18:00 - 20:00))</t>
        </is>
      </c>
    </row>
    <row r="208" ht="20" customHeight="1" s="18">
      <c r="A208" s="37" t="n">
        <v>251230824</v>
      </c>
      <c r="B208" s="38" t="inlineStr">
        <is>
          <t>MAI PHƯƠNG DUNG</t>
        </is>
      </c>
      <c r="C208" s="38" t="inlineStr">
        <is>
          <t>Công nghệ thông tin 3 K66</t>
        </is>
      </c>
      <c r="D208" s="37" t="inlineStr">
        <is>
          <t>Năm 2</t>
        </is>
      </c>
      <c r="E208" s="38" t="inlineStr">
        <is>
          <t>Lập trình hướng đối tượng(3)</t>
        </is>
      </c>
      <c r="F208" s="37" t="n">
        <v>1.8</v>
      </c>
      <c r="G208" s="37" t="inlineStr">
        <is>
          <t>Thứ 5 (Ca Tối (18:00 - 20:00))</t>
        </is>
      </c>
    </row>
    <row r="209" ht="20" customHeight="1" s="18">
      <c r="A209" s="33" t="n">
        <v>251230824</v>
      </c>
      <c r="B209" s="34" t="inlineStr">
        <is>
          <t>MAI PHƯƠNG DUNG</t>
        </is>
      </c>
      <c r="C209" s="34" t="inlineStr">
        <is>
          <t>Công nghệ thông tin 3 K66</t>
        </is>
      </c>
      <c r="D209" s="33" t="inlineStr">
        <is>
          <t>Năm 3</t>
        </is>
      </c>
      <c r="E209" s="34" t="inlineStr">
        <is>
          <t>Thuật toán và ứng dụng(3)</t>
        </is>
      </c>
      <c r="F209" s="33" t="n">
        <v>1.9</v>
      </c>
      <c r="G209" s="33" t="inlineStr">
        <is>
          <t>Thứ 5 (Ca Tối (18:00 - 20:00))</t>
        </is>
      </c>
    </row>
    <row r="210" ht="20" customHeight="1" s="18">
      <c r="A210" s="37" t="n">
        <v>251230841</v>
      </c>
      <c r="B210" s="38" t="inlineStr">
        <is>
          <t>TRƯƠNG MẠNH ĐẠT</t>
        </is>
      </c>
      <c r="C210" s="38" t="inlineStr">
        <is>
          <t>Công nghệ thông tin 3 K66</t>
        </is>
      </c>
      <c r="D210" s="37" t="inlineStr">
        <is>
          <t>Năm 1</t>
        </is>
      </c>
      <c r="E210" s="38" t="inlineStr">
        <is>
          <t>Đại số tuyến tính(3)</t>
        </is>
      </c>
      <c r="F210" s="37" t="n">
        <v>1.6</v>
      </c>
      <c r="G210" s="37" t="inlineStr">
        <is>
          <t>Thứ 4 (Ca Tối (18:00 - 20:00))</t>
        </is>
      </c>
    </row>
    <row r="211" ht="20" customHeight="1" s="18">
      <c r="A211" s="33" t="n">
        <v>251230841</v>
      </c>
      <c r="B211" s="34" t="inlineStr">
        <is>
          <t>TRƯƠNG MẠNH ĐẠT</t>
        </is>
      </c>
      <c r="C211" s="34" t="inlineStr">
        <is>
          <t>Công nghệ thông tin 3 K66</t>
        </is>
      </c>
      <c r="D211" s="33" t="inlineStr">
        <is>
          <t>Năm 2</t>
        </is>
      </c>
      <c r="E211" s="34" t="inlineStr">
        <is>
          <t>Tư tưởng Hồ Chí Minh(2)</t>
        </is>
      </c>
      <c r="F211" s="33" t="n">
        <v>1.8</v>
      </c>
      <c r="G211" s="33" t="inlineStr">
        <is>
          <t>Thứ 3 (Ca Tối (18:00 - 20:00))</t>
        </is>
      </c>
    </row>
    <row r="212" ht="20" customHeight="1" s="18">
      <c r="A212" s="37" t="n">
        <v>251230843</v>
      </c>
      <c r="B212" s="38" t="inlineStr">
        <is>
          <t>TRẦN XUÂN ĐÔ</t>
        </is>
      </c>
      <c r="C212" s="38" t="inlineStr">
        <is>
          <t>Công nghệ thông tin 3 K66</t>
        </is>
      </c>
      <c r="D212" s="37" t="inlineStr">
        <is>
          <t>Năm 4</t>
        </is>
      </c>
      <c r="E212" s="38" t="inlineStr">
        <is>
          <t>Bảo vệ đồ án(10)</t>
        </is>
      </c>
      <c r="F212" s="37" t="n">
        <v>1.8</v>
      </c>
      <c r="G212" s="37" t="inlineStr">
        <is>
          <t>Thứ 6 (Ca Tối (18:00 - 20:00))</t>
        </is>
      </c>
    </row>
    <row r="213" ht="20" customHeight="1" s="18">
      <c r="A213" s="33" t="n">
        <v>251230847</v>
      </c>
      <c r="B213" s="34" t="inlineStr">
        <is>
          <t>MAI TIẾN ĐỨC</t>
        </is>
      </c>
      <c r="C213" s="34" t="inlineStr">
        <is>
          <t>Công nghệ thông tin 3 K66</t>
        </is>
      </c>
      <c r="D213" s="33" t="inlineStr">
        <is>
          <t>Năm 1</t>
        </is>
      </c>
      <c r="E213" s="34" t="inlineStr">
        <is>
          <t>Đại số tuyến tính(3)</t>
        </is>
      </c>
      <c r="F213" s="33" t="n">
        <v>1.3</v>
      </c>
      <c r="G213" s="33" t="inlineStr">
        <is>
          <t>Thứ 4 (Ca Tối (18:00 - 20:00))</t>
        </is>
      </c>
    </row>
    <row r="214" ht="20" customHeight="1" s="18">
      <c r="A214" s="37" t="n">
        <v>251230850</v>
      </c>
      <c r="B214" s="38" t="inlineStr">
        <is>
          <t>TRẦN PHẠM TRUNG ĐỨC</t>
        </is>
      </c>
      <c r="C214" s="38" t="inlineStr">
        <is>
          <t>Công nghệ thông tin 3 K66</t>
        </is>
      </c>
      <c r="D214" s="37" t="inlineStr">
        <is>
          <t>Năm 2</t>
        </is>
      </c>
      <c r="E214" s="38" t="inlineStr">
        <is>
          <t>Cấu trúc dữ liệu và giải thuật(3)</t>
        </is>
      </c>
      <c r="F214" s="37" t="n">
        <v>1.9</v>
      </c>
      <c r="G214" s="37" t="inlineStr">
        <is>
          <t>Thứ 2 (Ca Tối (18:00 - 20:00))</t>
        </is>
      </c>
    </row>
    <row r="215" ht="20" customHeight="1" s="18">
      <c r="A215" s="33" t="n">
        <v>251230850</v>
      </c>
      <c r="B215" s="34" t="inlineStr">
        <is>
          <t>TRẦN PHẠM TRUNG ĐỨC</t>
        </is>
      </c>
      <c r="C215" s="34" t="inlineStr">
        <is>
          <t>Công nghệ thông tin 3 K66</t>
        </is>
      </c>
      <c r="D215" s="33" t="inlineStr">
        <is>
          <t>Năm 3</t>
        </is>
      </c>
      <c r="E215" s="34" t="inlineStr">
        <is>
          <t>Lập trình trực quan(3)</t>
        </is>
      </c>
      <c r="F215" s="33" t="n">
        <v>1.8</v>
      </c>
      <c r="G215" s="33" t="inlineStr">
        <is>
          <t>Thứ 7 (Ca Tối (18:00 - 20:00))</t>
        </is>
      </c>
    </row>
    <row r="216" ht="20" customHeight="1" s="18">
      <c r="A216" s="37" t="n">
        <v>251230850</v>
      </c>
      <c r="B216" s="38" t="inlineStr">
        <is>
          <t>TRẦN PHẠM TRUNG ĐỨC</t>
        </is>
      </c>
      <c r="C216" s="38" t="inlineStr">
        <is>
          <t>Công nghệ thông tin 3 K66</t>
        </is>
      </c>
      <c r="D216" s="37" t="inlineStr">
        <is>
          <t>Năm 3</t>
        </is>
      </c>
      <c r="E216" s="38" t="inlineStr">
        <is>
          <t>Mạng máy tính(3)</t>
        </is>
      </c>
      <c r="F216" s="37" t="n">
        <v>1.9</v>
      </c>
      <c r="G216" s="37" t="inlineStr">
        <is>
          <t>Thứ 3 (Ca Tối (18:00 - 20:00))</t>
        </is>
      </c>
    </row>
    <row r="217" ht="20" customHeight="1" s="18">
      <c r="A217" s="33" t="n">
        <v>251210851</v>
      </c>
      <c r="B217" s="34" t="inlineStr">
        <is>
          <t>NGUYỄN THANH HÀ</t>
        </is>
      </c>
      <c r="C217" s="34" t="inlineStr">
        <is>
          <t>Công nghệ thông tin 3 K66</t>
        </is>
      </c>
      <c r="D217" s="33" t="inlineStr">
        <is>
          <t>Năm 1</t>
        </is>
      </c>
      <c r="E217" s="34" t="inlineStr">
        <is>
          <t>Đại số tuyến tính(3)</t>
        </is>
      </c>
      <c r="F217" s="33" t="n">
        <v>1.1</v>
      </c>
      <c r="G217" s="33" t="inlineStr">
        <is>
          <t>Thứ 4 (Ca Tối (18:00 - 20:00))</t>
        </is>
      </c>
    </row>
    <row r="218" ht="20" customHeight="1" s="18">
      <c r="A218" s="37" t="n">
        <v>251210851</v>
      </c>
      <c r="B218" s="38" t="inlineStr">
        <is>
          <t>NGUYỄN THANH HÀ</t>
        </is>
      </c>
      <c r="C218" s="38" t="inlineStr">
        <is>
          <t>Công nghệ thông tin 3 K66</t>
        </is>
      </c>
      <c r="D218" s="37" t="inlineStr">
        <is>
          <t>Năm 3</t>
        </is>
      </c>
      <c r="E218" s="38" t="inlineStr">
        <is>
          <t>Thuật toán và ứng dụng(3)</t>
        </is>
      </c>
      <c r="F218" s="37" t="n">
        <v>1.9</v>
      </c>
      <c r="G218" s="37" t="inlineStr">
        <is>
          <t>Thứ 5 (Ca Tối (18:00 - 20:00))</t>
        </is>
      </c>
    </row>
    <row r="219" ht="20" customHeight="1" s="18">
      <c r="A219" s="33" t="n">
        <v>251210851</v>
      </c>
      <c r="B219" s="34" t="inlineStr">
        <is>
          <t>NGUYỄN THANH HÀ</t>
        </is>
      </c>
      <c r="C219" s="34" t="inlineStr">
        <is>
          <t>Công nghệ thông tin 3 K66</t>
        </is>
      </c>
      <c r="D219" s="33" t="inlineStr">
        <is>
          <t>Năm 4</t>
        </is>
      </c>
      <c r="E219" s="34" t="inlineStr">
        <is>
          <t>Bảo vệ đồ án(10)</t>
        </is>
      </c>
      <c r="F219" s="33" t="n">
        <v>1.9</v>
      </c>
      <c r="G219" s="33" t="inlineStr">
        <is>
          <t>Thứ 6 (Ca Tối (18:00 - 20:00))</t>
        </is>
      </c>
    </row>
    <row r="220" ht="20" customHeight="1" s="18">
      <c r="A220" s="37" t="n">
        <v>251210853</v>
      </c>
      <c r="B220" s="38" t="inlineStr">
        <is>
          <t>NGUYỄN PHƯƠNG HẢI</t>
        </is>
      </c>
      <c r="C220" s="38" t="inlineStr">
        <is>
          <t>Công nghệ thông tin 3 K66</t>
        </is>
      </c>
      <c r="D220" s="37" t="inlineStr">
        <is>
          <t>Năm 2</t>
        </is>
      </c>
      <c r="E220" s="38" t="inlineStr">
        <is>
          <t>Tư tưởng Hồ Chí Minh(2)</t>
        </is>
      </c>
      <c r="F220" s="37" t="n">
        <v>1.9</v>
      </c>
      <c r="G220" s="37" t="inlineStr">
        <is>
          <t>Thứ 3 (Ca Tối (18:00 - 20:00))</t>
        </is>
      </c>
    </row>
    <row r="221" ht="20" customHeight="1" s="18">
      <c r="A221" s="33" t="n">
        <v>251210853</v>
      </c>
      <c r="B221" s="34" t="inlineStr">
        <is>
          <t>NGUYỄN PHƯƠNG HẢI</t>
        </is>
      </c>
      <c r="C221" s="34" t="inlineStr">
        <is>
          <t>Công nghệ thông tin 3 K66</t>
        </is>
      </c>
      <c r="D221" s="33" t="inlineStr">
        <is>
          <t>Năm 3</t>
        </is>
      </c>
      <c r="E221" s="34" t="inlineStr">
        <is>
          <t>Mạng máy tính(3)</t>
        </is>
      </c>
      <c r="F221" s="33" t="n">
        <v>1.8</v>
      </c>
      <c r="G221" s="33" t="inlineStr">
        <is>
          <t>Thứ 3 (Ca Tối (18:00 - 20:00))</t>
        </is>
      </c>
    </row>
    <row r="222" ht="20" customHeight="1" s="18">
      <c r="A222" s="37" t="n">
        <v>251230855</v>
      </c>
      <c r="B222" s="38" t="inlineStr">
        <is>
          <t>TRỊNH MINH HÀO</t>
        </is>
      </c>
      <c r="C222" s="38" t="inlineStr">
        <is>
          <t>Công nghệ thông tin 3 K66</t>
        </is>
      </c>
      <c r="D222" s="37" t="inlineStr">
        <is>
          <t>Năm 1</t>
        </is>
      </c>
      <c r="E222" s="38" t="inlineStr">
        <is>
          <t>Đại số tuyến tính(3)</t>
        </is>
      </c>
      <c r="F222" s="37" t="n">
        <v>1.4</v>
      </c>
      <c r="G222" s="37" t="inlineStr">
        <is>
          <t>Thứ 4 (Ca Tối (18:00 - 20:00))</t>
        </is>
      </c>
    </row>
    <row r="223" ht="20" customHeight="1" s="18">
      <c r="A223" s="33" t="n">
        <v>251210865</v>
      </c>
      <c r="B223" s="34" t="inlineStr">
        <is>
          <t>NGÔ KHÁNH HOÀNG</t>
        </is>
      </c>
      <c r="C223" s="34" t="inlineStr">
        <is>
          <t>Công nghệ thông tin 3 K66</t>
        </is>
      </c>
      <c r="D223" s="33" t="inlineStr">
        <is>
          <t>Năm 1</t>
        </is>
      </c>
      <c r="E223" s="34" t="inlineStr">
        <is>
          <t>Đại số tuyến tính(3)</t>
        </is>
      </c>
      <c r="F223" s="33" t="n">
        <v>1.6</v>
      </c>
      <c r="G223" s="33" t="inlineStr">
        <is>
          <t>Thứ 4 (Ca Tối (18:00 - 20:00))</t>
        </is>
      </c>
    </row>
    <row r="224" ht="20" customHeight="1" s="18">
      <c r="A224" s="37" t="n">
        <v>251210865</v>
      </c>
      <c r="B224" s="38" t="inlineStr">
        <is>
          <t>NGÔ KHÁNH HOÀNG</t>
        </is>
      </c>
      <c r="C224" s="38" t="inlineStr">
        <is>
          <t>Công nghệ thông tin 3 K66</t>
        </is>
      </c>
      <c r="D224" s="37" t="inlineStr">
        <is>
          <t>Năm 2</t>
        </is>
      </c>
      <c r="E224" s="38" t="inlineStr">
        <is>
          <t>Tư tưởng Hồ Chí Minh(2)</t>
        </is>
      </c>
      <c r="F224" s="37" t="n">
        <v>1.9</v>
      </c>
      <c r="G224" s="37" t="inlineStr">
        <is>
          <t>Thứ 3 (Ca Tối (18:00 - 20:00))</t>
        </is>
      </c>
    </row>
    <row r="225" ht="20" customHeight="1" s="18">
      <c r="A225" s="33" t="n">
        <v>251210870</v>
      </c>
      <c r="B225" s="34" t="inlineStr">
        <is>
          <t>BÙI VIỆT HÙNG</t>
        </is>
      </c>
      <c r="C225" s="34" t="inlineStr">
        <is>
          <t>Công nghệ thông tin 3 K66</t>
        </is>
      </c>
      <c r="D225" s="33" t="inlineStr">
        <is>
          <t>Năm 1</t>
        </is>
      </c>
      <c r="E225" s="34" t="inlineStr">
        <is>
          <t>Đại số tuyến tính(3)</t>
        </is>
      </c>
      <c r="F225" s="33" t="n">
        <v>0.5</v>
      </c>
      <c r="G225" s="33" t="inlineStr">
        <is>
          <t>Thứ 4 (Ca Tối (18:00 - 20:00))</t>
        </is>
      </c>
    </row>
    <row r="226" ht="20" customHeight="1" s="18">
      <c r="A226" s="37" t="n">
        <v>251210878</v>
      </c>
      <c r="B226" s="38" t="inlineStr">
        <is>
          <t>NGUYỄN HỒNG HƯNG</t>
        </is>
      </c>
      <c r="C226" s="38" t="inlineStr">
        <is>
          <t>Công nghệ thông tin 3 K66</t>
        </is>
      </c>
      <c r="D226" s="37" t="inlineStr">
        <is>
          <t>Năm 1</t>
        </is>
      </c>
      <c r="E226" s="38" t="inlineStr">
        <is>
          <t>Đại số tuyến tính(3)</t>
        </is>
      </c>
      <c r="F226" s="37" t="n">
        <v>0.3</v>
      </c>
      <c r="G226" s="37" t="inlineStr">
        <is>
          <t>Thứ 4 (Ca Tối (18:00 - 20:00))</t>
        </is>
      </c>
    </row>
    <row r="227" ht="20" customHeight="1" s="18">
      <c r="A227" s="33" t="n">
        <v>251210878</v>
      </c>
      <c r="B227" s="34" t="inlineStr">
        <is>
          <t>NGUYỄN HỒNG HƯNG</t>
        </is>
      </c>
      <c r="C227" s="34" t="inlineStr">
        <is>
          <t>Công nghệ thông tin 3 K66</t>
        </is>
      </c>
      <c r="D227" s="33" t="inlineStr">
        <is>
          <t>Năm 3</t>
        </is>
      </c>
      <c r="E227" s="34" t="inlineStr">
        <is>
          <t>Lập trình Web(3)</t>
        </is>
      </c>
      <c r="F227" s="33" t="n">
        <v>1.9</v>
      </c>
      <c r="G227" s="33" t="inlineStr">
        <is>
          <t>Thứ 6 (Ca Tối (18:00 - 20:00))</t>
        </is>
      </c>
    </row>
    <row r="228" ht="20" customHeight="1" s="18">
      <c r="A228" s="37" t="n">
        <v>251210878</v>
      </c>
      <c r="B228" s="38" t="inlineStr">
        <is>
          <t>NGUYỄN HỒNG HƯNG</t>
        </is>
      </c>
      <c r="C228" s="38" t="inlineStr">
        <is>
          <t>Công nghệ thông tin 3 K66</t>
        </is>
      </c>
      <c r="D228" s="37" t="inlineStr">
        <is>
          <t>Năm 3</t>
        </is>
      </c>
      <c r="E228" s="38" t="inlineStr">
        <is>
          <t>Thuật toán và ứng dụng(3)</t>
        </is>
      </c>
      <c r="F228" s="37" t="n">
        <v>1.8</v>
      </c>
      <c r="G228" s="37" t="inlineStr">
        <is>
          <t>Thứ 5 (Ca Tối (18:00 - 20:00))</t>
        </is>
      </c>
    </row>
    <row r="229" ht="20" customHeight="1" s="18">
      <c r="A229" s="33" t="n">
        <v>251230879</v>
      </c>
      <c r="B229" s="34" t="inlineStr">
        <is>
          <t>NGUYỄN QUANG HƯNG</t>
        </is>
      </c>
      <c r="C229" s="34" t="inlineStr">
        <is>
          <t>Công nghệ thông tin 3 K66</t>
        </is>
      </c>
      <c r="D229" s="33" t="inlineStr">
        <is>
          <t>Năm 2</t>
        </is>
      </c>
      <c r="E229" s="34" t="inlineStr">
        <is>
          <t>Lập trình hướng đối tượng(3)</t>
        </is>
      </c>
      <c r="F229" s="33" t="n">
        <v>1.8</v>
      </c>
      <c r="G229" s="33" t="inlineStr">
        <is>
          <t>Thứ 5 (Ca Tối (18:00 - 20:00))</t>
        </is>
      </c>
    </row>
    <row r="230" ht="20" customHeight="1" s="18">
      <c r="A230" s="37" t="n">
        <v>251210880</v>
      </c>
      <c r="B230" s="38" t="inlineStr">
        <is>
          <t>PHẠM GIA HƯNG</t>
        </is>
      </c>
      <c r="C230" s="38" t="inlineStr">
        <is>
          <t>Công nghệ thông tin 3 K66</t>
        </is>
      </c>
      <c r="D230" s="37" t="inlineStr">
        <is>
          <t>Năm 3</t>
        </is>
      </c>
      <c r="E230" s="38" t="inlineStr">
        <is>
          <t>Lập trình Web(3)</t>
        </is>
      </c>
      <c r="F230" s="37" t="n">
        <v>1.9</v>
      </c>
      <c r="G230" s="37" t="inlineStr">
        <is>
          <t>Thứ 6 (Ca Tối (18:00 - 20:00))</t>
        </is>
      </c>
    </row>
    <row r="231" ht="20" customHeight="1" s="18">
      <c r="A231" s="33" t="n">
        <v>251210880</v>
      </c>
      <c r="B231" s="34" t="inlineStr">
        <is>
          <t>PHẠM GIA HƯNG</t>
        </is>
      </c>
      <c r="C231" s="34" t="inlineStr">
        <is>
          <t>Công nghệ thông tin 3 K66</t>
        </is>
      </c>
      <c r="D231" s="33" t="inlineStr">
        <is>
          <t>Năm 3</t>
        </is>
      </c>
      <c r="E231" s="34" t="inlineStr">
        <is>
          <t>Lập trình trực quan(3)</t>
        </is>
      </c>
      <c r="F231" s="33" t="n">
        <v>1.8</v>
      </c>
      <c r="G231" s="33" t="inlineStr">
        <is>
          <t>Thứ 7 (Ca Tối (18:00 - 20:00))</t>
        </is>
      </c>
    </row>
    <row r="232" ht="20" customHeight="1" s="18">
      <c r="A232" s="37" t="n">
        <v>251210873</v>
      </c>
      <c r="B232" s="38" t="inlineStr">
        <is>
          <t>TRẦN QUỐC HUY</t>
        </is>
      </c>
      <c r="C232" s="38" t="inlineStr">
        <is>
          <t>Công nghệ thông tin 3 K66</t>
        </is>
      </c>
      <c r="D232" s="37" t="inlineStr">
        <is>
          <t>Năm 1</t>
        </is>
      </c>
      <c r="E232" s="38" t="inlineStr">
        <is>
          <t>Giải tích(2)</t>
        </is>
      </c>
      <c r="F232" s="37" t="n">
        <v>1.9</v>
      </c>
      <c r="G232" s="37" t="inlineStr">
        <is>
          <t>Thứ 7 (Ca Tối (18:00 - 20:00))</t>
        </is>
      </c>
    </row>
    <row r="233" ht="20" customHeight="1" s="18">
      <c r="A233" s="33" t="n">
        <v>251210873</v>
      </c>
      <c r="B233" s="34" t="inlineStr">
        <is>
          <t>TRẦN QUỐC HUY</t>
        </is>
      </c>
      <c r="C233" s="34" t="inlineStr">
        <is>
          <t>Công nghệ thông tin 3 K66</t>
        </is>
      </c>
      <c r="D233" s="33" t="inlineStr">
        <is>
          <t>Năm 1</t>
        </is>
      </c>
      <c r="E233" s="34" t="inlineStr">
        <is>
          <t>Đại số tuyến tính(3)</t>
        </is>
      </c>
      <c r="F233" s="33" t="n">
        <v>0.2</v>
      </c>
      <c r="G233" s="33" t="inlineStr">
        <is>
          <t>Thứ 4 (Ca Tối (18:00 - 20:00))</t>
        </is>
      </c>
    </row>
    <row r="234" ht="20" customHeight="1" s="18">
      <c r="A234" s="37" t="n">
        <v>251230887</v>
      </c>
      <c r="B234" s="38" t="inlineStr">
        <is>
          <t>NGUYỄN QUỐC KHÁNH</t>
        </is>
      </c>
      <c r="C234" s="38" t="inlineStr">
        <is>
          <t>Công nghệ thông tin 3 K66</t>
        </is>
      </c>
      <c r="D234" s="37" t="inlineStr">
        <is>
          <t>Năm 1</t>
        </is>
      </c>
      <c r="E234" s="38" t="inlineStr">
        <is>
          <t>Giải tích(2)</t>
        </is>
      </c>
      <c r="F234" s="37" t="n">
        <v>1.9</v>
      </c>
      <c r="G234" s="37" t="inlineStr">
        <is>
          <t>Thứ 7 (Ca Tối (18:00 - 20:00))</t>
        </is>
      </c>
    </row>
    <row r="235" ht="20" customHeight="1" s="18">
      <c r="A235" s="33" t="n">
        <v>251230887</v>
      </c>
      <c r="B235" s="34" t="inlineStr">
        <is>
          <t>NGUYỄN QUỐC KHÁNH</t>
        </is>
      </c>
      <c r="C235" s="34" t="inlineStr">
        <is>
          <t>Công nghệ thông tin 3 K66</t>
        </is>
      </c>
      <c r="D235" s="33" t="inlineStr">
        <is>
          <t>Năm 1</t>
        </is>
      </c>
      <c r="E235" s="34" t="inlineStr">
        <is>
          <t>Đại số tuyến tính(3)</t>
        </is>
      </c>
      <c r="F235" s="33" t="n">
        <v>0.8</v>
      </c>
      <c r="G235" s="33" t="inlineStr">
        <is>
          <t>Thứ 4 (Ca Tối (18:00 - 20:00))</t>
        </is>
      </c>
    </row>
    <row r="236" ht="20" customHeight="1" s="18">
      <c r="A236" s="37" t="n">
        <v>251210893</v>
      </c>
      <c r="B236" s="38" t="inlineStr">
        <is>
          <t>NGUYỄN ĐĂNG KHÔI</t>
        </is>
      </c>
      <c r="C236" s="38" t="inlineStr">
        <is>
          <t>Công nghệ thông tin 3 K66</t>
        </is>
      </c>
      <c r="D236" s="37" t="inlineStr">
        <is>
          <t>Năm 1</t>
        </is>
      </c>
      <c r="E236" s="38" t="inlineStr">
        <is>
          <t>Đại số tuyến tính(3)</t>
        </is>
      </c>
      <c r="F236" s="37" t="n">
        <v>1.5</v>
      </c>
      <c r="G236" s="37" t="inlineStr">
        <is>
          <t>Thứ 4 (Ca Tối (18:00 - 20:00))</t>
        </is>
      </c>
    </row>
    <row r="237" ht="20" customHeight="1" s="18">
      <c r="A237" s="33" t="n">
        <v>251230894</v>
      </c>
      <c r="B237" s="34" t="inlineStr">
        <is>
          <t>NGUYỄN NGỌC NGUYÊN KHÔI</t>
        </is>
      </c>
      <c r="C237" s="34" t="inlineStr">
        <is>
          <t>Công nghệ thông tin 3 K66</t>
        </is>
      </c>
      <c r="D237" s="33" t="inlineStr">
        <is>
          <t>Năm 1</t>
        </is>
      </c>
      <c r="E237" s="34" t="inlineStr">
        <is>
          <t>Giải tích(2)</t>
        </is>
      </c>
      <c r="F237" s="33" t="n">
        <v>1.9</v>
      </c>
      <c r="G237" s="33" t="inlineStr">
        <is>
          <t>Thứ 7 (Ca Tối (18:00 - 20:00))</t>
        </is>
      </c>
    </row>
    <row r="238" ht="20" customHeight="1" s="18">
      <c r="A238" s="37" t="n">
        <v>251230894</v>
      </c>
      <c r="B238" s="38" t="inlineStr">
        <is>
          <t>NGUYỄN NGỌC NGUYÊN KHÔI</t>
        </is>
      </c>
      <c r="C238" s="38" t="inlineStr">
        <is>
          <t>Công nghệ thông tin 3 K66</t>
        </is>
      </c>
      <c r="D238" s="37" t="inlineStr">
        <is>
          <t>Năm 3</t>
        </is>
      </c>
      <c r="E238" s="38" t="inlineStr">
        <is>
          <t>Lập trình trực quan(3)</t>
        </is>
      </c>
      <c r="F238" s="37" t="n">
        <v>1.8</v>
      </c>
      <c r="G238" s="37" t="inlineStr">
        <is>
          <t>Thứ 7 (Ca Tối (18:00 - 20:00))</t>
        </is>
      </c>
    </row>
    <row r="239" ht="20" customHeight="1" s="18">
      <c r="A239" s="33" t="n">
        <v>251230903</v>
      </c>
      <c r="B239" s="34" t="inlineStr">
        <is>
          <t>TẠ DUY LINH</t>
        </is>
      </c>
      <c r="C239" s="34" t="inlineStr">
        <is>
          <t>Công nghệ thông tin 3 K66</t>
        </is>
      </c>
      <c r="D239" s="33" t="inlineStr">
        <is>
          <t>Năm 1</t>
        </is>
      </c>
      <c r="E239" s="34" t="inlineStr">
        <is>
          <t>Đại số tuyến tính(3)</t>
        </is>
      </c>
      <c r="F239" s="33" t="n">
        <v>1.2</v>
      </c>
      <c r="G239" s="33" t="inlineStr">
        <is>
          <t>Thứ 4 (Ca Tối (18:00 - 20:00))</t>
        </is>
      </c>
    </row>
    <row r="240" ht="20" customHeight="1" s="18">
      <c r="A240" s="37" t="n">
        <v>251210904</v>
      </c>
      <c r="B240" s="38" t="inlineStr">
        <is>
          <t>BÙI THIỆN LONG</t>
        </is>
      </c>
      <c r="C240" s="38" t="inlineStr">
        <is>
          <t>Công nghệ thông tin 3 K66</t>
        </is>
      </c>
      <c r="D240" s="37" t="inlineStr">
        <is>
          <t>Năm 1</t>
        </is>
      </c>
      <c r="E240" s="38" t="inlineStr">
        <is>
          <t>Đại số tuyến tính(3)</t>
        </is>
      </c>
      <c r="F240" s="37" t="n">
        <v>0.8</v>
      </c>
      <c r="G240" s="37" t="inlineStr">
        <is>
          <t>Thứ 4 (Ca Tối (18:00 - 20:00))</t>
        </is>
      </c>
    </row>
    <row r="241" ht="20" customHeight="1" s="18">
      <c r="A241" s="33" t="n">
        <v>251230905</v>
      </c>
      <c r="B241" s="34" t="inlineStr">
        <is>
          <t>CÔNG HOÀNG LONG</t>
        </is>
      </c>
      <c r="C241" s="34" t="inlineStr">
        <is>
          <t>Công nghệ thông tin 3 K66</t>
        </is>
      </c>
      <c r="D241" s="33" t="inlineStr">
        <is>
          <t>Năm 1</t>
        </is>
      </c>
      <c r="E241" s="34" t="inlineStr">
        <is>
          <t>Tin đại cương(3)</t>
        </is>
      </c>
      <c r="F241" s="33" t="n">
        <v>1.8</v>
      </c>
      <c r="G241" s="33" t="inlineStr">
        <is>
          <t>Thứ 2 (Ca Tối (18:00 - 20:00))</t>
        </is>
      </c>
    </row>
    <row r="242" ht="20" customHeight="1" s="18">
      <c r="A242" s="37" t="n">
        <v>251230905</v>
      </c>
      <c r="B242" s="38" t="inlineStr">
        <is>
          <t>CÔNG HOÀNG LONG</t>
        </is>
      </c>
      <c r="C242" s="38" t="inlineStr">
        <is>
          <t>Công nghệ thông tin 3 K66</t>
        </is>
      </c>
      <c r="D242" s="37" t="inlineStr">
        <is>
          <t>Năm 1</t>
        </is>
      </c>
      <c r="E242" s="38" t="inlineStr">
        <is>
          <t>Đại số tuyến tính(3)</t>
        </is>
      </c>
      <c r="F242" s="37" t="n">
        <v>0.5</v>
      </c>
      <c r="G242" s="37" t="inlineStr">
        <is>
          <t>Thứ 4 (Ca Tối (18:00 - 20:00))</t>
        </is>
      </c>
    </row>
    <row r="243" ht="20" customHeight="1" s="18">
      <c r="A243" s="33" t="n">
        <v>251230905</v>
      </c>
      <c r="B243" s="34" t="inlineStr">
        <is>
          <t>CÔNG HOÀNG LONG</t>
        </is>
      </c>
      <c r="C243" s="34" t="inlineStr">
        <is>
          <t>Công nghệ thông tin 3 K66</t>
        </is>
      </c>
      <c r="D243" s="33" t="inlineStr">
        <is>
          <t>Năm 2</t>
        </is>
      </c>
      <c r="E243" s="34" t="inlineStr">
        <is>
          <t>Lập trình hướng đối tượng(3)</t>
        </is>
      </c>
      <c r="F243" s="33" t="n">
        <v>1.9</v>
      </c>
      <c r="G243" s="33" t="inlineStr">
        <is>
          <t>Thứ 5 (Ca Tối (18:00 - 20:00))</t>
        </is>
      </c>
    </row>
    <row r="244" ht="20" customHeight="1" s="18">
      <c r="A244" s="37" t="n">
        <v>251230905</v>
      </c>
      <c r="B244" s="38" t="inlineStr">
        <is>
          <t>CÔNG HOÀNG LONG</t>
        </is>
      </c>
      <c r="C244" s="38" t="inlineStr">
        <is>
          <t>Công nghệ thông tin 3 K66</t>
        </is>
      </c>
      <c r="D244" s="37" t="inlineStr">
        <is>
          <t>Năm 3</t>
        </is>
      </c>
      <c r="E244" s="38" t="inlineStr">
        <is>
          <t>Lập trình Web(3)</t>
        </is>
      </c>
      <c r="F244" s="37" t="n">
        <v>1.8</v>
      </c>
      <c r="G244" s="37" t="inlineStr">
        <is>
          <t>Thứ 6 (Ca Tối (18:00 - 20:00))</t>
        </is>
      </c>
    </row>
    <row r="245" ht="20" customHeight="1" s="18">
      <c r="A245" s="33" t="n">
        <v>251230907</v>
      </c>
      <c r="B245" s="34" t="inlineStr">
        <is>
          <t>ĐẶNG THÀNH LONG</t>
        </is>
      </c>
      <c r="C245" s="34" t="inlineStr">
        <is>
          <t>Công nghệ thông tin 3 K66</t>
        </is>
      </c>
      <c r="D245" s="33" t="inlineStr">
        <is>
          <t>Năm 2</t>
        </is>
      </c>
      <c r="E245" s="34" t="inlineStr">
        <is>
          <t>Tư tưởng Hồ Chí Minh(2)</t>
        </is>
      </c>
      <c r="F245" s="33" t="n">
        <v>1.8</v>
      </c>
      <c r="G245" s="33" t="inlineStr">
        <is>
          <t>Thứ 3 (Ca Tối (18:00 - 20:00))</t>
        </is>
      </c>
    </row>
    <row r="246" ht="20" customHeight="1" s="18">
      <c r="A246" s="37" t="n">
        <v>251230912</v>
      </c>
      <c r="B246" s="38" t="inlineStr">
        <is>
          <t>DƯƠNG DOÃN LƯỢNG</t>
        </is>
      </c>
      <c r="C246" s="38" t="inlineStr">
        <is>
          <t>Công nghệ thông tin 3 K66</t>
        </is>
      </c>
      <c r="D246" s="37" t="inlineStr">
        <is>
          <t>Năm 2</t>
        </is>
      </c>
      <c r="E246" s="38" t="inlineStr">
        <is>
          <t>Cấu trúc dữ liệu và giải thuật(3)</t>
        </is>
      </c>
      <c r="F246" s="37" t="n">
        <v>1.9</v>
      </c>
      <c r="G246" s="37" t="inlineStr">
        <is>
          <t>Thứ 2 (Ca Tối (18:00 - 20:00))</t>
        </is>
      </c>
    </row>
    <row r="247" ht="20" customHeight="1" s="18">
      <c r="A247" s="33" t="n">
        <v>251230912</v>
      </c>
      <c r="B247" s="34" t="inlineStr">
        <is>
          <t>DƯƠNG DOÃN LƯỢNG</t>
        </is>
      </c>
      <c r="C247" s="34" t="inlineStr">
        <is>
          <t>Công nghệ thông tin 3 K66</t>
        </is>
      </c>
      <c r="D247" s="33" t="inlineStr">
        <is>
          <t>Năm 3</t>
        </is>
      </c>
      <c r="E247" s="34" t="inlineStr">
        <is>
          <t>Mạng máy tính(3)</t>
        </is>
      </c>
      <c r="F247" s="33" t="n">
        <v>1.8</v>
      </c>
      <c r="G247" s="33" t="inlineStr">
        <is>
          <t>Thứ 3 (Ca Tối (18:00 - 20:00))</t>
        </is>
      </c>
    </row>
    <row r="248" ht="20" customHeight="1" s="18">
      <c r="A248" s="37" t="n">
        <v>251230915</v>
      </c>
      <c r="B248" s="38" t="inlineStr">
        <is>
          <t>LÊ TIẾN MẠNH</t>
        </is>
      </c>
      <c r="C248" s="38" t="inlineStr">
        <is>
          <t>Công nghệ thông tin 3 K66</t>
        </is>
      </c>
      <c r="D248" s="37" t="inlineStr">
        <is>
          <t>Năm 1</t>
        </is>
      </c>
      <c r="E248" s="38" t="inlineStr">
        <is>
          <t>Triết Học Mác-lênin(3)</t>
        </is>
      </c>
      <c r="F248" s="37" t="n">
        <v>1.9</v>
      </c>
      <c r="G248" s="37" t="inlineStr">
        <is>
          <t>Thứ 5 (Ca Tối (18:00 - 20:00))</t>
        </is>
      </c>
    </row>
    <row r="249" ht="20" customHeight="1" s="18">
      <c r="A249" s="33" t="n">
        <v>251230915</v>
      </c>
      <c r="B249" s="34" t="inlineStr">
        <is>
          <t>LÊ TIẾN MẠNH</t>
        </is>
      </c>
      <c r="C249" s="34" t="inlineStr">
        <is>
          <t>Công nghệ thông tin 3 K66</t>
        </is>
      </c>
      <c r="D249" s="33" t="inlineStr">
        <is>
          <t>Năm 1</t>
        </is>
      </c>
      <c r="E249" s="34" t="inlineStr">
        <is>
          <t>Đại số tuyến tính(3)</t>
        </is>
      </c>
      <c r="F249" s="33" t="n">
        <v>0.9</v>
      </c>
      <c r="G249" s="33" t="inlineStr">
        <is>
          <t>Thứ 4 (Ca Tối (18:00 - 20:00))</t>
        </is>
      </c>
    </row>
    <row r="250" ht="20" customHeight="1" s="18">
      <c r="A250" s="37" t="n">
        <v>251230915</v>
      </c>
      <c r="B250" s="38" t="inlineStr">
        <is>
          <t>LÊ TIẾN MẠNH</t>
        </is>
      </c>
      <c r="C250" s="38" t="inlineStr">
        <is>
          <t>Công nghệ thông tin 3 K66</t>
        </is>
      </c>
      <c r="D250" s="37" t="inlineStr">
        <is>
          <t>Năm 3</t>
        </is>
      </c>
      <c r="E250" s="38" t="inlineStr">
        <is>
          <t>Lập trình trực quan(3)</t>
        </is>
      </c>
      <c r="F250" s="37" t="n">
        <v>1.9</v>
      </c>
      <c r="G250" s="37" t="inlineStr">
        <is>
          <t>Thứ 7 (Ca Tối (18:00 - 20:00))</t>
        </is>
      </c>
    </row>
    <row r="251" ht="20" customHeight="1" s="18">
      <c r="A251" s="33" t="n">
        <v>241230792</v>
      </c>
      <c r="B251" s="34" t="inlineStr">
        <is>
          <t>Bùi Nhật Minh</t>
        </is>
      </c>
      <c r="C251" s="34" t="inlineStr">
        <is>
          <t>Công nghệ thông tin 3 K66</t>
        </is>
      </c>
      <c r="D251" s="33" t="inlineStr">
        <is>
          <t>Năm 1</t>
        </is>
      </c>
      <c r="E251" s="34" t="inlineStr">
        <is>
          <t>Đại số tuyến tính(3)</t>
        </is>
      </c>
      <c r="F251" s="33" t="n">
        <v>0.3</v>
      </c>
      <c r="G251" s="33" t="inlineStr">
        <is>
          <t>Thứ 4 (Ca Tối (18:00 - 20:00))</t>
        </is>
      </c>
    </row>
    <row r="252" ht="20" customHeight="1" s="18">
      <c r="A252" s="37" t="n">
        <v>241230792</v>
      </c>
      <c r="B252" s="38" t="inlineStr">
        <is>
          <t>Bùi Nhật Minh</t>
        </is>
      </c>
      <c r="C252" s="38" t="inlineStr">
        <is>
          <t>Công nghệ thông tin 3 K66</t>
        </is>
      </c>
      <c r="D252" s="37" t="inlineStr">
        <is>
          <t>Năm 4</t>
        </is>
      </c>
      <c r="E252" s="38" t="inlineStr">
        <is>
          <t>Bảo vệ đồ án(10)</t>
        </is>
      </c>
      <c r="F252" s="37" t="n">
        <v>1.9</v>
      </c>
      <c r="G252" s="37" t="inlineStr">
        <is>
          <t>Thứ 6 (Ca Tối (18:00 - 20:00))</t>
        </is>
      </c>
    </row>
    <row r="253" ht="20" customHeight="1" s="18">
      <c r="A253" s="33" t="n">
        <v>251210920</v>
      </c>
      <c r="B253" s="34" t="inlineStr">
        <is>
          <t>ĐÀM QUANG MINH</t>
        </is>
      </c>
      <c r="C253" s="34" t="inlineStr">
        <is>
          <t>Công nghệ thông tin 3 K66</t>
        </is>
      </c>
      <c r="D253" s="33" t="inlineStr">
        <is>
          <t>Năm 1</t>
        </is>
      </c>
      <c r="E253" s="34" t="inlineStr">
        <is>
          <t>Triết Học Mác-lênin(3)</t>
        </is>
      </c>
      <c r="F253" s="33" t="n">
        <v>1.9</v>
      </c>
      <c r="G253" s="33" t="inlineStr">
        <is>
          <t>Thứ 5 (Ca Tối (18:00 - 20:00))</t>
        </is>
      </c>
    </row>
    <row r="254" ht="20" customHeight="1" s="18">
      <c r="A254" s="37" t="n">
        <v>251210920</v>
      </c>
      <c r="B254" s="38" t="inlineStr">
        <is>
          <t>ĐÀM QUANG MINH</t>
        </is>
      </c>
      <c r="C254" s="38" t="inlineStr">
        <is>
          <t>Công nghệ thông tin 3 K66</t>
        </is>
      </c>
      <c r="D254" s="37" t="inlineStr">
        <is>
          <t>Năm 1</t>
        </is>
      </c>
      <c r="E254" s="38" t="inlineStr">
        <is>
          <t>Tin đại cương(3)</t>
        </is>
      </c>
      <c r="F254" s="37" t="n">
        <v>1.8</v>
      </c>
      <c r="G254" s="37" t="inlineStr">
        <is>
          <t>Thứ 2 (Ca Tối (18:00 - 20:00))</t>
        </is>
      </c>
    </row>
    <row r="255" ht="20" customHeight="1" s="18">
      <c r="A255" s="33" t="n">
        <v>251210921</v>
      </c>
      <c r="B255" s="34" t="inlineStr">
        <is>
          <t>ĐẶNG ĐÌNH MINH</t>
        </is>
      </c>
      <c r="C255" s="34" t="inlineStr">
        <is>
          <t>Công nghệ thông tin 3 K66</t>
        </is>
      </c>
      <c r="D255" s="33" t="inlineStr">
        <is>
          <t>Năm 1</t>
        </is>
      </c>
      <c r="E255" s="34" t="inlineStr">
        <is>
          <t>Đại số tuyến tính(3)</t>
        </is>
      </c>
      <c r="F255" s="33" t="n">
        <v>0.2</v>
      </c>
      <c r="G255" s="33" t="inlineStr">
        <is>
          <t>Thứ 4 (Ca Tối (18:00 - 20:00))</t>
        </is>
      </c>
    </row>
    <row r="256" ht="20" customHeight="1" s="18">
      <c r="A256" s="37" t="n">
        <v>251210921</v>
      </c>
      <c r="B256" s="38" t="inlineStr">
        <is>
          <t>ĐẶNG ĐÌNH MINH</t>
        </is>
      </c>
      <c r="C256" s="38" t="inlineStr">
        <is>
          <t>Công nghệ thông tin 3 K66</t>
        </is>
      </c>
      <c r="D256" s="37" t="inlineStr">
        <is>
          <t>Năm 2</t>
        </is>
      </c>
      <c r="E256" s="38" t="inlineStr">
        <is>
          <t>Cấu trúc dữ liệu và giải thuật(3)</t>
        </is>
      </c>
      <c r="F256" s="37" t="n">
        <v>1.8</v>
      </c>
      <c r="G256" s="37" t="inlineStr">
        <is>
          <t>Thứ 2 (Ca Tối (18:00 - 20:00))</t>
        </is>
      </c>
    </row>
    <row r="257" ht="20" customHeight="1" s="18">
      <c r="A257" s="33" t="n">
        <v>251210921</v>
      </c>
      <c r="B257" s="34" t="inlineStr">
        <is>
          <t>ĐẶNG ĐÌNH MINH</t>
        </is>
      </c>
      <c r="C257" s="34" t="inlineStr">
        <is>
          <t>Công nghệ thông tin 3 K66</t>
        </is>
      </c>
      <c r="D257" s="33" t="inlineStr">
        <is>
          <t>Năm 3</t>
        </is>
      </c>
      <c r="E257" s="34" t="inlineStr">
        <is>
          <t>Mạng máy tính(3)</t>
        </is>
      </c>
      <c r="F257" s="33" t="n">
        <v>1.8</v>
      </c>
      <c r="G257" s="33" t="inlineStr">
        <is>
          <t>Thứ 3 (Ca Tối (18:00 - 20:00))</t>
        </is>
      </c>
    </row>
    <row r="258" ht="20" customHeight="1" s="18">
      <c r="A258" s="37" t="n">
        <v>251230922</v>
      </c>
      <c r="B258" s="38" t="inlineStr">
        <is>
          <t>HOÀNG VĂN MINH</t>
        </is>
      </c>
      <c r="C258" s="38" t="inlineStr">
        <is>
          <t>Công nghệ thông tin 3 K66</t>
        </is>
      </c>
      <c r="D258" s="37" t="inlineStr">
        <is>
          <t>Năm 1</t>
        </is>
      </c>
      <c r="E258" s="38" t="inlineStr">
        <is>
          <t>Đại số tuyến tính(3)</t>
        </is>
      </c>
      <c r="F258" s="37" t="n">
        <v>1.2</v>
      </c>
      <c r="G258" s="37" t="inlineStr">
        <is>
          <t>Thứ 4 (Ca Tối (18:00 - 20:00))</t>
        </is>
      </c>
    </row>
    <row r="259" ht="20" customHeight="1" s="18">
      <c r="A259" s="33" t="n">
        <v>251230922</v>
      </c>
      <c r="B259" s="34" t="inlineStr">
        <is>
          <t>HOÀNG VĂN MINH</t>
        </is>
      </c>
      <c r="C259" s="34" t="inlineStr">
        <is>
          <t>Công nghệ thông tin 3 K66</t>
        </is>
      </c>
      <c r="D259" s="33" t="inlineStr">
        <is>
          <t>Năm 3</t>
        </is>
      </c>
      <c r="E259" s="34" t="inlineStr">
        <is>
          <t>Thuật toán và ứng dụng(3)</t>
        </is>
      </c>
      <c r="F259" s="33" t="n">
        <v>1.8</v>
      </c>
      <c r="G259" s="33" t="inlineStr">
        <is>
          <t>Thứ 5 (Ca Tối (18:00 - 20:00))</t>
        </is>
      </c>
    </row>
    <row r="260" ht="20" customHeight="1" s="18">
      <c r="A260" s="37" t="n">
        <v>251230923</v>
      </c>
      <c r="B260" s="38" t="inlineStr">
        <is>
          <t>PHẠM ĐĂNG MINH</t>
        </is>
      </c>
      <c r="C260" s="38" t="inlineStr">
        <is>
          <t>Công nghệ thông tin 3 K66</t>
        </is>
      </c>
      <c r="D260" s="37" t="inlineStr">
        <is>
          <t>Năm 1</t>
        </is>
      </c>
      <c r="E260" s="38" t="inlineStr">
        <is>
          <t>Giải tích(2)</t>
        </is>
      </c>
      <c r="F260" s="37" t="n">
        <v>1.8</v>
      </c>
      <c r="G260" s="37" t="inlineStr">
        <is>
          <t>Thứ 7 (Ca Tối (18:00 - 20:00))</t>
        </is>
      </c>
    </row>
    <row r="261" ht="20" customHeight="1" s="18">
      <c r="A261" s="33" t="n">
        <v>251230923</v>
      </c>
      <c r="B261" s="34" t="inlineStr">
        <is>
          <t>PHẠM ĐĂNG MINH</t>
        </is>
      </c>
      <c r="C261" s="34" t="inlineStr">
        <is>
          <t>Công nghệ thông tin 3 K66</t>
        </is>
      </c>
      <c r="D261" s="33" t="inlineStr">
        <is>
          <t>Năm 3</t>
        </is>
      </c>
      <c r="E261" s="34" t="inlineStr">
        <is>
          <t>Lập trình Web(3)</t>
        </is>
      </c>
      <c r="F261" s="33" t="n">
        <v>1.8</v>
      </c>
      <c r="G261" s="33" t="inlineStr">
        <is>
          <t>Thứ 6 (Ca Tối (18:00 - 20:00))</t>
        </is>
      </c>
    </row>
    <row r="262" ht="20" customHeight="1" s="18">
      <c r="A262" s="37" t="n">
        <v>251210924</v>
      </c>
      <c r="B262" s="38" t="inlineStr">
        <is>
          <t>TRẦN VĂN MINH</t>
        </is>
      </c>
      <c r="C262" s="38" t="inlineStr">
        <is>
          <t>Công nghệ thông tin 3 K66</t>
        </is>
      </c>
      <c r="D262" s="37" t="inlineStr">
        <is>
          <t>Năm 1</t>
        </is>
      </c>
      <c r="E262" s="38" t="inlineStr">
        <is>
          <t>Triết Học Mác-lênin(3)</t>
        </is>
      </c>
      <c r="F262" s="37" t="n">
        <v>1.9</v>
      </c>
      <c r="G262" s="37" t="inlineStr">
        <is>
          <t>Thứ 5 (Ca Tối (18:00 - 20:00))</t>
        </is>
      </c>
    </row>
    <row r="263" ht="20" customHeight="1" s="18">
      <c r="A263" s="33" t="n">
        <v>251210924</v>
      </c>
      <c r="B263" s="34" t="inlineStr">
        <is>
          <t>TRẦN VĂN MINH</t>
        </is>
      </c>
      <c r="C263" s="34" t="inlineStr">
        <is>
          <t>Công nghệ thông tin 3 K66</t>
        </is>
      </c>
      <c r="D263" s="33" t="inlineStr">
        <is>
          <t>Năm 1</t>
        </is>
      </c>
      <c r="E263" s="34" t="inlineStr">
        <is>
          <t>Tin đại cương(3)</t>
        </is>
      </c>
      <c r="F263" s="33" t="n">
        <v>1.8</v>
      </c>
      <c r="G263" s="33" t="inlineStr">
        <is>
          <t>Thứ 2 (Ca Tối (18:00 - 20:00))</t>
        </is>
      </c>
    </row>
    <row r="264" ht="20" customHeight="1" s="18">
      <c r="A264" s="37" t="n">
        <v>251210924</v>
      </c>
      <c r="B264" s="38" t="inlineStr">
        <is>
          <t>TRẦN VĂN MINH</t>
        </is>
      </c>
      <c r="C264" s="38" t="inlineStr">
        <is>
          <t>Công nghệ thông tin 3 K66</t>
        </is>
      </c>
      <c r="D264" s="37" t="inlineStr">
        <is>
          <t>Năm 3</t>
        </is>
      </c>
      <c r="E264" s="38" t="inlineStr">
        <is>
          <t>Thuật toán và ứng dụng(3)</t>
        </is>
      </c>
      <c r="F264" s="37" t="n">
        <v>1.9</v>
      </c>
      <c r="G264" s="37" t="inlineStr">
        <is>
          <t>Thứ 5 (Ca Tối (18:00 - 20:00))</t>
        </is>
      </c>
    </row>
    <row r="265" ht="20" customHeight="1" s="18">
      <c r="A265" s="33" t="n">
        <v>251210924</v>
      </c>
      <c r="B265" s="34" t="inlineStr">
        <is>
          <t>TRẦN VĂN MINH</t>
        </is>
      </c>
      <c r="C265" s="34" t="inlineStr">
        <is>
          <t>Công nghệ thông tin 3 K66</t>
        </is>
      </c>
      <c r="D265" s="33" t="inlineStr">
        <is>
          <t>Năm 3</t>
        </is>
      </c>
      <c r="E265" s="34" t="inlineStr">
        <is>
          <t>Mạng máy tính(3)</t>
        </is>
      </c>
      <c r="F265" s="33" t="n">
        <v>1.8</v>
      </c>
      <c r="G265" s="33" t="inlineStr">
        <is>
          <t>Thứ 3 (Ca Tối (18:00 - 20:00))</t>
        </is>
      </c>
    </row>
    <row r="266" ht="20" customHeight="1" s="18">
      <c r="A266" s="37" t="n">
        <v>251230927</v>
      </c>
      <c r="B266" s="38" t="inlineStr">
        <is>
          <t>LÊ HỮU NAM</t>
        </is>
      </c>
      <c r="C266" s="38" t="inlineStr">
        <is>
          <t>Công nghệ thông tin 3 K66</t>
        </is>
      </c>
      <c r="D266" s="37" t="inlineStr">
        <is>
          <t>Năm 2</t>
        </is>
      </c>
      <c r="E266" s="38" t="inlineStr">
        <is>
          <t>Tư tưởng Hồ Chí Minh(2)</t>
        </is>
      </c>
      <c r="F266" s="37" t="n">
        <v>1.8</v>
      </c>
      <c r="G266" s="37" t="inlineStr">
        <is>
          <t>Thứ 3 (Ca Tối (18:00 - 20:00))</t>
        </is>
      </c>
    </row>
    <row r="267" ht="20" customHeight="1" s="18">
      <c r="A267" s="33" t="n">
        <v>251230929</v>
      </c>
      <c r="B267" s="34" t="inlineStr">
        <is>
          <t>NGUYỄN HỮU NAM</t>
        </is>
      </c>
      <c r="C267" s="34" t="inlineStr">
        <is>
          <t>Công nghệ thông tin 3 K66</t>
        </is>
      </c>
      <c r="D267" s="33" t="inlineStr">
        <is>
          <t>Năm 3</t>
        </is>
      </c>
      <c r="E267" s="34" t="inlineStr">
        <is>
          <t>Mạng máy tính(3)</t>
        </is>
      </c>
      <c r="F267" s="33" t="n">
        <v>1.8</v>
      </c>
      <c r="G267" s="33" t="inlineStr">
        <is>
          <t>Thứ 3 (Ca Tối (18:00 - 20:00))</t>
        </is>
      </c>
    </row>
    <row r="268" ht="20" customHeight="1" s="18">
      <c r="A268" s="37" t="n">
        <v>251230935</v>
      </c>
      <c r="B268" s="38" t="inlineStr">
        <is>
          <t>NGUYỄN THIỆN NHÂN</t>
        </is>
      </c>
      <c r="C268" s="38" t="inlineStr">
        <is>
          <t>Công nghệ thông tin 3 K66</t>
        </is>
      </c>
      <c r="D268" s="37" t="inlineStr">
        <is>
          <t>Năm 1</t>
        </is>
      </c>
      <c r="E268" s="38" t="inlineStr">
        <is>
          <t>Đại số tuyến tính(3)</t>
        </is>
      </c>
      <c r="F268" s="37" t="n">
        <v>0.9</v>
      </c>
      <c r="G268" s="37" t="inlineStr">
        <is>
          <t>Thứ 4 (Ca Tối (18:00 - 20:00))</t>
        </is>
      </c>
    </row>
    <row r="269" ht="20" customHeight="1" s="18">
      <c r="A269" s="33" t="n">
        <v>251230935</v>
      </c>
      <c r="B269" s="34" t="inlineStr">
        <is>
          <t>NGUYỄN THIỆN NHÂN</t>
        </is>
      </c>
      <c r="C269" s="34" t="inlineStr">
        <is>
          <t>Công nghệ thông tin 3 K66</t>
        </is>
      </c>
      <c r="D269" s="33" t="inlineStr">
        <is>
          <t>Năm 2</t>
        </is>
      </c>
      <c r="E269" s="34" t="inlineStr">
        <is>
          <t>Lập trình hướng đối tượng(3)</t>
        </is>
      </c>
      <c r="F269" s="33" t="n">
        <v>1.8</v>
      </c>
      <c r="G269" s="33" t="inlineStr">
        <is>
          <t>Thứ 5 (Ca Tối (18:00 - 20:00))</t>
        </is>
      </c>
    </row>
    <row r="270" ht="20" customHeight="1" s="18">
      <c r="A270" s="37" t="n">
        <v>251230936</v>
      </c>
      <c r="B270" s="38" t="inlineStr">
        <is>
          <t>ĐỖ VIỆT NHẬT</t>
        </is>
      </c>
      <c r="C270" s="38" t="inlineStr">
        <is>
          <t>Công nghệ thông tin 3 K66</t>
        </is>
      </c>
      <c r="D270" s="37" t="inlineStr">
        <is>
          <t>Năm 1</t>
        </is>
      </c>
      <c r="E270" s="38" t="inlineStr">
        <is>
          <t>Đại số tuyến tính(3)</t>
        </is>
      </c>
      <c r="F270" s="37" t="n">
        <v>0.2</v>
      </c>
      <c r="G270" s="37" t="inlineStr">
        <is>
          <t>Thứ 4 (Ca Tối (18:00 - 20:00))</t>
        </is>
      </c>
    </row>
    <row r="271" ht="20" customHeight="1" s="18">
      <c r="A271" s="33" t="n">
        <v>251230936</v>
      </c>
      <c r="B271" s="34" t="inlineStr">
        <is>
          <t>ĐỖ VIỆT NHẬT</t>
        </is>
      </c>
      <c r="C271" s="34" t="inlineStr">
        <is>
          <t>Công nghệ thông tin 3 K66</t>
        </is>
      </c>
      <c r="D271" s="33" t="inlineStr">
        <is>
          <t>Năm 2</t>
        </is>
      </c>
      <c r="E271" s="34" t="inlineStr">
        <is>
          <t>Tư tưởng Hồ Chí Minh(2)</t>
        </is>
      </c>
      <c r="F271" s="33" t="n">
        <v>1.9</v>
      </c>
      <c r="G271" s="33" t="inlineStr">
        <is>
          <t>Thứ 3 (Ca Tối (18:00 - 20:00))</t>
        </is>
      </c>
    </row>
    <row r="272" ht="20" customHeight="1" s="18">
      <c r="A272" s="37" t="n">
        <v>251210943</v>
      </c>
      <c r="B272" s="38" t="inlineStr">
        <is>
          <t>PHAN HỒNG PHÚC</t>
        </is>
      </c>
      <c r="C272" s="38" t="inlineStr">
        <is>
          <t>Công nghệ thông tin 3 K66</t>
        </is>
      </c>
      <c r="D272" s="37" t="inlineStr">
        <is>
          <t>Năm 1</t>
        </is>
      </c>
      <c r="E272" s="38" t="inlineStr">
        <is>
          <t>Đại số tuyến tính(3)</t>
        </is>
      </c>
      <c r="F272" s="37" t="n">
        <v>0.3</v>
      </c>
      <c r="G272" s="37" t="inlineStr">
        <is>
          <t>Thứ 4 (Ca Tối (18:00 - 20:00))</t>
        </is>
      </c>
    </row>
    <row r="273" ht="20" customHeight="1" s="18">
      <c r="A273" s="33" t="n">
        <v>251210943</v>
      </c>
      <c r="B273" s="34" t="inlineStr">
        <is>
          <t>PHAN HỒNG PHÚC</t>
        </is>
      </c>
      <c r="C273" s="34" t="inlineStr">
        <is>
          <t>Công nghệ thông tin 3 K66</t>
        </is>
      </c>
      <c r="D273" s="33" t="inlineStr">
        <is>
          <t>Năm 2</t>
        </is>
      </c>
      <c r="E273" s="34" t="inlineStr">
        <is>
          <t>Lập trình hướng đối tượng(3)</t>
        </is>
      </c>
      <c r="F273" s="33" t="n">
        <v>1.8</v>
      </c>
      <c r="G273" s="33" t="inlineStr">
        <is>
          <t>Thứ 5 (Ca Tối (18:00 - 20:00))</t>
        </is>
      </c>
    </row>
    <row r="274" ht="20" customHeight="1" s="18">
      <c r="A274" s="37" t="n">
        <v>251210943</v>
      </c>
      <c r="B274" s="38" t="inlineStr">
        <is>
          <t>PHAN HỒNG PHÚC</t>
        </is>
      </c>
      <c r="C274" s="38" t="inlineStr">
        <is>
          <t>Công nghệ thông tin 3 K66</t>
        </is>
      </c>
      <c r="D274" s="37" t="inlineStr">
        <is>
          <t>Năm 2</t>
        </is>
      </c>
      <c r="E274" s="38" t="inlineStr">
        <is>
          <t>Cấu trúc dữ liệu và giải thuật(3)</t>
        </is>
      </c>
      <c r="F274" s="37" t="n">
        <v>1.8</v>
      </c>
      <c r="G274" s="37" t="inlineStr">
        <is>
          <t>Thứ 2 (Ca Tối (18:00 - 20:00))</t>
        </is>
      </c>
    </row>
    <row r="275" ht="20" customHeight="1" s="18">
      <c r="A275" s="33" t="n">
        <v>251230950</v>
      </c>
      <c r="B275" s="34" t="inlineStr">
        <is>
          <t>BÙI TUẤN MINH QUÂN</t>
        </is>
      </c>
      <c r="C275" s="34" t="inlineStr">
        <is>
          <t>Công nghệ thông tin 3 K66</t>
        </is>
      </c>
      <c r="D275" s="33" t="inlineStr">
        <is>
          <t>Năm 1</t>
        </is>
      </c>
      <c r="E275" s="34" t="inlineStr">
        <is>
          <t>Triết Học Mác-lênin(3)</t>
        </is>
      </c>
      <c r="F275" s="33" t="n">
        <v>1.8</v>
      </c>
      <c r="G275" s="33" t="inlineStr">
        <is>
          <t>Thứ 5 (Ca Tối (18:00 - 20:00))</t>
        </is>
      </c>
    </row>
    <row r="276" ht="20" customHeight="1" s="18">
      <c r="A276" s="37" t="n">
        <v>251230950</v>
      </c>
      <c r="B276" s="38" t="inlineStr">
        <is>
          <t>BÙI TUẤN MINH QUÂN</t>
        </is>
      </c>
      <c r="C276" s="38" t="inlineStr">
        <is>
          <t>Công nghệ thông tin 3 K66</t>
        </is>
      </c>
      <c r="D276" s="37" t="inlineStr">
        <is>
          <t>Năm 2</t>
        </is>
      </c>
      <c r="E276" s="38" t="inlineStr">
        <is>
          <t>Thiết kế web(3)</t>
        </is>
      </c>
      <c r="F276" s="37" t="n">
        <v>1.8</v>
      </c>
      <c r="G276" s="37" t="inlineStr">
        <is>
          <t>Thứ 6 (Ca Tối (18:00 - 20:00))</t>
        </is>
      </c>
    </row>
    <row r="277" ht="20" customHeight="1" s="18">
      <c r="A277" s="33" t="n">
        <v>251230950</v>
      </c>
      <c r="B277" s="34" t="inlineStr">
        <is>
          <t>BÙI TUẤN MINH QUÂN</t>
        </is>
      </c>
      <c r="C277" s="34" t="inlineStr">
        <is>
          <t>Công nghệ thông tin 3 K66</t>
        </is>
      </c>
      <c r="D277" s="33" t="inlineStr">
        <is>
          <t>Năm 2</t>
        </is>
      </c>
      <c r="E277" s="34" t="inlineStr">
        <is>
          <t>Lập trình hướng đối tượng(3)</t>
        </is>
      </c>
      <c r="F277" s="33" t="n">
        <v>1.9</v>
      </c>
      <c r="G277" s="33" t="inlineStr">
        <is>
          <t>Thứ 5 (Ca Tối (18:00 - 20:00))</t>
        </is>
      </c>
    </row>
    <row r="278" ht="20" customHeight="1" s="18">
      <c r="A278" s="37" t="n">
        <v>251230950</v>
      </c>
      <c r="B278" s="38" t="inlineStr">
        <is>
          <t>BÙI TUẤN MINH QUÂN</t>
        </is>
      </c>
      <c r="C278" s="38" t="inlineStr">
        <is>
          <t>Công nghệ thông tin 3 K66</t>
        </is>
      </c>
      <c r="D278" s="37" t="inlineStr">
        <is>
          <t>Năm 2</t>
        </is>
      </c>
      <c r="E278" s="38" t="inlineStr">
        <is>
          <t>Cấu trúc dữ liệu và giải thuật(3)</t>
        </is>
      </c>
      <c r="F278" s="37" t="n">
        <v>1.9</v>
      </c>
      <c r="G278" s="37" t="inlineStr">
        <is>
          <t>Thứ 2 (Ca Tối (18:00 - 20:00))</t>
        </is>
      </c>
    </row>
    <row r="279" ht="20" customHeight="1" s="18">
      <c r="A279" s="33" t="n">
        <v>251230957</v>
      </c>
      <c r="B279" s="34" t="inlineStr">
        <is>
          <t>NGUYỄN ĐÌNH SƠN</t>
        </is>
      </c>
      <c r="C279" s="34" t="inlineStr">
        <is>
          <t>Công nghệ thông tin 3 K66</t>
        </is>
      </c>
      <c r="D279" s="33" t="inlineStr">
        <is>
          <t>Năm 2</t>
        </is>
      </c>
      <c r="E279" s="34" t="inlineStr">
        <is>
          <t>Tư tưởng Hồ Chí Minh(2)</t>
        </is>
      </c>
      <c r="F279" s="33" t="n">
        <v>1.9</v>
      </c>
      <c r="G279" s="33" t="inlineStr">
        <is>
          <t>Thứ 3 (Ca Tối (18:00 - 20:00))</t>
        </is>
      </c>
    </row>
    <row r="280" ht="20" customHeight="1" s="18">
      <c r="A280" s="37" t="n">
        <v>251230958</v>
      </c>
      <c r="B280" s="38" t="inlineStr">
        <is>
          <t>NGUYỄN VĂN SƠN</t>
        </is>
      </c>
      <c r="C280" s="38" t="inlineStr">
        <is>
          <t>Công nghệ thông tin 3 K66</t>
        </is>
      </c>
      <c r="D280" s="37" t="inlineStr">
        <is>
          <t>Năm 1</t>
        </is>
      </c>
      <c r="E280" s="38" t="inlineStr">
        <is>
          <t>Đại số tuyến tính(3)</t>
        </is>
      </c>
      <c r="F280" s="37" t="n">
        <v>1.6</v>
      </c>
      <c r="G280" s="37" t="inlineStr">
        <is>
          <t>Thứ 4 (Ca Tối (18:00 - 20:00))</t>
        </is>
      </c>
    </row>
    <row r="281" ht="20" customHeight="1" s="18">
      <c r="A281" s="33" t="n">
        <v>251230959</v>
      </c>
      <c r="B281" s="34" t="inlineStr">
        <is>
          <t>TRẦN VĂN SỸ</t>
        </is>
      </c>
      <c r="C281" s="34" t="inlineStr">
        <is>
          <t>Công nghệ thông tin 3 K66</t>
        </is>
      </c>
      <c r="D281" s="33" t="inlineStr">
        <is>
          <t>Năm 1</t>
        </is>
      </c>
      <c r="E281" s="34" t="inlineStr">
        <is>
          <t>Đại số tuyến tính(3)</t>
        </is>
      </c>
      <c r="F281" s="33" t="n">
        <v>0.8</v>
      </c>
      <c r="G281" s="33" t="inlineStr">
        <is>
          <t>Thứ 4 (Ca Tối (18:00 - 20:00))</t>
        </is>
      </c>
    </row>
    <row r="282" ht="20" customHeight="1" s="18">
      <c r="A282" s="37" t="n">
        <v>251230963</v>
      </c>
      <c r="B282" s="38" t="inlineStr">
        <is>
          <t>NGUYỄN VIẾT THÁI</t>
        </is>
      </c>
      <c r="C282" s="38" t="inlineStr">
        <is>
          <t>Công nghệ thông tin 3 K66</t>
        </is>
      </c>
      <c r="D282" s="37" t="inlineStr">
        <is>
          <t>Năm 1</t>
        </is>
      </c>
      <c r="E282" s="38" t="inlineStr">
        <is>
          <t>Đại số tuyến tính(3)</t>
        </is>
      </c>
      <c r="F282" s="37" t="n">
        <v>1</v>
      </c>
      <c r="G282" s="37" t="inlineStr">
        <is>
          <t>Thứ 4 (Ca Tối (18:00 - 20:00))</t>
        </is>
      </c>
    </row>
    <row r="283" ht="20" customHeight="1" s="18">
      <c r="A283" s="33" t="n">
        <v>251230973</v>
      </c>
      <c r="B283" s="34" t="inlineStr">
        <is>
          <t>NGÔ TRẦN HIẾU THĂNG</t>
        </is>
      </c>
      <c r="C283" s="34" t="inlineStr">
        <is>
          <t>Công nghệ thông tin 3 K66</t>
        </is>
      </c>
      <c r="D283" s="33" t="inlineStr">
        <is>
          <t>Năm 3</t>
        </is>
      </c>
      <c r="E283" s="34" t="inlineStr">
        <is>
          <t>Lập trình Web(3)</t>
        </is>
      </c>
      <c r="F283" s="33" t="n">
        <v>1.8</v>
      </c>
      <c r="G283" s="33" t="inlineStr">
        <is>
          <t>Thứ 6 (Ca Tối (18:00 - 20:00))</t>
        </is>
      </c>
    </row>
    <row r="284" ht="20" customHeight="1" s="18">
      <c r="A284" s="37" t="n">
        <v>251230973</v>
      </c>
      <c r="B284" s="38" t="inlineStr">
        <is>
          <t>NGÔ TRẦN HIẾU THĂNG</t>
        </is>
      </c>
      <c r="C284" s="38" t="inlineStr">
        <is>
          <t>Công nghệ thông tin 3 K66</t>
        </is>
      </c>
      <c r="D284" s="37" t="inlineStr">
        <is>
          <t>Năm 4</t>
        </is>
      </c>
      <c r="E284" s="38" t="inlineStr">
        <is>
          <t>Bảo vệ đồ án(10)</t>
        </is>
      </c>
      <c r="F284" s="37" t="n">
        <v>1.8</v>
      </c>
      <c r="G284" s="37" t="inlineStr">
        <is>
          <t>Thứ 6 (Ca Tối (18:00 - 20:00))</t>
        </is>
      </c>
    </row>
    <row r="285" ht="20" customHeight="1" s="18">
      <c r="A285" s="33" t="n">
        <v>251230974</v>
      </c>
      <c r="B285" s="34" t="inlineStr">
        <is>
          <t>PHAN ĐỨC THẮNG</t>
        </is>
      </c>
      <c r="C285" s="34" t="inlineStr">
        <is>
          <t>Công nghệ thông tin 3 K66</t>
        </is>
      </c>
      <c r="D285" s="33" t="inlineStr">
        <is>
          <t>Năm 1</t>
        </is>
      </c>
      <c r="E285" s="34" t="inlineStr">
        <is>
          <t>Đại số tuyến tính(3)</t>
        </is>
      </c>
      <c r="F285" s="33" t="n">
        <v>1.7</v>
      </c>
      <c r="G285" s="33" t="inlineStr">
        <is>
          <t>Thứ 4 (Ca Tối (18:00 - 20:00))</t>
        </is>
      </c>
    </row>
    <row r="286" ht="20" customHeight="1" s="18">
      <c r="A286" s="37" t="n">
        <v>251230974</v>
      </c>
      <c r="B286" s="38" t="inlineStr">
        <is>
          <t>PHAN ĐỨC THẮNG</t>
        </is>
      </c>
      <c r="C286" s="38" t="inlineStr">
        <is>
          <t>Công nghệ thông tin 3 K66</t>
        </is>
      </c>
      <c r="D286" s="37" t="inlineStr">
        <is>
          <t>Năm 2</t>
        </is>
      </c>
      <c r="E286" s="38" t="inlineStr">
        <is>
          <t>Tư tưởng Hồ Chí Minh(2)</t>
        </is>
      </c>
      <c r="F286" s="37" t="n">
        <v>1.8</v>
      </c>
      <c r="G286" s="37" t="inlineStr">
        <is>
          <t>Thứ 3 (Ca Tối (18:00 - 20:00))</t>
        </is>
      </c>
    </row>
    <row r="287" ht="20" customHeight="1" s="18">
      <c r="A287" s="33" t="n">
        <v>251230966</v>
      </c>
      <c r="B287" s="34" t="inlineStr">
        <is>
          <t>LÂM TIẾN THÀNH</t>
        </is>
      </c>
      <c r="C287" s="34" t="inlineStr">
        <is>
          <t>Công nghệ thông tin 3 K66</t>
        </is>
      </c>
      <c r="D287" s="33" t="inlineStr">
        <is>
          <t>Năm 3</t>
        </is>
      </c>
      <c r="E287" s="34" t="inlineStr">
        <is>
          <t>Mạng máy tính(3)</t>
        </is>
      </c>
      <c r="F287" s="33" t="n">
        <v>1.9</v>
      </c>
      <c r="G287" s="33" t="inlineStr">
        <is>
          <t>Thứ 3 (Ca Tối (18:00 - 20:00))</t>
        </is>
      </c>
    </row>
    <row r="288" ht="20" customHeight="1" s="18">
      <c r="A288" s="37" t="n">
        <v>251230976</v>
      </c>
      <c r="B288" s="38" t="inlineStr">
        <is>
          <t>NGUYỄN DUY THIỆN</t>
        </is>
      </c>
      <c r="C288" s="38" t="inlineStr">
        <is>
          <t>Công nghệ thông tin 3 K66</t>
        </is>
      </c>
      <c r="D288" s="37" t="inlineStr">
        <is>
          <t>Năm 2</t>
        </is>
      </c>
      <c r="E288" s="38" t="inlineStr">
        <is>
          <t>Thiết kế web(3)</t>
        </is>
      </c>
      <c r="F288" s="37" t="n">
        <v>1.9</v>
      </c>
      <c r="G288" s="37" t="inlineStr">
        <is>
          <t>Thứ 6 (Ca Tối (18:00 - 20:00))</t>
        </is>
      </c>
    </row>
    <row r="289" ht="20" customHeight="1" s="18">
      <c r="A289" s="33" t="n">
        <v>251210987</v>
      </c>
      <c r="B289" s="34" t="inlineStr">
        <is>
          <t>DƯƠNG ĐỨC TRUNG</t>
        </is>
      </c>
      <c r="C289" s="34" t="inlineStr">
        <is>
          <t>Công nghệ thông tin 3 K66</t>
        </is>
      </c>
      <c r="D289" s="33" t="inlineStr">
        <is>
          <t>Năm 1</t>
        </is>
      </c>
      <c r="E289" s="34" t="inlineStr">
        <is>
          <t>Đại số tuyến tính(3)</t>
        </is>
      </c>
      <c r="F289" s="33" t="n">
        <v>1</v>
      </c>
      <c r="G289" s="33" t="inlineStr">
        <is>
          <t>Thứ 4 (Ca Tối (18:00 - 20:00))</t>
        </is>
      </c>
    </row>
    <row r="290" ht="20" customHeight="1" s="18">
      <c r="A290" s="37" t="n">
        <v>251230990</v>
      </c>
      <c r="B290" s="38" t="inlineStr">
        <is>
          <t>LÊ QUANG TÚ</t>
        </is>
      </c>
      <c r="C290" s="38" t="inlineStr">
        <is>
          <t>Công nghệ thông tin 3 K66</t>
        </is>
      </c>
      <c r="D290" s="37" t="inlineStr">
        <is>
          <t>Năm 2</t>
        </is>
      </c>
      <c r="E290" s="38" t="inlineStr">
        <is>
          <t>Thiết kế web(3)</t>
        </is>
      </c>
      <c r="F290" s="37" t="n">
        <v>1.8</v>
      </c>
      <c r="G290" s="37" t="inlineStr">
        <is>
          <t>Thứ 6 (Ca Tối (18:00 - 20:00))</t>
        </is>
      </c>
    </row>
    <row r="291" ht="20" customHeight="1" s="18">
      <c r="A291" s="33" t="n">
        <v>251230990</v>
      </c>
      <c r="B291" s="34" t="inlineStr">
        <is>
          <t>LÊ QUANG TÚ</t>
        </is>
      </c>
      <c r="C291" s="34" t="inlineStr">
        <is>
          <t>Công nghệ thông tin 3 K66</t>
        </is>
      </c>
      <c r="D291" s="33" t="inlineStr">
        <is>
          <t>Năm 3</t>
        </is>
      </c>
      <c r="E291" s="34" t="inlineStr">
        <is>
          <t>Mạng máy tính(3)</t>
        </is>
      </c>
      <c r="F291" s="33" t="n">
        <v>1.9</v>
      </c>
      <c r="G291" s="33" t="inlineStr">
        <is>
          <t>Thứ 3 (Ca Tối (18:00 - 20:00))</t>
        </is>
      </c>
    </row>
    <row r="292" ht="20" customHeight="1" s="18">
      <c r="A292" s="37" t="n">
        <v>251210991</v>
      </c>
      <c r="B292" s="38" t="inlineStr">
        <is>
          <t>LÊ TUẤN TÚ</t>
        </is>
      </c>
      <c r="C292" s="38" t="inlineStr">
        <is>
          <t>Công nghệ thông tin 3 K66</t>
        </is>
      </c>
      <c r="D292" s="37" t="inlineStr">
        <is>
          <t>Năm 2</t>
        </is>
      </c>
      <c r="E292" s="38" t="inlineStr">
        <is>
          <t>Thiết kế web(3)</t>
        </is>
      </c>
      <c r="F292" s="37" t="n">
        <v>1.8</v>
      </c>
      <c r="G292" s="37" t="inlineStr">
        <is>
          <t>Thứ 6 (Ca Tối (18:00 - 20:00))</t>
        </is>
      </c>
    </row>
    <row r="293" ht="20" customHeight="1" s="18">
      <c r="A293" s="33" t="n">
        <v>251210998</v>
      </c>
      <c r="B293" s="34" t="inlineStr">
        <is>
          <t>NGUYỄN HỒNG LONG VIỆT</t>
        </is>
      </c>
      <c r="C293" s="34" t="inlineStr">
        <is>
          <t>Công nghệ thông tin 3 K66</t>
        </is>
      </c>
      <c r="D293" s="33" t="inlineStr">
        <is>
          <t>Năm 1</t>
        </is>
      </c>
      <c r="E293" s="34" t="inlineStr">
        <is>
          <t>Đại số tuyến tính(3)</t>
        </is>
      </c>
      <c r="F293" s="33" t="n">
        <v>1.5</v>
      </c>
      <c r="G293" s="33" t="inlineStr">
        <is>
          <t>Thứ 4 (Ca Tối (18:00 - 20:00))</t>
        </is>
      </c>
    </row>
    <row r="294" ht="20" customHeight="1" s="18">
      <c r="A294" s="37" t="n">
        <v>253610642</v>
      </c>
      <c r="B294" s="38" t="inlineStr">
        <is>
          <t>NGUYỄN ĐỨC AN</t>
        </is>
      </c>
      <c r="C294" s="38" t="inlineStr">
        <is>
          <t>Khoa học máy tính K66</t>
        </is>
      </c>
      <c r="D294" s="37" t="inlineStr">
        <is>
          <t>Năm 1</t>
        </is>
      </c>
      <c r="E294" s="38" t="inlineStr">
        <is>
          <t>Đại số tuyến tính(3)</t>
        </is>
      </c>
      <c r="F294" s="37" t="n">
        <v>1.4</v>
      </c>
      <c r="G294" s="37" t="inlineStr">
        <is>
          <t>Thứ 4 (Ca Tối (18:00 - 20:00))</t>
        </is>
      </c>
    </row>
    <row r="295" ht="20" customHeight="1" s="18">
      <c r="A295" s="33" t="n">
        <v>243630565</v>
      </c>
      <c r="B295" s="34" t="inlineStr">
        <is>
          <t>Nguyễn Hồng An</t>
        </is>
      </c>
      <c r="C295" s="34" t="inlineStr">
        <is>
          <t>Khoa học máy tính K66</t>
        </is>
      </c>
      <c r="D295" s="33" t="inlineStr">
        <is>
          <t>Năm 1</t>
        </is>
      </c>
      <c r="E295" s="34" t="inlineStr">
        <is>
          <t>Đại số tuyến tính(3)</t>
        </is>
      </c>
      <c r="F295" s="33" t="n">
        <v>1.4</v>
      </c>
      <c r="G295" s="33" t="inlineStr">
        <is>
          <t>Thứ 4 (Ca Tối (18:00 - 20:00))</t>
        </is>
      </c>
    </row>
    <row r="296" ht="20" customHeight="1" s="18">
      <c r="A296" s="37" t="n">
        <v>253610643</v>
      </c>
      <c r="B296" s="38" t="inlineStr">
        <is>
          <t>CAO HOÀNG ANH</t>
        </is>
      </c>
      <c r="C296" s="38" t="inlineStr">
        <is>
          <t>Khoa học máy tính K66</t>
        </is>
      </c>
      <c r="D296" s="37" t="inlineStr">
        <is>
          <t>Năm 1</t>
        </is>
      </c>
      <c r="E296" s="38" t="inlineStr">
        <is>
          <t>Giải tích(2)</t>
        </is>
      </c>
      <c r="F296" s="37" t="n">
        <v>1.8</v>
      </c>
      <c r="G296" s="37" t="inlineStr">
        <is>
          <t>Thứ 7 (Ca Tối (18:00 - 20:00))</t>
        </is>
      </c>
    </row>
    <row r="297" ht="20" customHeight="1" s="18">
      <c r="A297" s="33" t="n">
        <v>253610644</v>
      </c>
      <c r="B297" s="34" t="inlineStr">
        <is>
          <t>MAI NGỌC HÙNG ANH</t>
        </is>
      </c>
      <c r="C297" s="34" t="inlineStr">
        <is>
          <t>Khoa học máy tính K66</t>
        </is>
      </c>
      <c r="D297" s="33" t="inlineStr">
        <is>
          <t>Năm 1</t>
        </is>
      </c>
      <c r="E297" s="34" t="inlineStr">
        <is>
          <t>Đại số tuyến tính(3)</t>
        </is>
      </c>
      <c r="F297" s="33" t="n">
        <v>0.3</v>
      </c>
      <c r="G297" s="33" t="inlineStr">
        <is>
          <t>Thứ 4 (Ca Tối (18:00 - 20:00))</t>
        </is>
      </c>
    </row>
    <row r="298" ht="20" customHeight="1" s="18">
      <c r="A298" s="37" t="n">
        <v>253610644</v>
      </c>
      <c r="B298" s="38" t="inlineStr">
        <is>
          <t>MAI NGỌC HÙNG ANH</t>
        </is>
      </c>
      <c r="C298" s="38" t="inlineStr">
        <is>
          <t>Khoa học máy tính K66</t>
        </is>
      </c>
      <c r="D298" s="37" t="inlineStr">
        <is>
          <t>Năm 3</t>
        </is>
      </c>
      <c r="E298" s="38" t="inlineStr">
        <is>
          <t>Lập trình Web(3)</t>
        </is>
      </c>
      <c r="F298" s="37" t="n">
        <v>1.8</v>
      </c>
      <c r="G298" s="37" t="inlineStr">
        <is>
          <t>Thứ 6 (Ca Tối (18:00 - 20:00))</t>
        </is>
      </c>
    </row>
    <row r="299" ht="20" customHeight="1" s="18">
      <c r="A299" s="33" t="n">
        <v>253630646</v>
      </c>
      <c r="B299" s="34" t="inlineStr">
        <is>
          <t>NGUYỄN VIỆT ANH</t>
        </is>
      </c>
      <c r="C299" s="34" t="inlineStr">
        <is>
          <t>Khoa học máy tính K66</t>
        </is>
      </c>
      <c r="D299" s="33" t="inlineStr">
        <is>
          <t>Năm 1</t>
        </is>
      </c>
      <c r="E299" s="34" t="inlineStr">
        <is>
          <t>Triết Học Mác-lênin(3)</t>
        </is>
      </c>
      <c r="F299" s="33" t="n">
        <v>1.9</v>
      </c>
      <c r="G299" s="33" t="inlineStr">
        <is>
          <t>Thứ 5 (Ca Tối (18:00 - 20:00))</t>
        </is>
      </c>
    </row>
    <row r="300" ht="20" customHeight="1" s="18">
      <c r="A300" s="37" t="n">
        <v>253630646</v>
      </c>
      <c r="B300" s="38" t="inlineStr">
        <is>
          <t>NGUYỄN VIỆT ANH</t>
        </is>
      </c>
      <c r="C300" s="38" t="inlineStr">
        <is>
          <t>Khoa học máy tính K66</t>
        </is>
      </c>
      <c r="D300" s="37" t="inlineStr">
        <is>
          <t>Năm 2</t>
        </is>
      </c>
      <c r="E300" s="38" t="inlineStr">
        <is>
          <t>Thiết kế web(3)</t>
        </is>
      </c>
      <c r="F300" s="37" t="n">
        <v>1.8</v>
      </c>
      <c r="G300" s="37" t="inlineStr">
        <is>
          <t>Thứ 6 (Ca Tối (18:00 - 20:00))</t>
        </is>
      </c>
    </row>
    <row r="301" ht="20" customHeight="1" s="18">
      <c r="A301" s="33" t="n">
        <v>253610647</v>
      </c>
      <c r="B301" s="34" t="inlineStr">
        <is>
          <t>TĂNG XUÂN ANH</t>
        </is>
      </c>
      <c r="C301" s="34" t="inlineStr">
        <is>
          <t>Khoa học máy tính K66</t>
        </is>
      </c>
      <c r="D301" s="33" t="inlineStr">
        <is>
          <t>Năm 1</t>
        </is>
      </c>
      <c r="E301" s="34" t="inlineStr">
        <is>
          <t>Tin đại cương(3)</t>
        </is>
      </c>
      <c r="F301" s="33" t="n">
        <v>1.8</v>
      </c>
      <c r="G301" s="33" t="inlineStr">
        <is>
          <t>Thứ 2 (Ca Tối (18:00 - 20:00))</t>
        </is>
      </c>
    </row>
    <row r="302" ht="20" customHeight="1" s="18">
      <c r="A302" s="37" t="n">
        <v>253610647</v>
      </c>
      <c r="B302" s="38" t="inlineStr">
        <is>
          <t>TĂNG XUÂN ANH</t>
        </is>
      </c>
      <c r="C302" s="38" t="inlineStr">
        <is>
          <t>Khoa học máy tính K66</t>
        </is>
      </c>
      <c r="D302" s="37" t="inlineStr">
        <is>
          <t>Năm 1</t>
        </is>
      </c>
      <c r="E302" s="38" t="inlineStr">
        <is>
          <t>Đại số tuyến tính(3)</t>
        </is>
      </c>
      <c r="F302" s="37" t="n">
        <v>1.8</v>
      </c>
      <c r="G302" s="37" t="inlineStr">
        <is>
          <t>Thứ 4 (Ca Tối (18:00 - 20:00))</t>
        </is>
      </c>
    </row>
    <row r="303" ht="20" customHeight="1" s="18">
      <c r="A303" s="33" t="n">
        <v>253610648</v>
      </c>
      <c r="B303" s="34" t="inlineStr">
        <is>
          <t>VŨ MAI ANH</t>
        </is>
      </c>
      <c r="C303" s="34" t="inlineStr">
        <is>
          <t>Khoa học máy tính K66</t>
        </is>
      </c>
      <c r="D303" s="33" t="inlineStr">
        <is>
          <t>Năm 1</t>
        </is>
      </c>
      <c r="E303" s="34" t="inlineStr">
        <is>
          <t>Đại số tuyến tính(3)</t>
        </is>
      </c>
      <c r="F303" s="33" t="n">
        <v>0.5</v>
      </c>
      <c r="G303" s="33" t="inlineStr">
        <is>
          <t>Thứ 4 (Ca Tối (18:00 - 20:00))</t>
        </is>
      </c>
    </row>
    <row r="304" ht="20" customHeight="1" s="18">
      <c r="A304" s="37" t="n">
        <v>253630650</v>
      </c>
      <c r="B304" s="38" t="inlineStr">
        <is>
          <t>NGUYỄN LÊ BẢO CHÂU</t>
        </is>
      </c>
      <c r="C304" s="38" t="inlineStr">
        <is>
          <t>Khoa học máy tính K66</t>
        </is>
      </c>
      <c r="D304" s="37" t="inlineStr">
        <is>
          <t>Năm 1</t>
        </is>
      </c>
      <c r="E304" s="38" t="inlineStr">
        <is>
          <t>Đại số tuyến tính(3)</t>
        </is>
      </c>
      <c r="F304" s="37" t="n">
        <v>1.1</v>
      </c>
      <c r="G304" s="37" t="inlineStr">
        <is>
          <t>Thứ 4 (Ca Tối (18:00 - 20:00))</t>
        </is>
      </c>
    </row>
    <row r="305" ht="20" customHeight="1" s="18">
      <c r="A305" s="33" t="n">
        <v>253630651</v>
      </c>
      <c r="B305" s="34" t="inlineStr">
        <is>
          <t>TRƯƠNG THỊ MINH CHÂU</t>
        </is>
      </c>
      <c r="C305" s="34" t="inlineStr">
        <is>
          <t>Khoa học máy tính K66</t>
        </is>
      </c>
      <c r="D305" s="33" t="inlineStr">
        <is>
          <t>Năm 3</t>
        </is>
      </c>
      <c r="E305" s="34" t="inlineStr">
        <is>
          <t>Mạng máy tính(3)</t>
        </is>
      </c>
      <c r="F305" s="33" t="n">
        <v>1.9</v>
      </c>
      <c r="G305" s="33" t="inlineStr">
        <is>
          <t>Thứ 3 (Ca Tối (18:00 - 20:00))</t>
        </is>
      </c>
    </row>
    <row r="306" ht="20" customHeight="1" s="18">
      <c r="A306" s="37" t="n">
        <v>253630651</v>
      </c>
      <c r="B306" s="38" t="inlineStr">
        <is>
          <t>TRƯƠNG THỊ MINH CHÂU</t>
        </is>
      </c>
      <c r="C306" s="38" t="inlineStr">
        <is>
          <t>Khoa học máy tính K66</t>
        </is>
      </c>
      <c r="D306" s="37" t="inlineStr">
        <is>
          <t>Năm 4</t>
        </is>
      </c>
      <c r="E306" s="38" t="inlineStr">
        <is>
          <t>Bảo vệ đồ án(10)</t>
        </is>
      </c>
      <c r="F306" s="37" t="n">
        <v>1.9</v>
      </c>
      <c r="G306" s="37" t="inlineStr">
        <is>
          <t>Thứ 6 (Ca Tối (18:00 - 20:00))</t>
        </is>
      </c>
    </row>
    <row r="307" ht="20" customHeight="1" s="18">
      <c r="A307" s="33" t="n">
        <v>253630652</v>
      </c>
      <c r="B307" s="34" t="inlineStr">
        <is>
          <t>NGUYỄN THÀNH CÔNG</t>
        </is>
      </c>
      <c r="C307" s="34" t="inlineStr">
        <is>
          <t>Khoa học máy tính K66</t>
        </is>
      </c>
      <c r="D307" s="33" t="inlineStr">
        <is>
          <t>Năm 1</t>
        </is>
      </c>
      <c r="E307" s="34" t="inlineStr">
        <is>
          <t>Giải tích(2)</t>
        </is>
      </c>
      <c r="F307" s="33" t="n">
        <v>1.9</v>
      </c>
      <c r="G307" s="33" t="inlineStr">
        <is>
          <t>Thứ 7 (Ca Tối (18:00 - 20:00))</t>
        </is>
      </c>
    </row>
    <row r="308" ht="20" customHeight="1" s="18">
      <c r="A308" s="37" t="n">
        <v>253630652</v>
      </c>
      <c r="B308" s="38" t="inlineStr">
        <is>
          <t>NGUYỄN THÀNH CÔNG</t>
        </is>
      </c>
      <c r="C308" s="38" t="inlineStr">
        <is>
          <t>Khoa học máy tính K66</t>
        </is>
      </c>
      <c r="D308" s="37" t="inlineStr">
        <is>
          <t>Năm 1</t>
        </is>
      </c>
      <c r="E308" s="38" t="inlineStr">
        <is>
          <t>Đại số tuyến tính(3)</t>
        </is>
      </c>
      <c r="F308" s="37" t="n">
        <v>0.1</v>
      </c>
      <c r="G308" s="37" t="inlineStr">
        <is>
          <t>Thứ 4 (Ca Tối (18:00 - 20:00))</t>
        </is>
      </c>
    </row>
    <row r="309" ht="20" customHeight="1" s="18">
      <c r="A309" s="33" t="n">
        <v>253630652</v>
      </c>
      <c r="B309" s="34" t="inlineStr">
        <is>
          <t>NGUYỄN THÀNH CÔNG</t>
        </is>
      </c>
      <c r="C309" s="34" t="inlineStr">
        <is>
          <t>Khoa học máy tính K66</t>
        </is>
      </c>
      <c r="D309" s="33" t="inlineStr">
        <is>
          <t>Năm 2</t>
        </is>
      </c>
      <c r="E309" s="34" t="inlineStr">
        <is>
          <t>Thiết kế web(3)</t>
        </is>
      </c>
      <c r="F309" s="33" t="n">
        <v>1.9</v>
      </c>
      <c r="G309" s="33" t="inlineStr">
        <is>
          <t>Thứ 6 (Ca Tối (18:00 - 20:00))</t>
        </is>
      </c>
    </row>
    <row r="310" ht="20" customHeight="1" s="18">
      <c r="A310" s="37" t="n">
        <v>253630653</v>
      </c>
      <c r="B310" s="38" t="inlineStr">
        <is>
          <t>PHẠM PHÚ CƯỜNG</t>
        </is>
      </c>
      <c r="C310" s="38" t="inlineStr">
        <is>
          <t>Khoa học máy tính K66</t>
        </is>
      </c>
      <c r="D310" s="37" t="inlineStr">
        <is>
          <t>Năm 3</t>
        </is>
      </c>
      <c r="E310" s="38" t="inlineStr">
        <is>
          <t>Mạng máy tính(3)</t>
        </is>
      </c>
      <c r="F310" s="37" t="n">
        <v>1.8</v>
      </c>
      <c r="G310" s="37" t="inlineStr">
        <is>
          <t>Thứ 3 (Ca Tối (18:00 - 20:00))</t>
        </is>
      </c>
    </row>
    <row r="311" ht="20" customHeight="1" s="18">
      <c r="A311" s="33" t="n">
        <v>253630654</v>
      </c>
      <c r="B311" s="34" t="inlineStr">
        <is>
          <t>ĐỖ ĐĂNG DŨNG</t>
        </is>
      </c>
      <c r="C311" s="34" t="inlineStr">
        <is>
          <t>Khoa học máy tính K66</t>
        </is>
      </c>
      <c r="D311" s="33" t="inlineStr">
        <is>
          <t>Năm 1</t>
        </is>
      </c>
      <c r="E311" s="34" t="inlineStr">
        <is>
          <t>Giải tích(2)</t>
        </is>
      </c>
      <c r="F311" s="33" t="n">
        <v>1.8</v>
      </c>
      <c r="G311" s="33" t="inlineStr">
        <is>
          <t>Thứ 7 (Ca Tối (18:00 - 20:00))</t>
        </is>
      </c>
    </row>
    <row r="312" ht="20" customHeight="1" s="18">
      <c r="A312" s="37" t="n">
        <v>253630654</v>
      </c>
      <c r="B312" s="38" t="inlineStr">
        <is>
          <t>ĐỖ ĐĂNG DŨNG</t>
        </is>
      </c>
      <c r="C312" s="38" t="inlineStr">
        <is>
          <t>Khoa học máy tính K66</t>
        </is>
      </c>
      <c r="D312" s="37" t="inlineStr">
        <is>
          <t>Năm 1</t>
        </is>
      </c>
      <c r="E312" s="38" t="inlineStr">
        <is>
          <t>Đại số tuyến tính(3)</t>
        </is>
      </c>
      <c r="F312" s="37" t="n">
        <v>1.3</v>
      </c>
      <c r="G312" s="37" t="inlineStr">
        <is>
          <t>Thứ 4 (Ca Tối (18:00 - 20:00))</t>
        </is>
      </c>
    </row>
    <row r="313" ht="20" customHeight="1" s="18">
      <c r="A313" s="33" t="n">
        <v>253630655</v>
      </c>
      <c r="B313" s="34" t="inlineStr">
        <is>
          <t>LÊ ĐÌNH DŨNG</t>
        </is>
      </c>
      <c r="C313" s="34" t="inlineStr">
        <is>
          <t>Khoa học máy tính K66</t>
        </is>
      </c>
      <c r="D313" s="33" t="inlineStr">
        <is>
          <t>Năm 1</t>
        </is>
      </c>
      <c r="E313" s="34" t="inlineStr">
        <is>
          <t>Tin đại cương(3)</t>
        </is>
      </c>
      <c r="F313" s="33" t="n">
        <v>1.8</v>
      </c>
      <c r="G313" s="33" t="inlineStr">
        <is>
          <t>Thứ 2 (Ca Tối (18:00 - 20:00))</t>
        </is>
      </c>
    </row>
    <row r="314" ht="20" customHeight="1" s="18">
      <c r="A314" s="37" t="n">
        <v>253630655</v>
      </c>
      <c r="B314" s="38" t="inlineStr">
        <is>
          <t>LÊ ĐÌNH DŨNG</t>
        </is>
      </c>
      <c r="C314" s="38" t="inlineStr">
        <is>
          <t>Khoa học máy tính K66</t>
        </is>
      </c>
      <c r="D314" s="37" t="inlineStr">
        <is>
          <t>Năm 2</t>
        </is>
      </c>
      <c r="E314" s="38" t="inlineStr">
        <is>
          <t>Cấu trúc dữ liệu và giải thuật(3)</t>
        </is>
      </c>
      <c r="F314" s="37" t="n">
        <v>1.9</v>
      </c>
      <c r="G314" s="37" t="inlineStr">
        <is>
          <t>Thứ 2 (Ca Tối (18:00 - 20:00))</t>
        </is>
      </c>
    </row>
    <row r="315" ht="20" customHeight="1" s="18">
      <c r="A315" s="33" t="n">
        <v>253630655</v>
      </c>
      <c r="B315" s="34" t="inlineStr">
        <is>
          <t>LÊ ĐÌNH DŨNG</t>
        </is>
      </c>
      <c r="C315" s="34" t="inlineStr">
        <is>
          <t>Khoa học máy tính K66</t>
        </is>
      </c>
      <c r="D315" s="33" t="inlineStr">
        <is>
          <t>Năm 3</t>
        </is>
      </c>
      <c r="E315" s="34" t="inlineStr">
        <is>
          <t>Lập trình Web(3)</t>
        </is>
      </c>
      <c r="F315" s="33" t="n">
        <v>1.8</v>
      </c>
      <c r="G315" s="33" t="inlineStr">
        <is>
          <t>Thứ 6 (Ca Tối (18:00 - 20:00))</t>
        </is>
      </c>
    </row>
    <row r="316" ht="20" customHeight="1" s="18">
      <c r="A316" s="37" t="n">
        <v>253630656</v>
      </c>
      <c r="B316" s="38" t="inlineStr">
        <is>
          <t>NGUYỄN MẠNH DŨNG</t>
        </is>
      </c>
      <c r="C316" s="38" t="inlineStr">
        <is>
          <t>Khoa học máy tính K66</t>
        </is>
      </c>
      <c r="D316" s="37" t="inlineStr">
        <is>
          <t>Năm 1</t>
        </is>
      </c>
      <c r="E316" s="38" t="inlineStr">
        <is>
          <t>Đại số tuyến tính(3)</t>
        </is>
      </c>
      <c r="F316" s="37" t="n">
        <v>1.1</v>
      </c>
      <c r="G316" s="37" t="inlineStr">
        <is>
          <t>Thứ 4 (Ca Tối (18:00 - 20:00))</t>
        </is>
      </c>
    </row>
    <row r="317" ht="20" customHeight="1" s="18">
      <c r="A317" s="33" t="n">
        <v>253630656</v>
      </c>
      <c r="B317" s="34" t="inlineStr">
        <is>
          <t>NGUYỄN MẠNH DŨNG</t>
        </is>
      </c>
      <c r="C317" s="34" t="inlineStr">
        <is>
          <t>Khoa học máy tính K66</t>
        </is>
      </c>
      <c r="D317" s="33" t="inlineStr">
        <is>
          <t>Năm 2</t>
        </is>
      </c>
      <c r="E317" s="34" t="inlineStr">
        <is>
          <t>Thiết kế web(3)</t>
        </is>
      </c>
      <c r="F317" s="33" t="n">
        <v>1.9</v>
      </c>
      <c r="G317" s="33" t="inlineStr">
        <is>
          <t>Thứ 6 (Ca Tối (18:00 - 20:00))</t>
        </is>
      </c>
    </row>
    <row r="318" ht="20" customHeight="1" s="18">
      <c r="A318" s="37" t="n">
        <v>253630656</v>
      </c>
      <c r="B318" s="38" t="inlineStr">
        <is>
          <t>NGUYỄN MẠNH DŨNG</t>
        </is>
      </c>
      <c r="C318" s="38" t="inlineStr">
        <is>
          <t>Khoa học máy tính K66</t>
        </is>
      </c>
      <c r="D318" s="37" t="inlineStr">
        <is>
          <t>Năm 2</t>
        </is>
      </c>
      <c r="E318" s="38" t="inlineStr">
        <is>
          <t>Lập trình hướng đối tượng(3)</t>
        </is>
      </c>
      <c r="F318" s="37" t="n">
        <v>1.8</v>
      </c>
      <c r="G318" s="37" t="inlineStr">
        <is>
          <t>Thứ 5 (Ca Tối (18:00 - 20:00))</t>
        </is>
      </c>
    </row>
    <row r="319" ht="20" customHeight="1" s="18">
      <c r="A319" s="33" t="n">
        <v>253630656</v>
      </c>
      <c r="B319" s="34" t="inlineStr">
        <is>
          <t>NGUYỄN MẠNH DŨNG</t>
        </is>
      </c>
      <c r="C319" s="34" t="inlineStr">
        <is>
          <t>Khoa học máy tính K66</t>
        </is>
      </c>
      <c r="D319" s="33" t="inlineStr">
        <is>
          <t>Năm 3</t>
        </is>
      </c>
      <c r="E319" s="34" t="inlineStr">
        <is>
          <t>Lập trình Web(3)</t>
        </is>
      </c>
      <c r="F319" s="33" t="n">
        <v>1.8</v>
      </c>
      <c r="G319" s="33" t="inlineStr">
        <is>
          <t>Thứ 6 (Ca Tối (18:00 - 20:00))</t>
        </is>
      </c>
    </row>
    <row r="320" ht="20" customHeight="1" s="18">
      <c r="A320" s="37" t="n">
        <v>253630657</v>
      </c>
      <c r="B320" s="38" t="inlineStr">
        <is>
          <t>PHAN LÊ DŨNG</t>
        </is>
      </c>
      <c r="C320" s="38" t="inlineStr">
        <is>
          <t>Khoa học máy tính K66</t>
        </is>
      </c>
      <c r="D320" s="37" t="inlineStr">
        <is>
          <t>Năm 2</t>
        </is>
      </c>
      <c r="E320" s="38" t="inlineStr">
        <is>
          <t>Lập trình hướng đối tượng(3)</t>
        </is>
      </c>
      <c r="F320" s="37" t="n">
        <v>1.9</v>
      </c>
      <c r="G320" s="37" t="inlineStr">
        <is>
          <t>Thứ 5 (Ca Tối (18:00 - 20:00))</t>
        </is>
      </c>
    </row>
    <row r="321" ht="20" customHeight="1" s="18">
      <c r="A321" s="33" t="n">
        <v>253630658</v>
      </c>
      <c r="B321" s="34" t="inlineStr">
        <is>
          <t>VŨ DŨNG</t>
        </is>
      </c>
      <c r="C321" s="34" t="inlineStr">
        <is>
          <t>Khoa học máy tính K66</t>
        </is>
      </c>
      <c r="D321" s="33" t="inlineStr">
        <is>
          <t>Năm 4</t>
        </is>
      </c>
      <c r="E321" s="34" t="inlineStr">
        <is>
          <t>Bảo vệ đồ án(10)</t>
        </is>
      </c>
      <c r="F321" s="33" t="n">
        <v>1.9</v>
      </c>
      <c r="G321" s="33" t="inlineStr">
        <is>
          <t>Thứ 6 (Ca Tối (18:00 - 20:00))</t>
        </is>
      </c>
    </row>
    <row r="322" ht="20" customHeight="1" s="18">
      <c r="A322" s="37" t="n">
        <v>253610660</v>
      </c>
      <c r="B322" s="38" t="inlineStr">
        <is>
          <t>TẠ MINH DƯƠNG</t>
        </is>
      </c>
      <c r="C322" s="38" t="inlineStr">
        <is>
          <t>Khoa học máy tính K66</t>
        </is>
      </c>
      <c r="D322" s="37" t="inlineStr">
        <is>
          <t>Năm 1</t>
        </is>
      </c>
      <c r="E322" s="38" t="inlineStr">
        <is>
          <t>Tin đại cương(3)</t>
        </is>
      </c>
      <c r="F322" s="37" t="n">
        <v>1.9</v>
      </c>
      <c r="G322" s="37" t="inlineStr">
        <is>
          <t>Thứ 2 (Ca Tối (18:00 - 20:00))</t>
        </is>
      </c>
    </row>
    <row r="323" ht="20" customHeight="1" s="18">
      <c r="A323" s="33" t="n">
        <v>253610661</v>
      </c>
      <c r="B323" s="34" t="inlineStr">
        <is>
          <t>SA XUÂN ĐẠI</t>
        </is>
      </c>
      <c r="C323" s="34" t="inlineStr">
        <is>
          <t>Khoa học máy tính K66</t>
        </is>
      </c>
      <c r="D323" s="33" t="inlineStr">
        <is>
          <t>Năm 1</t>
        </is>
      </c>
      <c r="E323" s="34" t="inlineStr">
        <is>
          <t>Tin đại cương(3)</t>
        </is>
      </c>
      <c r="F323" s="33" t="n">
        <v>1.9</v>
      </c>
      <c r="G323" s="33" t="inlineStr">
        <is>
          <t>Thứ 2 (Ca Tối (18:00 - 20:00))</t>
        </is>
      </c>
    </row>
    <row r="324" ht="20" customHeight="1" s="18">
      <c r="A324" s="37" t="n">
        <v>253630663</v>
      </c>
      <c r="B324" s="38" t="inlineStr">
        <is>
          <t>PHẠM CÔNG ĐOAN</t>
        </is>
      </c>
      <c r="C324" s="38" t="inlineStr">
        <is>
          <t>Khoa học máy tính K66</t>
        </is>
      </c>
      <c r="D324" s="37" t="inlineStr">
        <is>
          <t>Năm 1</t>
        </is>
      </c>
      <c r="E324" s="38" t="inlineStr">
        <is>
          <t>Đại số tuyến tính(3)</t>
        </is>
      </c>
      <c r="F324" s="37" t="n">
        <v>0.6</v>
      </c>
      <c r="G324" s="37" t="inlineStr">
        <is>
          <t>Thứ 4 (Ca Tối (18:00 - 20:00))</t>
        </is>
      </c>
    </row>
    <row r="325" ht="20" customHeight="1" s="18">
      <c r="A325" s="33" t="n">
        <v>253630664</v>
      </c>
      <c r="B325" s="34" t="inlineStr">
        <is>
          <t>ĐỖ TRƯỜNG GIANG</t>
        </is>
      </c>
      <c r="C325" s="34" t="inlineStr">
        <is>
          <t>Khoa học máy tính K66</t>
        </is>
      </c>
      <c r="D325" s="33" t="inlineStr">
        <is>
          <t>Năm 1</t>
        </is>
      </c>
      <c r="E325" s="34" t="inlineStr">
        <is>
          <t>Giải tích(2)</t>
        </is>
      </c>
      <c r="F325" s="33" t="n">
        <v>1.9</v>
      </c>
      <c r="G325" s="33" t="inlineStr">
        <is>
          <t>Thứ 7 (Ca Tối (18:00 - 20:00))</t>
        </is>
      </c>
    </row>
    <row r="326" ht="20" customHeight="1" s="18">
      <c r="A326" s="37" t="n">
        <v>253630664</v>
      </c>
      <c r="B326" s="38" t="inlineStr">
        <is>
          <t>ĐỖ TRƯỜNG GIANG</t>
        </is>
      </c>
      <c r="C326" s="38" t="inlineStr">
        <is>
          <t>Khoa học máy tính K66</t>
        </is>
      </c>
      <c r="D326" s="37" t="inlineStr">
        <is>
          <t>Năm 1</t>
        </is>
      </c>
      <c r="E326" s="38" t="inlineStr">
        <is>
          <t>Đại số tuyến tính(3)</t>
        </is>
      </c>
      <c r="F326" s="37" t="n">
        <v>1.3</v>
      </c>
      <c r="G326" s="37" t="inlineStr">
        <is>
          <t>Thứ 4 (Ca Tối (18:00 - 20:00))</t>
        </is>
      </c>
    </row>
    <row r="327" ht="20" customHeight="1" s="18">
      <c r="A327" s="33" t="n">
        <v>253630664</v>
      </c>
      <c r="B327" s="34" t="inlineStr">
        <is>
          <t>ĐỖ TRƯỜNG GIANG</t>
        </is>
      </c>
      <c r="C327" s="34" t="inlineStr">
        <is>
          <t>Khoa học máy tính K66</t>
        </is>
      </c>
      <c r="D327" s="33" t="inlineStr">
        <is>
          <t>Năm 2</t>
        </is>
      </c>
      <c r="E327" s="34" t="inlineStr">
        <is>
          <t>Lập trình hướng đối tượng(3)</t>
        </is>
      </c>
      <c r="F327" s="33" t="n">
        <v>1.8</v>
      </c>
      <c r="G327" s="33" t="inlineStr">
        <is>
          <t>Thứ 5 (Ca Tối (18:00 - 20:00))</t>
        </is>
      </c>
    </row>
    <row r="328" ht="20" customHeight="1" s="18">
      <c r="A328" s="37" t="n">
        <v>253610666</v>
      </c>
      <c r="B328" s="38" t="inlineStr">
        <is>
          <t>NGHIÊM ANH HÀO</t>
        </is>
      </c>
      <c r="C328" s="38" t="inlineStr">
        <is>
          <t>Khoa học máy tính K66</t>
        </is>
      </c>
      <c r="D328" s="37" t="inlineStr">
        <is>
          <t>Năm 3</t>
        </is>
      </c>
      <c r="E328" s="38" t="inlineStr">
        <is>
          <t>Lập trình trực quan(3)</t>
        </is>
      </c>
      <c r="F328" s="37" t="n">
        <v>1.8</v>
      </c>
      <c r="G328" s="37" t="inlineStr">
        <is>
          <t>Thứ 7 (Ca Tối (18:00 - 20:00))</t>
        </is>
      </c>
    </row>
    <row r="329" ht="20" customHeight="1" s="18">
      <c r="A329" s="33" t="n">
        <v>253610666</v>
      </c>
      <c r="B329" s="34" t="inlineStr">
        <is>
          <t>NGHIÊM ANH HÀO</t>
        </is>
      </c>
      <c r="C329" s="34" t="inlineStr">
        <is>
          <t>Khoa học máy tính K66</t>
        </is>
      </c>
      <c r="D329" s="33" t="inlineStr">
        <is>
          <t>Năm 3</t>
        </is>
      </c>
      <c r="E329" s="34" t="inlineStr">
        <is>
          <t>Thuật toán và ứng dụng(3)</t>
        </is>
      </c>
      <c r="F329" s="33" t="n">
        <v>1.9</v>
      </c>
      <c r="G329" s="33" t="inlineStr">
        <is>
          <t>Thứ 5 (Ca Tối (18:00 - 20:00))</t>
        </is>
      </c>
    </row>
    <row r="330" ht="20" customHeight="1" s="18">
      <c r="A330" s="37" t="n">
        <v>253610666</v>
      </c>
      <c r="B330" s="38" t="inlineStr">
        <is>
          <t>NGHIÊM ANH HÀO</t>
        </is>
      </c>
      <c r="C330" s="38" t="inlineStr">
        <is>
          <t>Khoa học máy tính K66</t>
        </is>
      </c>
      <c r="D330" s="37" t="inlineStr">
        <is>
          <t>Năm 4</t>
        </is>
      </c>
      <c r="E330" s="38" t="inlineStr">
        <is>
          <t>Bảo vệ đồ án(10)</t>
        </is>
      </c>
      <c r="F330" s="37" t="n">
        <v>1.8</v>
      </c>
      <c r="G330" s="37" t="inlineStr">
        <is>
          <t>Thứ 6 (Ca Tối (18:00 - 20:00))</t>
        </is>
      </c>
    </row>
    <row r="331" ht="20" customHeight="1" s="18">
      <c r="A331" s="33" t="n">
        <v>253610668</v>
      </c>
      <c r="B331" s="34" t="inlineStr">
        <is>
          <t>NGUYỄN TRUNG HIẾU</t>
        </is>
      </c>
      <c r="C331" s="34" t="inlineStr">
        <is>
          <t>Khoa học máy tính K66</t>
        </is>
      </c>
      <c r="D331" s="33" t="inlineStr">
        <is>
          <t>Năm 1</t>
        </is>
      </c>
      <c r="E331" s="34" t="inlineStr">
        <is>
          <t>Đại số tuyến tính(3)</t>
        </is>
      </c>
      <c r="F331" s="33" t="n">
        <v>0.7</v>
      </c>
      <c r="G331" s="33" t="inlineStr">
        <is>
          <t>Thứ 4 (Ca Tối (18:00 - 20:00))</t>
        </is>
      </c>
    </row>
    <row r="332" ht="20" customHeight="1" s="18">
      <c r="A332" s="37" t="n">
        <v>253610668</v>
      </c>
      <c r="B332" s="38" t="inlineStr">
        <is>
          <t>NGUYỄN TRUNG HIẾU</t>
        </is>
      </c>
      <c r="C332" s="38" t="inlineStr">
        <is>
          <t>Khoa học máy tính K66</t>
        </is>
      </c>
      <c r="D332" s="37" t="inlineStr">
        <is>
          <t>Năm 2</t>
        </is>
      </c>
      <c r="E332" s="38" t="inlineStr">
        <is>
          <t>Cấu trúc dữ liệu và giải thuật(3)</t>
        </is>
      </c>
      <c r="F332" s="37" t="n">
        <v>1.9</v>
      </c>
      <c r="G332" s="37" t="inlineStr">
        <is>
          <t>Thứ 2 (Ca Tối (18:00 - 20:00))</t>
        </is>
      </c>
    </row>
    <row r="333" ht="20" customHeight="1" s="18">
      <c r="A333" s="33" t="n">
        <v>253610669</v>
      </c>
      <c r="B333" s="34" t="inlineStr">
        <is>
          <t>PHẠM KHÁNH HÒA</t>
        </is>
      </c>
      <c r="C333" s="34" t="inlineStr">
        <is>
          <t>Khoa học máy tính K66</t>
        </is>
      </c>
      <c r="D333" s="33" t="inlineStr">
        <is>
          <t>Năm 1</t>
        </is>
      </c>
      <c r="E333" s="34" t="inlineStr">
        <is>
          <t>Đại số tuyến tính(3)</t>
        </is>
      </c>
      <c r="F333" s="33" t="n">
        <v>1</v>
      </c>
      <c r="G333" s="33" t="inlineStr">
        <is>
          <t>Thứ 4 (Ca Tối (18:00 - 20:00))</t>
        </is>
      </c>
    </row>
    <row r="334" ht="20" customHeight="1" s="18">
      <c r="A334" s="37" t="n">
        <v>253610670</v>
      </c>
      <c r="B334" s="38" t="inlineStr">
        <is>
          <t>HOÀNG NGỌC HÙNG</t>
        </is>
      </c>
      <c r="C334" s="38" t="inlineStr">
        <is>
          <t>Khoa học máy tính K66</t>
        </is>
      </c>
      <c r="D334" s="37" t="inlineStr">
        <is>
          <t>Năm 1</t>
        </is>
      </c>
      <c r="E334" s="38" t="inlineStr">
        <is>
          <t>Đại số tuyến tính(3)</t>
        </is>
      </c>
      <c r="F334" s="37" t="n">
        <v>0.8</v>
      </c>
      <c r="G334" s="37" t="inlineStr">
        <is>
          <t>Thứ 4 (Ca Tối (18:00 - 20:00))</t>
        </is>
      </c>
    </row>
    <row r="335" ht="20" customHeight="1" s="18">
      <c r="A335" s="33" t="n">
        <v>253610670</v>
      </c>
      <c r="B335" s="34" t="inlineStr">
        <is>
          <t>HOÀNG NGỌC HÙNG</t>
        </is>
      </c>
      <c r="C335" s="34" t="inlineStr">
        <is>
          <t>Khoa học máy tính K66</t>
        </is>
      </c>
      <c r="D335" s="33" t="inlineStr">
        <is>
          <t>Năm 2</t>
        </is>
      </c>
      <c r="E335" s="34" t="inlineStr">
        <is>
          <t>Tư tưởng Hồ Chí Minh(2)</t>
        </is>
      </c>
      <c r="F335" s="33" t="n">
        <v>1.9</v>
      </c>
      <c r="G335" s="33" t="inlineStr">
        <is>
          <t>Thứ 3 (Ca Tối (18:00 - 20:00))</t>
        </is>
      </c>
    </row>
    <row r="336" ht="20" customHeight="1" s="18">
      <c r="A336" s="37" t="n">
        <v>253610672</v>
      </c>
      <c r="B336" s="38" t="inlineStr">
        <is>
          <t>MẠC VIỆT HƯNG</t>
        </is>
      </c>
      <c r="C336" s="38" t="inlineStr">
        <is>
          <t>Khoa học máy tính K66</t>
        </is>
      </c>
      <c r="D336" s="37" t="inlineStr">
        <is>
          <t>Năm 2</t>
        </is>
      </c>
      <c r="E336" s="38" t="inlineStr">
        <is>
          <t>Lập trình hướng đối tượng(3)</t>
        </is>
      </c>
      <c r="F336" s="37" t="n">
        <v>1.8</v>
      </c>
      <c r="G336" s="37" t="inlineStr">
        <is>
          <t>Thứ 5 (Ca Tối (18:00 - 20:00))</t>
        </is>
      </c>
    </row>
    <row r="337" ht="20" customHeight="1" s="18">
      <c r="A337" s="33" t="n">
        <v>253610672</v>
      </c>
      <c r="B337" s="34" t="inlineStr">
        <is>
          <t>MẠC VIỆT HƯNG</t>
        </is>
      </c>
      <c r="C337" s="34" t="inlineStr">
        <is>
          <t>Khoa học máy tính K66</t>
        </is>
      </c>
      <c r="D337" s="33" t="inlineStr">
        <is>
          <t>Năm 3</t>
        </is>
      </c>
      <c r="E337" s="34" t="inlineStr">
        <is>
          <t>Lập trình trực quan(3)</t>
        </is>
      </c>
      <c r="F337" s="33" t="n">
        <v>1.8</v>
      </c>
      <c r="G337" s="33" t="inlineStr">
        <is>
          <t>Thứ 7 (Ca Tối (18:00 - 20:00))</t>
        </is>
      </c>
    </row>
    <row r="338" ht="20" customHeight="1" s="18">
      <c r="A338" s="37" t="n">
        <v>253610671</v>
      </c>
      <c r="B338" s="38" t="inlineStr">
        <is>
          <t>NGUYỄN ĐỨC HÙNG</t>
        </is>
      </c>
      <c r="C338" s="38" t="inlineStr">
        <is>
          <t>Khoa học máy tính K66</t>
        </is>
      </c>
      <c r="D338" s="37" t="inlineStr">
        <is>
          <t>Năm 1</t>
        </is>
      </c>
      <c r="E338" s="38" t="inlineStr">
        <is>
          <t>Giải tích(2)</t>
        </is>
      </c>
      <c r="F338" s="37" t="n">
        <v>1.9</v>
      </c>
      <c r="G338" s="37" t="inlineStr">
        <is>
          <t>Thứ 7 (Ca Tối (18:00 - 20:00))</t>
        </is>
      </c>
    </row>
    <row r="339" ht="20" customHeight="1" s="18">
      <c r="A339" s="33" t="n">
        <v>253610671</v>
      </c>
      <c r="B339" s="34" t="inlineStr">
        <is>
          <t>NGUYỄN ĐỨC HÙNG</t>
        </is>
      </c>
      <c r="C339" s="34" t="inlineStr">
        <is>
          <t>Khoa học máy tính K66</t>
        </is>
      </c>
      <c r="D339" s="33" t="inlineStr">
        <is>
          <t>Năm 2</t>
        </is>
      </c>
      <c r="E339" s="34" t="inlineStr">
        <is>
          <t>Tư tưởng Hồ Chí Minh(2)</t>
        </is>
      </c>
      <c r="F339" s="33" t="n">
        <v>1.8</v>
      </c>
      <c r="G339" s="33" t="inlineStr">
        <is>
          <t>Thứ 3 (Ca Tối (18:00 - 20:00))</t>
        </is>
      </c>
    </row>
    <row r="340" ht="20" customHeight="1" s="18">
      <c r="A340" s="37" t="n">
        <v>253610671</v>
      </c>
      <c r="B340" s="38" t="inlineStr">
        <is>
          <t>NGUYỄN ĐỨC HÙNG</t>
        </is>
      </c>
      <c r="C340" s="38" t="inlineStr">
        <is>
          <t>Khoa học máy tính K66</t>
        </is>
      </c>
      <c r="D340" s="37" t="inlineStr">
        <is>
          <t>Năm 3</t>
        </is>
      </c>
      <c r="E340" s="38" t="inlineStr">
        <is>
          <t>Lập trình trực quan(3)</t>
        </is>
      </c>
      <c r="F340" s="37" t="n">
        <v>1.8</v>
      </c>
      <c r="G340" s="37" t="inlineStr">
        <is>
          <t>Thứ 7 (Ca Tối (18:00 - 20:00))</t>
        </is>
      </c>
    </row>
    <row r="341" ht="20" customHeight="1" s="18">
      <c r="A341" s="33" t="n">
        <v>253610674</v>
      </c>
      <c r="B341" s="34" t="inlineStr">
        <is>
          <t>PHẠM GIA KHIÊM</t>
        </is>
      </c>
      <c r="C341" s="34" t="inlineStr">
        <is>
          <t>Khoa học máy tính K66</t>
        </is>
      </c>
      <c r="D341" s="33" t="inlineStr">
        <is>
          <t>Năm 1</t>
        </is>
      </c>
      <c r="E341" s="34" t="inlineStr">
        <is>
          <t>Đại số tuyến tính(3)</t>
        </is>
      </c>
      <c r="F341" s="33" t="n">
        <v>1.6</v>
      </c>
      <c r="G341" s="33" t="inlineStr">
        <is>
          <t>Thứ 4 (Ca Tối (18:00 - 20:00))</t>
        </is>
      </c>
    </row>
    <row r="342" ht="20" customHeight="1" s="18">
      <c r="A342" s="37" t="n">
        <v>253610674</v>
      </c>
      <c r="B342" s="38" t="inlineStr">
        <is>
          <t>PHẠM GIA KHIÊM</t>
        </is>
      </c>
      <c r="C342" s="38" t="inlineStr">
        <is>
          <t>Khoa học máy tính K66</t>
        </is>
      </c>
      <c r="D342" s="37" t="inlineStr">
        <is>
          <t>Năm 4</t>
        </is>
      </c>
      <c r="E342" s="38" t="inlineStr">
        <is>
          <t>Bảo vệ đồ án(10)</t>
        </is>
      </c>
      <c r="F342" s="37" t="n">
        <v>1.8</v>
      </c>
      <c r="G342" s="37" t="inlineStr">
        <is>
          <t>Thứ 6 (Ca Tối (18:00 - 20:00))</t>
        </is>
      </c>
    </row>
    <row r="343" ht="20" customHeight="1" s="18">
      <c r="A343" s="33" t="n">
        <v>253630675</v>
      </c>
      <c r="B343" s="34" t="inlineStr">
        <is>
          <t>HOÀNG ANH KHÔI</t>
        </is>
      </c>
      <c r="C343" s="34" t="inlineStr">
        <is>
          <t>Khoa học máy tính K66</t>
        </is>
      </c>
      <c r="D343" s="33" t="inlineStr">
        <is>
          <t>Năm 1</t>
        </is>
      </c>
      <c r="E343" s="34" t="inlineStr">
        <is>
          <t>Giải tích(2)</t>
        </is>
      </c>
      <c r="F343" s="33" t="n">
        <v>1.8</v>
      </c>
      <c r="G343" s="33" t="inlineStr">
        <is>
          <t>Thứ 7 (Ca Tối (18:00 - 20:00))</t>
        </is>
      </c>
    </row>
    <row r="344" ht="20" customHeight="1" s="18">
      <c r="A344" s="37" t="n">
        <v>253610676</v>
      </c>
      <c r="B344" s="38" t="inlineStr">
        <is>
          <t>VŨ MẠNH KIÊN</t>
        </is>
      </c>
      <c r="C344" s="38" t="inlineStr">
        <is>
          <t>Khoa học máy tính K66</t>
        </is>
      </c>
      <c r="D344" s="37" t="inlineStr">
        <is>
          <t>Năm 1</t>
        </is>
      </c>
      <c r="E344" s="38" t="inlineStr">
        <is>
          <t>Tin đại cương(3)</t>
        </is>
      </c>
      <c r="F344" s="37" t="n">
        <v>1.9</v>
      </c>
      <c r="G344" s="37" t="inlineStr">
        <is>
          <t>Thứ 2 (Ca Tối (18:00 - 20:00))</t>
        </is>
      </c>
    </row>
    <row r="345" ht="20" customHeight="1" s="18">
      <c r="A345" s="33" t="n">
        <v>253610676</v>
      </c>
      <c r="B345" s="34" t="inlineStr">
        <is>
          <t>VŨ MẠNH KIÊN</t>
        </is>
      </c>
      <c r="C345" s="34" t="inlineStr">
        <is>
          <t>Khoa học máy tính K66</t>
        </is>
      </c>
      <c r="D345" s="33" t="inlineStr">
        <is>
          <t>Năm 4</t>
        </is>
      </c>
      <c r="E345" s="34" t="inlineStr">
        <is>
          <t>Bảo vệ đồ án(10)</t>
        </is>
      </c>
      <c r="F345" s="33" t="n">
        <v>1.9</v>
      </c>
      <c r="G345" s="33" t="inlineStr">
        <is>
          <t>Thứ 6 (Ca Tối (18:00 - 20:00))</t>
        </is>
      </c>
    </row>
    <row r="346" ht="20" customHeight="1" s="18">
      <c r="A346" s="37" t="n">
        <v>253610677</v>
      </c>
      <c r="B346" s="38" t="inlineStr">
        <is>
          <t>NGUYỄN HOÀNG LONG</t>
        </is>
      </c>
      <c r="C346" s="38" t="inlineStr">
        <is>
          <t>Khoa học máy tính K66</t>
        </is>
      </c>
      <c r="D346" s="37" t="inlineStr">
        <is>
          <t>Năm 1</t>
        </is>
      </c>
      <c r="E346" s="38" t="inlineStr">
        <is>
          <t>Đại số tuyến tính(3)</t>
        </is>
      </c>
      <c r="F346" s="37" t="n">
        <v>1.8</v>
      </c>
      <c r="G346" s="37" t="inlineStr">
        <is>
          <t>Thứ 4 (Ca Tối (18:00 - 20:00))</t>
        </is>
      </c>
    </row>
    <row r="347" ht="20" customHeight="1" s="18">
      <c r="A347" s="33" t="n">
        <v>253610679</v>
      </c>
      <c r="B347" s="34" t="inlineStr">
        <is>
          <t>HOÀNG ĐỨC MẠNH</t>
        </is>
      </c>
      <c r="C347" s="34" t="inlineStr">
        <is>
          <t>Khoa học máy tính K66</t>
        </is>
      </c>
      <c r="D347" s="33" t="inlineStr">
        <is>
          <t>Năm 1</t>
        </is>
      </c>
      <c r="E347" s="34" t="inlineStr">
        <is>
          <t>Đại số tuyến tính(3)</t>
        </is>
      </c>
      <c r="F347" s="33" t="n">
        <v>1.2</v>
      </c>
      <c r="G347" s="33" t="inlineStr">
        <is>
          <t>Thứ 4 (Ca Tối (18:00 - 20:00))</t>
        </is>
      </c>
    </row>
    <row r="348" ht="20" customHeight="1" s="18">
      <c r="A348" s="37" t="n">
        <v>253630680</v>
      </c>
      <c r="B348" s="38" t="inlineStr">
        <is>
          <t>LÊ ĐỨC MẠNH</t>
        </is>
      </c>
      <c r="C348" s="38" t="inlineStr">
        <is>
          <t>Khoa học máy tính K66</t>
        </is>
      </c>
      <c r="D348" s="37" t="inlineStr">
        <is>
          <t>Năm 3</t>
        </is>
      </c>
      <c r="E348" s="38" t="inlineStr">
        <is>
          <t>Thuật toán và ứng dụng(3)</t>
        </is>
      </c>
      <c r="F348" s="37" t="n">
        <v>1.9</v>
      </c>
      <c r="G348" s="37" t="inlineStr">
        <is>
          <t>Thứ 5 (Ca Tối (18:00 - 20:00))</t>
        </is>
      </c>
    </row>
    <row r="349" ht="20" customHeight="1" s="18">
      <c r="A349" s="33" t="n">
        <v>253610681</v>
      </c>
      <c r="B349" s="34" t="inlineStr">
        <is>
          <t>NGUYỄN BÁ MẠNH</t>
        </is>
      </c>
      <c r="C349" s="34" t="inlineStr">
        <is>
          <t>Khoa học máy tính K66</t>
        </is>
      </c>
      <c r="D349" s="33" t="inlineStr">
        <is>
          <t>Năm 3</t>
        </is>
      </c>
      <c r="E349" s="34" t="inlineStr">
        <is>
          <t>Mạng máy tính(3)</t>
        </is>
      </c>
      <c r="F349" s="33" t="n">
        <v>1.9</v>
      </c>
      <c r="G349" s="33" t="inlineStr">
        <is>
          <t>Thứ 3 (Ca Tối (18:00 - 20:00))</t>
        </is>
      </c>
    </row>
    <row r="350" ht="20" customHeight="1" s="18">
      <c r="A350" s="37" t="n">
        <v>253610682</v>
      </c>
      <c r="B350" s="38" t="inlineStr">
        <is>
          <t>HOÀNG GIA MINH</t>
        </is>
      </c>
      <c r="C350" s="38" t="inlineStr">
        <is>
          <t>Khoa học máy tính K66</t>
        </is>
      </c>
      <c r="D350" s="37" t="inlineStr">
        <is>
          <t>Năm 1</t>
        </is>
      </c>
      <c r="E350" s="38" t="inlineStr">
        <is>
          <t>Đại số tuyến tính(3)</t>
        </is>
      </c>
      <c r="F350" s="37" t="n">
        <v>1.5</v>
      </c>
      <c r="G350" s="37" t="inlineStr">
        <is>
          <t>Thứ 4 (Ca Tối (18:00 - 20:00))</t>
        </is>
      </c>
    </row>
    <row r="351" ht="20" customHeight="1" s="18">
      <c r="A351" s="33" t="n">
        <v>253610682</v>
      </c>
      <c r="B351" s="34" t="inlineStr">
        <is>
          <t>HOÀNG GIA MINH</t>
        </is>
      </c>
      <c r="C351" s="34" t="inlineStr">
        <is>
          <t>Khoa học máy tính K66</t>
        </is>
      </c>
      <c r="D351" s="33" t="inlineStr">
        <is>
          <t>Năm 3</t>
        </is>
      </c>
      <c r="E351" s="34" t="inlineStr">
        <is>
          <t>Lập trình Web(3)</t>
        </is>
      </c>
      <c r="F351" s="33" t="n">
        <v>1.8</v>
      </c>
      <c r="G351" s="33" t="inlineStr">
        <is>
          <t>Thứ 6 (Ca Tối (18:00 - 20:00))</t>
        </is>
      </c>
    </row>
    <row r="352" ht="20" customHeight="1" s="18">
      <c r="A352" s="37" t="n">
        <v>253610683</v>
      </c>
      <c r="B352" s="38" t="inlineStr">
        <is>
          <t>LÊ QUANG MINH</t>
        </is>
      </c>
      <c r="C352" s="38" t="inlineStr">
        <is>
          <t>Khoa học máy tính K66</t>
        </is>
      </c>
      <c r="D352" s="37" t="inlineStr">
        <is>
          <t>Năm 1</t>
        </is>
      </c>
      <c r="E352" s="38" t="inlineStr">
        <is>
          <t>Đại số tuyến tính(3)</t>
        </is>
      </c>
      <c r="F352" s="37" t="n">
        <v>0.8</v>
      </c>
      <c r="G352" s="37" t="inlineStr">
        <is>
          <t>Thứ 4 (Ca Tối (18:00 - 20:00))</t>
        </is>
      </c>
    </row>
    <row r="353" ht="20" customHeight="1" s="18">
      <c r="A353" s="33" t="n">
        <v>253610683</v>
      </c>
      <c r="B353" s="34" t="inlineStr">
        <is>
          <t>LÊ QUANG MINH</t>
        </is>
      </c>
      <c r="C353" s="34" t="inlineStr">
        <is>
          <t>Khoa học máy tính K66</t>
        </is>
      </c>
      <c r="D353" s="33" t="inlineStr">
        <is>
          <t>Năm 3</t>
        </is>
      </c>
      <c r="E353" s="34" t="inlineStr">
        <is>
          <t>Mạng máy tính(3)</t>
        </is>
      </c>
      <c r="F353" s="33" t="n">
        <v>1.8</v>
      </c>
      <c r="G353" s="33" t="inlineStr">
        <is>
          <t>Thứ 3 (Ca Tối (18:00 - 20:00))</t>
        </is>
      </c>
    </row>
    <row r="354" ht="20" customHeight="1" s="18">
      <c r="A354" s="37" t="n">
        <v>253610684</v>
      </c>
      <c r="B354" s="38" t="inlineStr">
        <is>
          <t>NGUYỄN NHẬT MINH</t>
        </is>
      </c>
      <c r="C354" s="38" t="inlineStr">
        <is>
          <t>Khoa học máy tính K66</t>
        </is>
      </c>
      <c r="D354" s="37" t="inlineStr">
        <is>
          <t>Năm 1</t>
        </is>
      </c>
      <c r="E354" s="38" t="inlineStr">
        <is>
          <t>Tin đại cương(3)</t>
        </is>
      </c>
      <c r="F354" s="37" t="n">
        <v>1.8</v>
      </c>
      <c r="G354" s="37" t="inlineStr">
        <is>
          <t>Thứ 2 (Ca Tối (18:00 - 20:00))</t>
        </is>
      </c>
    </row>
    <row r="355" ht="20" customHeight="1" s="18">
      <c r="A355" s="33" t="n">
        <v>253610684</v>
      </c>
      <c r="B355" s="34" t="inlineStr">
        <is>
          <t>NGUYỄN NHẬT MINH</t>
        </is>
      </c>
      <c r="C355" s="34" t="inlineStr">
        <is>
          <t>Khoa học máy tính K66</t>
        </is>
      </c>
      <c r="D355" s="33" t="inlineStr">
        <is>
          <t>Năm 2</t>
        </is>
      </c>
      <c r="E355" s="34" t="inlineStr">
        <is>
          <t>Tư tưởng Hồ Chí Minh(2)</t>
        </is>
      </c>
      <c r="F355" s="33" t="n">
        <v>1.9</v>
      </c>
      <c r="G355" s="33" t="inlineStr">
        <is>
          <t>Thứ 3 (Ca Tối (18:00 - 20:00))</t>
        </is>
      </c>
    </row>
    <row r="356" ht="20" customHeight="1" s="18">
      <c r="A356" s="37" t="n">
        <v>253610685</v>
      </c>
      <c r="B356" s="38" t="inlineStr">
        <is>
          <t>NGUYỄN THÀNH MINH</t>
        </is>
      </c>
      <c r="C356" s="38" t="inlineStr">
        <is>
          <t>Khoa học máy tính K66</t>
        </is>
      </c>
      <c r="D356" s="37" t="inlineStr">
        <is>
          <t>Năm 1</t>
        </is>
      </c>
      <c r="E356" s="38" t="inlineStr">
        <is>
          <t>Đại số tuyến tính(3)</t>
        </is>
      </c>
      <c r="F356" s="37" t="n">
        <v>0.7</v>
      </c>
      <c r="G356" s="37" t="inlineStr">
        <is>
          <t>Thứ 4 (Ca Tối (18:00 - 20:00))</t>
        </is>
      </c>
    </row>
    <row r="357" ht="20" customHeight="1" s="18">
      <c r="A357" s="33" t="n">
        <v>253610686</v>
      </c>
      <c r="B357" s="34" t="inlineStr">
        <is>
          <t>PHẠM NHẬT MINH</t>
        </is>
      </c>
      <c r="C357" s="34" t="inlineStr">
        <is>
          <t>Khoa học máy tính K66</t>
        </is>
      </c>
      <c r="D357" s="33" t="inlineStr">
        <is>
          <t>Năm 1</t>
        </is>
      </c>
      <c r="E357" s="34" t="inlineStr">
        <is>
          <t>Đại số tuyến tính(3)</t>
        </is>
      </c>
      <c r="F357" s="33" t="n">
        <v>1.9</v>
      </c>
      <c r="G357" s="33" t="inlineStr">
        <is>
          <t>Thứ 4 (Ca Tối (18:00 - 20:00))</t>
        </is>
      </c>
    </row>
    <row r="358" ht="20" customHeight="1" s="18">
      <c r="A358" s="37" t="n">
        <v>253630687</v>
      </c>
      <c r="B358" s="38" t="inlineStr">
        <is>
          <t>HOÀNG TUẤN PHONG</t>
        </is>
      </c>
      <c r="C358" s="38" t="inlineStr">
        <is>
          <t>Khoa học máy tính K66</t>
        </is>
      </c>
      <c r="D358" s="37" t="inlineStr">
        <is>
          <t>Năm 1</t>
        </is>
      </c>
      <c r="E358" s="38" t="inlineStr">
        <is>
          <t>Tin đại cương(3)</t>
        </is>
      </c>
      <c r="F358" s="37" t="n">
        <v>1.8</v>
      </c>
      <c r="G358" s="37" t="inlineStr">
        <is>
          <t>Thứ 2 (Ca Tối (18:00 - 20:00))</t>
        </is>
      </c>
    </row>
    <row r="359" ht="20" customHeight="1" s="18">
      <c r="A359" s="33" t="n">
        <v>253630687</v>
      </c>
      <c r="B359" s="34" t="inlineStr">
        <is>
          <t>HOÀNG TUẤN PHONG</t>
        </is>
      </c>
      <c r="C359" s="34" t="inlineStr">
        <is>
          <t>Khoa học máy tính K66</t>
        </is>
      </c>
      <c r="D359" s="33" t="inlineStr">
        <is>
          <t>Năm 2</t>
        </is>
      </c>
      <c r="E359" s="34" t="inlineStr">
        <is>
          <t>Thiết kế web(3)</t>
        </is>
      </c>
      <c r="F359" s="33" t="n">
        <v>1.8</v>
      </c>
      <c r="G359" s="33" t="inlineStr">
        <is>
          <t>Thứ 6 (Ca Tối (18:00 - 20:00))</t>
        </is>
      </c>
    </row>
    <row r="360" ht="20" customHeight="1" s="18">
      <c r="A360" s="37" t="n">
        <v>253630688</v>
      </c>
      <c r="B360" s="38" t="inlineStr">
        <is>
          <t>TRẦN ĐAN PHONG</t>
        </is>
      </c>
      <c r="C360" s="38" t="inlineStr">
        <is>
          <t>Khoa học máy tính K66</t>
        </is>
      </c>
      <c r="D360" s="37" t="inlineStr">
        <is>
          <t>Năm 2</t>
        </is>
      </c>
      <c r="E360" s="38" t="inlineStr">
        <is>
          <t>Lập trình hướng đối tượng(3)</t>
        </is>
      </c>
      <c r="F360" s="37" t="n">
        <v>1.9</v>
      </c>
      <c r="G360" s="37" t="inlineStr">
        <is>
          <t>Thứ 5 (Ca Tối (18:00 - 20:00))</t>
        </is>
      </c>
    </row>
    <row r="361" ht="20" customHeight="1" s="18">
      <c r="A361" s="33" t="n">
        <v>253634785</v>
      </c>
      <c r="B361" s="34" t="inlineStr">
        <is>
          <t>ĐINH VĂN PHÚC</t>
        </is>
      </c>
      <c r="C361" s="34" t="inlineStr">
        <is>
          <t>Khoa học máy tính K66</t>
        </is>
      </c>
      <c r="D361" s="33" t="inlineStr">
        <is>
          <t>Năm 3</t>
        </is>
      </c>
      <c r="E361" s="34" t="inlineStr">
        <is>
          <t>Thuật toán và ứng dụng(3)</t>
        </is>
      </c>
      <c r="F361" s="33" t="n">
        <v>1.8</v>
      </c>
      <c r="G361" s="33" t="inlineStr">
        <is>
          <t>Thứ 5 (Ca Tối (18:00 - 20:00))</t>
        </is>
      </c>
    </row>
    <row r="362" ht="20" customHeight="1" s="18">
      <c r="A362" s="37" t="n">
        <v>253610689</v>
      </c>
      <c r="B362" s="38" t="inlineStr">
        <is>
          <t>HOÀNG MINH QUÂN</t>
        </is>
      </c>
      <c r="C362" s="38" t="inlineStr">
        <is>
          <t>Khoa học máy tính K66</t>
        </is>
      </c>
      <c r="D362" s="37" t="inlineStr">
        <is>
          <t>Năm 2</t>
        </is>
      </c>
      <c r="E362" s="38" t="inlineStr">
        <is>
          <t>Cấu trúc dữ liệu và giải thuật(3)</t>
        </is>
      </c>
      <c r="F362" s="37" t="n">
        <v>1.9</v>
      </c>
      <c r="G362" s="37" t="inlineStr">
        <is>
          <t>Thứ 2 (Ca Tối (18:00 - 20:00))</t>
        </is>
      </c>
    </row>
    <row r="363" ht="20" customHeight="1" s="18">
      <c r="A363" s="33" t="n">
        <v>253610689</v>
      </c>
      <c r="B363" s="34" t="inlineStr">
        <is>
          <t>HOÀNG MINH QUÂN</t>
        </is>
      </c>
      <c r="C363" s="34" t="inlineStr">
        <is>
          <t>Khoa học máy tính K66</t>
        </is>
      </c>
      <c r="D363" s="33" t="inlineStr">
        <is>
          <t>Năm 4</t>
        </is>
      </c>
      <c r="E363" s="34" t="inlineStr">
        <is>
          <t>Bảo vệ đồ án(10)</t>
        </is>
      </c>
      <c r="F363" s="33" t="n">
        <v>1.8</v>
      </c>
      <c r="G363" s="33" t="inlineStr">
        <is>
          <t>Thứ 6 (Ca Tối (18:00 - 20:00))</t>
        </is>
      </c>
    </row>
    <row r="364" ht="20" customHeight="1" s="18">
      <c r="A364" s="37" t="n">
        <v>253610690</v>
      </c>
      <c r="B364" s="38" t="inlineStr">
        <is>
          <t>ĐỖ MINH SƠN</t>
        </is>
      </c>
      <c r="C364" s="38" t="inlineStr">
        <is>
          <t>Khoa học máy tính K66</t>
        </is>
      </c>
      <c r="D364" s="37" t="inlineStr">
        <is>
          <t>Năm 3</t>
        </is>
      </c>
      <c r="E364" s="38" t="inlineStr">
        <is>
          <t>Lập trình trực quan(3)</t>
        </is>
      </c>
      <c r="F364" s="37" t="n">
        <v>1.8</v>
      </c>
      <c r="G364" s="37" t="inlineStr">
        <is>
          <t>Thứ 7 (Ca Tối (18:00 - 20:00))</t>
        </is>
      </c>
    </row>
    <row r="365" ht="20" customHeight="1" s="18">
      <c r="A365" s="33" t="n">
        <v>253610691</v>
      </c>
      <c r="B365" s="34" t="inlineStr">
        <is>
          <t>ĐẶNG THẾ THÀNH</t>
        </is>
      </c>
      <c r="C365" s="34" t="inlineStr">
        <is>
          <t>Khoa học máy tính K66</t>
        </is>
      </c>
      <c r="D365" s="33" t="inlineStr">
        <is>
          <t>Năm 1</t>
        </is>
      </c>
      <c r="E365" s="34" t="inlineStr">
        <is>
          <t>Giải tích(2)</t>
        </is>
      </c>
      <c r="F365" s="33" t="n">
        <v>1.8</v>
      </c>
      <c r="G365" s="33" t="inlineStr">
        <is>
          <t>Thứ 7 (Ca Tối (18:00 - 20:00))</t>
        </is>
      </c>
    </row>
    <row r="366" ht="20" customHeight="1" s="18">
      <c r="A366" s="37" t="n">
        <v>253610691</v>
      </c>
      <c r="B366" s="38" t="inlineStr">
        <is>
          <t>ĐẶNG THẾ THÀNH</t>
        </is>
      </c>
      <c r="C366" s="38" t="inlineStr">
        <is>
          <t>Khoa học máy tính K66</t>
        </is>
      </c>
      <c r="D366" s="37" t="inlineStr">
        <is>
          <t>Năm 1</t>
        </is>
      </c>
      <c r="E366" s="38" t="inlineStr">
        <is>
          <t>Đại số tuyến tính(3)</t>
        </is>
      </c>
      <c r="F366" s="37" t="n">
        <v>0.4</v>
      </c>
      <c r="G366" s="37" t="inlineStr">
        <is>
          <t>Thứ 4 (Ca Tối (18:00 - 20:00))</t>
        </is>
      </c>
    </row>
    <row r="367" ht="20" customHeight="1" s="18">
      <c r="A367" s="33" t="n">
        <v>253610691</v>
      </c>
      <c r="B367" s="34" t="inlineStr">
        <is>
          <t>ĐẶNG THẾ THÀNH</t>
        </is>
      </c>
      <c r="C367" s="34" t="inlineStr">
        <is>
          <t>Khoa học máy tính K66</t>
        </is>
      </c>
      <c r="D367" s="33" t="inlineStr">
        <is>
          <t>Năm 2</t>
        </is>
      </c>
      <c r="E367" s="34" t="inlineStr">
        <is>
          <t>Lập trình hướng đối tượng(3)</t>
        </is>
      </c>
      <c r="F367" s="33" t="n">
        <v>1.8</v>
      </c>
      <c r="G367" s="33" t="inlineStr">
        <is>
          <t>Thứ 5 (Ca Tối (18:00 - 20:00))</t>
        </is>
      </c>
    </row>
    <row r="368" ht="20" customHeight="1" s="18">
      <c r="A368" s="37" t="n">
        <v>253630692</v>
      </c>
      <c r="B368" s="38" t="inlineStr">
        <is>
          <t>PHAN CHÍNH THÀNH</t>
        </is>
      </c>
      <c r="C368" s="38" t="inlineStr">
        <is>
          <t>Khoa học máy tính K66</t>
        </is>
      </c>
      <c r="D368" s="37" t="inlineStr">
        <is>
          <t>Năm 1</t>
        </is>
      </c>
      <c r="E368" s="38" t="inlineStr">
        <is>
          <t>Tin đại cương(3)</t>
        </is>
      </c>
      <c r="F368" s="37" t="n">
        <v>1.9</v>
      </c>
      <c r="G368" s="37" t="inlineStr">
        <is>
          <t>Thứ 2 (Ca Tối (18:00 - 20:00))</t>
        </is>
      </c>
    </row>
    <row r="369" ht="20" customHeight="1" s="18">
      <c r="A369" s="33" t="n">
        <v>253630692</v>
      </c>
      <c r="B369" s="34" t="inlineStr">
        <is>
          <t>PHAN CHÍNH THÀNH</t>
        </is>
      </c>
      <c r="C369" s="34" t="inlineStr">
        <is>
          <t>Khoa học máy tính K66</t>
        </is>
      </c>
      <c r="D369" s="33" t="inlineStr">
        <is>
          <t>Năm 1</t>
        </is>
      </c>
      <c r="E369" s="34" t="inlineStr">
        <is>
          <t>Đại số tuyến tính(3)</t>
        </is>
      </c>
      <c r="F369" s="33" t="n">
        <v>0.1</v>
      </c>
      <c r="G369" s="33" t="inlineStr">
        <is>
          <t>Thứ 4 (Ca Tối (18:00 - 20:00))</t>
        </is>
      </c>
    </row>
    <row r="370" ht="20" customHeight="1" s="18">
      <c r="A370" s="37" t="n">
        <v>253610693</v>
      </c>
      <c r="B370" s="38" t="inlineStr">
        <is>
          <t>TRẦN NHẬT THÀNH</t>
        </is>
      </c>
      <c r="C370" s="38" t="inlineStr">
        <is>
          <t>Khoa học máy tính K66</t>
        </is>
      </c>
      <c r="D370" s="37" t="inlineStr">
        <is>
          <t>Năm 1</t>
        </is>
      </c>
      <c r="E370" s="38" t="inlineStr">
        <is>
          <t>Đại số tuyến tính(3)</t>
        </is>
      </c>
      <c r="F370" s="37" t="n">
        <v>0.7</v>
      </c>
      <c r="G370" s="37" t="inlineStr">
        <is>
          <t>Thứ 4 (Ca Tối (18:00 - 20:00))</t>
        </is>
      </c>
    </row>
    <row r="371" ht="20" customHeight="1" s="18">
      <c r="A371" s="33" t="n">
        <v>253630695</v>
      </c>
      <c r="B371" s="34" t="inlineStr">
        <is>
          <t>CAO ĐĂNG THIỆN</t>
        </is>
      </c>
      <c r="C371" s="34" t="inlineStr">
        <is>
          <t>Khoa học máy tính K66</t>
        </is>
      </c>
      <c r="D371" s="33" t="inlineStr">
        <is>
          <t>Năm 1</t>
        </is>
      </c>
      <c r="E371" s="34" t="inlineStr">
        <is>
          <t>Đại số tuyến tính(3)</t>
        </is>
      </c>
      <c r="F371" s="33" t="n">
        <v>0.4</v>
      </c>
      <c r="G371" s="33" t="inlineStr">
        <is>
          <t>Thứ 4 (Ca Tối (18:00 - 20:00))</t>
        </is>
      </c>
    </row>
    <row r="372" ht="20" customHeight="1" s="18">
      <c r="A372" s="37" t="n">
        <v>253610696</v>
      </c>
      <c r="B372" s="38" t="inlineStr">
        <is>
          <t>NGUYỄN ĐỨC THỊNH</t>
        </is>
      </c>
      <c r="C372" s="38" t="inlineStr">
        <is>
          <t>Khoa học máy tính K66</t>
        </is>
      </c>
      <c r="D372" s="37" t="inlineStr">
        <is>
          <t>Năm 1</t>
        </is>
      </c>
      <c r="E372" s="38" t="inlineStr">
        <is>
          <t>Tin đại cương(3)</t>
        </is>
      </c>
      <c r="F372" s="37" t="n">
        <v>1.9</v>
      </c>
      <c r="G372" s="37" t="inlineStr">
        <is>
          <t>Thứ 2 (Ca Tối (18:00 - 20:00))</t>
        </is>
      </c>
    </row>
    <row r="373" ht="20" customHeight="1" s="18">
      <c r="A373" s="33" t="n">
        <v>253610696</v>
      </c>
      <c r="B373" s="34" t="inlineStr">
        <is>
          <t>NGUYỄN ĐỨC THỊNH</t>
        </is>
      </c>
      <c r="C373" s="34" t="inlineStr">
        <is>
          <t>Khoa học máy tính K66</t>
        </is>
      </c>
      <c r="D373" s="33" t="inlineStr">
        <is>
          <t>Năm 2</t>
        </is>
      </c>
      <c r="E373" s="34" t="inlineStr">
        <is>
          <t>Cấu trúc dữ liệu và giải thuật(3)</t>
        </is>
      </c>
      <c r="F373" s="33" t="n">
        <v>1.8</v>
      </c>
      <c r="G373" s="33" t="inlineStr">
        <is>
          <t>Thứ 2 (Ca Tối (18:00 - 20:00))</t>
        </is>
      </c>
    </row>
    <row r="374" ht="20" customHeight="1" s="18">
      <c r="A374" s="37" t="n">
        <v>253610696</v>
      </c>
      <c r="B374" s="38" t="inlineStr">
        <is>
          <t>NGUYỄN ĐỨC THỊNH</t>
        </is>
      </c>
      <c r="C374" s="38" t="inlineStr">
        <is>
          <t>Khoa học máy tính K66</t>
        </is>
      </c>
      <c r="D374" s="37" t="inlineStr">
        <is>
          <t>Năm 4</t>
        </is>
      </c>
      <c r="E374" s="38" t="inlineStr">
        <is>
          <t>Bảo vệ đồ án(10)</t>
        </is>
      </c>
      <c r="F374" s="37" t="n">
        <v>1.9</v>
      </c>
      <c r="G374" s="37" t="inlineStr">
        <is>
          <t>Thứ 6 (Ca Tối (18:00 - 20:00))</t>
        </is>
      </c>
    </row>
    <row r="375" ht="20" customHeight="1" s="18">
      <c r="A375" s="33" t="n">
        <v>253610699</v>
      </c>
      <c r="B375" s="34" t="inlineStr">
        <is>
          <t>CAO VĂN TRÌNH</t>
        </is>
      </c>
      <c r="C375" s="34" t="inlineStr">
        <is>
          <t>Khoa học máy tính K66</t>
        </is>
      </c>
      <c r="D375" s="33" t="inlineStr">
        <is>
          <t>Năm 1</t>
        </is>
      </c>
      <c r="E375" s="34" t="inlineStr">
        <is>
          <t>Đại số tuyến tính(3)</t>
        </is>
      </c>
      <c r="F375" s="33" t="n">
        <v>1.7</v>
      </c>
      <c r="G375" s="33" t="inlineStr">
        <is>
          <t>Thứ 4 (Ca Tối (18:00 - 20:00))</t>
        </is>
      </c>
    </row>
    <row r="376" ht="20" customHeight="1" s="18">
      <c r="A376" s="37" t="n">
        <v>253610699</v>
      </c>
      <c r="B376" s="38" t="inlineStr">
        <is>
          <t>CAO VĂN TRÌNH</t>
        </is>
      </c>
      <c r="C376" s="38" t="inlineStr">
        <is>
          <t>Khoa học máy tính K66</t>
        </is>
      </c>
      <c r="D376" s="37" t="inlineStr">
        <is>
          <t>Năm 2</t>
        </is>
      </c>
      <c r="E376" s="38" t="inlineStr">
        <is>
          <t>Lập trình hướng đối tượng(3)</t>
        </is>
      </c>
      <c r="F376" s="37" t="n">
        <v>1.9</v>
      </c>
      <c r="G376" s="37" t="inlineStr">
        <is>
          <t>Thứ 5 (Ca Tối (18:00 - 20:00))</t>
        </is>
      </c>
    </row>
    <row r="377" ht="20" customHeight="1" s="18">
      <c r="A377" s="33" t="n">
        <v>253610700</v>
      </c>
      <c r="B377" s="34" t="inlineStr">
        <is>
          <t>TRƯƠNG ANH TUẤN</t>
        </is>
      </c>
      <c r="C377" s="34" t="inlineStr">
        <is>
          <t>Khoa học máy tính K66</t>
        </is>
      </c>
      <c r="D377" s="33" t="inlineStr">
        <is>
          <t>Năm 2</t>
        </is>
      </c>
      <c r="E377" s="34" t="inlineStr">
        <is>
          <t>Cấu trúc dữ liệu và giải thuật(3)</t>
        </is>
      </c>
      <c r="F377" s="33" t="n">
        <v>1.8</v>
      </c>
      <c r="G377" s="33" t="inlineStr">
        <is>
          <t>Thứ 2 (Ca Tối (18:00 - 20:00))</t>
        </is>
      </c>
    </row>
    <row r="378" ht="20" customHeight="1" s="18">
      <c r="A378" s="37" t="n">
        <v>253610701</v>
      </c>
      <c r="B378" s="38" t="inlineStr">
        <is>
          <t>NGUYỄN ĐĂNG VIỆT</t>
        </is>
      </c>
      <c r="C378" s="38" t="inlineStr">
        <is>
          <t>Khoa học máy tính K66</t>
        </is>
      </c>
      <c r="D378" s="37" t="inlineStr">
        <is>
          <t>Năm 1</t>
        </is>
      </c>
      <c r="E378" s="38" t="inlineStr">
        <is>
          <t>Triết Học Mác-lênin(3)</t>
        </is>
      </c>
      <c r="F378" s="37" t="n">
        <v>1.8</v>
      </c>
      <c r="G378" s="37" t="inlineStr">
        <is>
          <t>Thứ 5 (Ca Tối (18:00 - 20:00))</t>
        </is>
      </c>
    </row>
    <row r="379" ht="20" customHeight="1" s="18">
      <c r="A379" s="33" t="n">
        <v>253610701</v>
      </c>
      <c r="B379" s="34" t="inlineStr">
        <is>
          <t>NGUYỄN ĐĂNG VIỆT</t>
        </is>
      </c>
      <c r="C379" s="34" t="inlineStr">
        <is>
          <t>Khoa học máy tính K66</t>
        </is>
      </c>
      <c r="D379" s="33" t="inlineStr">
        <is>
          <t>Năm 1</t>
        </is>
      </c>
      <c r="E379" s="34" t="inlineStr">
        <is>
          <t>Đại số tuyến tính(3)</t>
        </is>
      </c>
      <c r="F379" s="33" t="n">
        <v>0.4</v>
      </c>
      <c r="G379" s="33" t="inlineStr">
        <is>
          <t>Thứ 4 (Ca Tối (18:00 - 20:00))</t>
        </is>
      </c>
    </row>
    <row r="380" ht="20" customHeight="1" s="18">
      <c r="A380" s="37" t="n">
        <v>253610701</v>
      </c>
      <c r="B380" s="38" t="inlineStr">
        <is>
          <t>NGUYỄN ĐĂNG VIỆT</t>
        </is>
      </c>
      <c r="C380" s="38" t="inlineStr">
        <is>
          <t>Khoa học máy tính K66</t>
        </is>
      </c>
      <c r="D380" s="37" t="inlineStr">
        <is>
          <t>Năm 2</t>
        </is>
      </c>
      <c r="E380" s="38" t="inlineStr">
        <is>
          <t>Thiết kế web(3)</t>
        </is>
      </c>
      <c r="F380" s="37" t="n">
        <v>1.9</v>
      </c>
      <c r="G380" s="37" t="inlineStr">
        <is>
          <t>Thứ 6 (Ca Tối (18:00 - 20:00))</t>
        </is>
      </c>
    </row>
    <row r="381" ht="20" customHeight="1" s="18">
      <c r="A381" s="33" t="n">
        <v>253610701</v>
      </c>
      <c r="B381" s="34" t="inlineStr">
        <is>
          <t>NGUYỄN ĐĂNG VIỆT</t>
        </is>
      </c>
      <c r="C381" s="34" t="inlineStr">
        <is>
          <t>Khoa học máy tính K66</t>
        </is>
      </c>
      <c r="D381" s="33" t="inlineStr">
        <is>
          <t>Năm 2</t>
        </is>
      </c>
      <c r="E381" s="34" t="inlineStr">
        <is>
          <t>Lập trình hướng đối tượng(3)</t>
        </is>
      </c>
      <c r="F381" s="33" t="n">
        <v>1.9</v>
      </c>
      <c r="G381" s="33" t="inlineStr">
        <is>
          <t>Thứ 5 (Ca Tối (18:00 - 20:00))</t>
        </is>
      </c>
    </row>
  </sheetData>
  <autoFilter ref="A3:G38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style="18" min="1" max="1"/>
    <col width="18" customWidth="1" style="18" min="2" max="2"/>
    <col width="20" customWidth="1" style="18" min="3" max="3"/>
  </cols>
  <sheetData>
    <row r="1">
      <c r="A1" s="39" t="inlineStr">
        <is>
          <t>CẤU HÌNH HỌC PHÍ</t>
        </is>
      </c>
    </row>
    <row r="3">
      <c r="A3" s="40" t="inlineStr">
        <is>
          <t>Học phí cơ bản / môn (Năm 1)</t>
        </is>
      </c>
      <c r="B3" s="41" t="n">
        <v>550000</v>
      </c>
    </row>
    <row r="4">
      <c r="A4" s="40" t="inlineStr">
        <is>
          <t>Mức tăng mỗi năm</t>
        </is>
      </c>
      <c r="B4" s="42" t="n">
        <v>0.1</v>
      </c>
    </row>
    <row r="5">
      <c r="A5" s="40" t="inlineStr">
        <is>
          <t>Phí phụ đạo / môn (điểm &lt; 2.0)</t>
        </is>
      </c>
      <c r="B5" s="41" t="n">
        <v>1000000</v>
      </c>
    </row>
    <row r="7" ht="32" customHeight="1" s="18">
      <c r="A7" s="43" t="inlineStr">
        <is>
          <t>Năm học</t>
        </is>
      </c>
      <c r="B7" s="43" t="inlineStr">
        <is>
          <t>Đơn giá / môn</t>
        </is>
      </c>
      <c r="C7" s="43" t="inlineStr">
        <is>
          <t>Năm học (niên khóa)</t>
        </is>
      </c>
    </row>
    <row r="8">
      <c r="A8" t="inlineStr">
        <is>
          <t>Năm 1</t>
        </is>
      </c>
      <c r="B8" s="44">
        <f>ROUND($B$3*(1+$B$4)^0,0)</f>
        <v/>
      </c>
      <c r="C8" t="inlineStr">
        <is>
          <t>2025_2026</t>
        </is>
      </c>
    </row>
    <row r="9">
      <c r="A9" t="inlineStr">
        <is>
          <t>Năm 2</t>
        </is>
      </c>
      <c r="B9" s="44">
        <f>ROUND($B$3*(1+$B$4)^1,0)</f>
        <v/>
      </c>
      <c r="C9" t="inlineStr">
        <is>
          <t>2026_2027</t>
        </is>
      </c>
    </row>
    <row r="10">
      <c r="A10" t="inlineStr">
        <is>
          <t>Năm 3</t>
        </is>
      </c>
      <c r="B10" s="44">
        <f>ROUND($B$3*(1+$B$4)^2,0)</f>
        <v/>
      </c>
      <c r="C10" t="inlineStr">
        <is>
          <t>2027_2028</t>
        </is>
      </c>
    </row>
    <row r="11">
      <c r="A11" t="inlineStr">
        <is>
          <t>Năm 4</t>
        </is>
      </c>
      <c r="B11" s="44">
        <f>ROUND($B$3*(1+$B$4)^3,0)</f>
        <v/>
      </c>
      <c r="C11" t="inlineStr">
        <is>
          <t>2028_2029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2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18" min="1" max="1"/>
    <col width="26" customWidth="1" style="18" min="2" max="2"/>
    <col width="26" customWidth="1" style="18" min="3" max="3"/>
    <col width="10" customWidth="1" style="18" min="4" max="4"/>
    <col width="12" customWidth="1" style="18" min="5" max="5"/>
    <col width="8" customWidth="1" style="18" min="6" max="6"/>
    <col width="14" customWidth="1" style="18" min="7" max="7"/>
    <col width="16" customWidth="1" style="18" min="8" max="8"/>
    <col width="10" customWidth="1" style="18" min="9" max="9"/>
    <col width="14" customWidth="1" style="18" min="10" max="10"/>
    <col width="12" customWidth="1" style="18" min="11" max="11"/>
    <col width="16" customWidth="1" style="18" min="12" max="12"/>
    <col width="16" customWidth="1" style="18" min="13" max="13"/>
    <col width="10" customWidth="1" style="18" min="14" max="14"/>
    <col width="12" customWidth="1" style="18" min="15" max="15"/>
    <col width="14" customWidth="1" style="18" min="16" max="16"/>
    <col width="12" customWidth="1" style="18" min="17" max="17"/>
    <col width="15" customWidth="1" style="18" min="18" max="18"/>
    <col width="30" customWidth="1" style="18" min="19" max="19"/>
  </cols>
  <sheetData>
    <row r="1">
      <c r="A1" s="39" t="inlineStr">
        <is>
          <t>CHI TIẾT HỌC PHÍ THEO NĂM HỌC</t>
        </is>
      </c>
    </row>
    <row r="3" ht="32" customHeight="1" s="18">
      <c r="A3" s="43" t="inlineStr">
        <is>
          <t>MSV</t>
        </is>
      </c>
      <c r="B3" s="43" t="inlineStr">
        <is>
          <t>Họ và tên</t>
        </is>
      </c>
      <c r="C3" s="43" t="inlineStr">
        <is>
          <t>Lớp</t>
        </is>
      </c>
      <c r="D3" s="43" t="inlineStr">
        <is>
          <t>Năm học</t>
        </is>
      </c>
      <c r="E3" s="43" t="inlineStr">
        <is>
          <t>Niên khóa</t>
        </is>
      </c>
      <c r="F3" s="43" t="inlineStr">
        <is>
          <t>Số môn</t>
        </is>
      </c>
      <c r="G3" s="43" t="inlineStr">
        <is>
          <t>Đơn giá / môn</t>
        </is>
      </c>
      <c r="H3" s="43" t="inlineStr">
        <is>
          <t>Học phí môn học</t>
        </is>
      </c>
      <c r="I3" s="43" t="inlineStr">
        <is>
          <t>Số môn phụ đạo</t>
        </is>
      </c>
      <c r="J3" s="43" t="inlineStr">
        <is>
          <t>Phí phụ đạo</t>
        </is>
      </c>
      <c r="K3" s="43" t="inlineStr">
        <is>
          <t>Miễn giảm</t>
        </is>
      </c>
      <c r="L3" s="43" t="inlineStr">
        <is>
          <t>Phải nộp</t>
        </is>
      </c>
      <c r="M3" s="43" t="inlineStr">
        <is>
          <t>Đã nộp</t>
        </is>
      </c>
      <c r="N3" s="43" t="inlineStr">
        <is>
          <t>Đã rút</t>
        </is>
      </c>
      <c r="O3" s="43" t="inlineStr">
        <is>
          <t>Thừa</t>
        </is>
      </c>
      <c r="P3" s="43" t="inlineStr">
        <is>
          <t>Còn nợ</t>
        </is>
      </c>
      <c r="Q3" s="43" t="inlineStr">
        <is>
          <t>Hạn nộp</t>
        </is>
      </c>
      <c r="R3" s="43" t="inlineStr">
        <is>
          <t>Số phiếu thu</t>
        </is>
      </c>
      <c r="S3" s="43" t="inlineStr">
        <is>
          <t>Ghi chú</t>
        </is>
      </c>
    </row>
    <row r="4">
      <c r="A4" s="45" t="inlineStr">
        <is>
          <t>251230808</t>
        </is>
      </c>
      <c r="B4" s="45" t="inlineStr">
        <is>
          <t>CHU ĐỨC ÁNH</t>
        </is>
      </c>
      <c r="C4" s="45" t="inlineStr">
        <is>
          <t>Công nghệ thông tin 1 K66</t>
        </is>
      </c>
      <c r="D4" s="45" t="inlineStr">
        <is>
          <t>Năm 1</t>
        </is>
      </c>
      <c r="E4" s="45" t="inlineStr">
        <is>
          <t>2025_2026</t>
        </is>
      </c>
      <c r="F4" s="45" t="n">
        <v>4</v>
      </c>
      <c r="G4" s="46">
        <f>VLOOKUP(D4,'Cấu Hình Học Phí'!$A$8:$B$11,2,FALSE)</f>
        <v/>
      </c>
      <c r="H4" s="46">
        <f>F4*G4</f>
        <v/>
      </c>
      <c r="I4" s="45" t="n">
        <v>0</v>
      </c>
      <c r="J4" s="46">
        <f>I4*'Cấu Hình Học Phí'!$B$5</f>
        <v/>
      </c>
      <c r="K4" s="46" t="n">
        <v>0</v>
      </c>
      <c r="L4" s="46">
        <f>H4+J4-K4</f>
        <v/>
      </c>
      <c r="M4" s="46" t="n">
        <v>2200000</v>
      </c>
      <c r="N4" s="46" t="n">
        <v>0</v>
      </c>
      <c r="O4" s="46">
        <f>MAX(0,M4-N4-L4)</f>
        <v/>
      </c>
      <c r="P4" s="46">
        <f>MAX(0,L4-(M4-N4))</f>
        <v/>
      </c>
      <c r="Q4" s="45" t="inlineStr">
        <is>
          <t>30/09/2025</t>
        </is>
      </c>
      <c r="R4" s="45" t="inlineStr">
        <is>
          <t>PT2025-00001</t>
        </is>
      </c>
      <c r="S4" s="45" t="inlineStr"/>
    </row>
    <row r="5">
      <c r="A5" s="45" t="inlineStr">
        <is>
          <t>251230808</t>
        </is>
      </c>
      <c r="B5" s="45" t="inlineStr">
        <is>
          <t>CHU ĐỨC ÁNH</t>
        </is>
      </c>
      <c r="C5" s="45" t="inlineStr">
        <is>
          <t>Công nghệ thông tin 1 K66</t>
        </is>
      </c>
      <c r="D5" s="45" t="inlineStr">
        <is>
          <t>Năm 2</t>
        </is>
      </c>
      <c r="E5" s="45" t="inlineStr">
        <is>
          <t>2026_2027</t>
        </is>
      </c>
      <c r="F5" s="45" t="n">
        <v>4</v>
      </c>
      <c r="G5" s="46">
        <f>VLOOKUP(D5,'Cấu Hình Học Phí'!$A$8:$B$11,2,FALSE)</f>
        <v/>
      </c>
      <c r="H5" s="46">
        <f>F5*G5</f>
        <v/>
      </c>
      <c r="I5" s="45" t="n">
        <v>0</v>
      </c>
      <c r="J5" s="46">
        <f>I5*'Cấu Hình Học Phí'!$B$5</f>
        <v/>
      </c>
      <c r="K5" s="46" t="n">
        <v>0</v>
      </c>
      <c r="L5" s="46">
        <f>H5+J5-K5</f>
        <v/>
      </c>
      <c r="M5" s="46" t="n">
        <v>2420000</v>
      </c>
      <c r="N5" s="46" t="n">
        <v>0</v>
      </c>
      <c r="O5" s="46">
        <f>MAX(0,M5-N5-L5)</f>
        <v/>
      </c>
      <c r="P5" s="46">
        <f>MAX(0,L5-(M5-N5))</f>
        <v/>
      </c>
      <c r="Q5" s="45" t="inlineStr">
        <is>
          <t>30/09/2026</t>
        </is>
      </c>
      <c r="R5" s="45" t="inlineStr">
        <is>
          <t>PT2026-00002</t>
        </is>
      </c>
      <c r="S5" s="45" t="inlineStr"/>
    </row>
    <row r="6">
      <c r="A6" s="45" t="inlineStr">
        <is>
          <t>251230808</t>
        </is>
      </c>
      <c r="B6" s="45" t="inlineStr">
        <is>
          <t>CHU ĐỨC ÁNH</t>
        </is>
      </c>
      <c r="C6" s="45" t="inlineStr">
        <is>
          <t>Công nghệ thông tin 1 K66</t>
        </is>
      </c>
      <c r="D6" s="45" t="inlineStr">
        <is>
          <t>Năm 3</t>
        </is>
      </c>
      <c r="E6" s="45" t="inlineStr">
        <is>
          <t>2027_2028</t>
        </is>
      </c>
      <c r="F6" s="45" t="n">
        <v>4</v>
      </c>
      <c r="G6" s="46">
        <f>VLOOKUP(D6,'Cấu Hình Học Phí'!$A$8:$B$11,2,FALSE)</f>
        <v/>
      </c>
      <c r="H6" s="46">
        <f>F6*G6</f>
        <v/>
      </c>
      <c r="I6" s="45" t="n">
        <v>0</v>
      </c>
      <c r="J6" s="46">
        <f>I6*'Cấu Hình Học Phí'!$B$5</f>
        <v/>
      </c>
      <c r="K6" s="46" t="n">
        <v>0</v>
      </c>
      <c r="L6" s="46">
        <f>H6+J6-K6</f>
        <v/>
      </c>
      <c r="M6" s="46" t="n">
        <v>2662000</v>
      </c>
      <c r="N6" s="46" t="n">
        <v>0</v>
      </c>
      <c r="O6" s="46">
        <f>MAX(0,M6-N6-L6)</f>
        <v/>
      </c>
      <c r="P6" s="46">
        <f>MAX(0,L6-(M6-N6))</f>
        <v/>
      </c>
      <c r="Q6" s="45" t="inlineStr">
        <is>
          <t>30/09/2027</t>
        </is>
      </c>
      <c r="R6" s="45" t="inlineStr">
        <is>
          <t>PT2027-00003</t>
        </is>
      </c>
      <c r="S6" s="45" t="inlineStr"/>
    </row>
    <row r="7">
      <c r="A7" s="45" t="inlineStr">
        <is>
          <t>251230808</t>
        </is>
      </c>
      <c r="B7" s="45" t="inlineStr">
        <is>
          <t>CHU ĐỨC ÁNH</t>
        </is>
      </c>
      <c r="C7" s="45" t="inlineStr">
        <is>
          <t>Công nghệ thông tin 1 K66</t>
        </is>
      </c>
      <c r="D7" s="45" t="inlineStr">
        <is>
          <t>Năm 4</t>
        </is>
      </c>
      <c r="E7" s="45" t="inlineStr">
        <is>
          <t>2028_2029</t>
        </is>
      </c>
      <c r="F7" s="45" t="n">
        <v>1</v>
      </c>
      <c r="G7" s="46">
        <f>VLOOKUP(D7,'Cấu Hình Học Phí'!$A$8:$B$11,2,FALSE)</f>
        <v/>
      </c>
      <c r="H7" s="46">
        <f>F7*G7</f>
        <v/>
      </c>
      <c r="I7" s="45" t="n">
        <v>0</v>
      </c>
      <c r="J7" s="46">
        <f>I7*'Cấu Hình Học Phí'!$B$5</f>
        <v/>
      </c>
      <c r="K7" s="46" t="n">
        <v>0</v>
      </c>
      <c r="L7" s="46">
        <f>H7+J7-K7</f>
        <v/>
      </c>
      <c r="M7" s="46" t="n">
        <v>732050</v>
      </c>
      <c r="N7" s="46" t="n">
        <v>0</v>
      </c>
      <c r="O7" s="46">
        <f>MAX(0,M7-N7-L7)</f>
        <v/>
      </c>
      <c r="P7" s="46">
        <f>MAX(0,L7-(M7-N7))</f>
        <v/>
      </c>
      <c r="Q7" s="45" t="inlineStr">
        <is>
          <t>30/09/2028</t>
        </is>
      </c>
      <c r="R7" s="45" t="inlineStr">
        <is>
          <t>PT2028-00004</t>
        </is>
      </c>
      <c r="S7" s="45" t="inlineStr"/>
    </row>
    <row r="8">
      <c r="A8" s="45" t="inlineStr">
        <is>
          <t>251210800</t>
        </is>
      </c>
      <c r="B8" s="45" t="inlineStr">
        <is>
          <t>LÊ QUANG ANH</t>
        </is>
      </c>
      <c r="C8" s="45" t="inlineStr">
        <is>
          <t>Công nghệ thông tin 1 K66</t>
        </is>
      </c>
      <c r="D8" s="45" t="inlineStr">
        <is>
          <t>Năm 1</t>
        </is>
      </c>
      <c r="E8" s="45" t="inlineStr">
        <is>
          <t>2025_2026</t>
        </is>
      </c>
      <c r="F8" s="45" t="n">
        <v>4</v>
      </c>
      <c r="G8" s="46">
        <f>VLOOKUP(D8,'Cấu Hình Học Phí'!$A$8:$B$11,2,FALSE)</f>
        <v/>
      </c>
      <c r="H8" s="46">
        <f>F8*G8</f>
        <v/>
      </c>
      <c r="I8" s="45" t="n">
        <v>0</v>
      </c>
      <c r="J8" s="46">
        <f>I8*'Cấu Hình Học Phí'!$B$5</f>
        <v/>
      </c>
      <c r="K8" s="46" t="n">
        <v>0</v>
      </c>
      <c r="L8" s="46">
        <f>H8+J8-K8</f>
        <v/>
      </c>
      <c r="M8" s="46" t="n">
        <v>2200000</v>
      </c>
      <c r="N8" s="46" t="n">
        <v>0</v>
      </c>
      <c r="O8" s="46">
        <f>MAX(0,M8-N8-L8)</f>
        <v/>
      </c>
      <c r="P8" s="46">
        <f>MAX(0,L8-(M8-N8))</f>
        <v/>
      </c>
      <c r="Q8" s="45" t="inlineStr">
        <is>
          <t>30/09/2025</t>
        </is>
      </c>
      <c r="R8" s="45" t="inlineStr">
        <is>
          <t>PT2025-00005</t>
        </is>
      </c>
      <c r="S8" s="45" t="inlineStr"/>
    </row>
    <row r="9">
      <c r="A9" s="45" t="inlineStr">
        <is>
          <t>251210800</t>
        </is>
      </c>
      <c r="B9" s="45" t="inlineStr">
        <is>
          <t>LÊ QUANG ANH</t>
        </is>
      </c>
      <c r="C9" s="45" t="inlineStr">
        <is>
          <t>Công nghệ thông tin 1 K66</t>
        </is>
      </c>
      <c r="D9" s="45" t="inlineStr">
        <is>
          <t>Năm 2</t>
        </is>
      </c>
      <c r="E9" s="45" t="inlineStr">
        <is>
          <t>2026_2027</t>
        </is>
      </c>
      <c r="F9" s="45" t="n">
        <v>4</v>
      </c>
      <c r="G9" s="46">
        <f>VLOOKUP(D9,'Cấu Hình Học Phí'!$A$8:$B$11,2,FALSE)</f>
        <v/>
      </c>
      <c r="H9" s="46">
        <f>F9*G9</f>
        <v/>
      </c>
      <c r="I9" s="45" t="n">
        <v>1</v>
      </c>
      <c r="J9" s="46">
        <f>I9*'Cấu Hình Học Phí'!$B$5</f>
        <v/>
      </c>
      <c r="K9" s="46" t="n">
        <v>0</v>
      </c>
      <c r="L9" s="46">
        <f>H9+J9-K9</f>
        <v/>
      </c>
      <c r="M9" s="46" t="n">
        <v>3420000</v>
      </c>
      <c r="N9" s="46" t="n">
        <v>0</v>
      </c>
      <c r="O9" s="46">
        <f>MAX(0,M9-N9-L9)</f>
        <v/>
      </c>
      <c r="P9" s="46">
        <f>MAX(0,L9-(M9-N9))</f>
        <v/>
      </c>
      <c r="Q9" s="45" t="inlineStr">
        <is>
          <t>30/09/2026</t>
        </is>
      </c>
      <c r="R9" s="45" t="inlineStr">
        <is>
          <t>PT2026-00006</t>
        </is>
      </c>
      <c r="S9" s="45" t="inlineStr"/>
    </row>
    <row r="10">
      <c r="A10" s="45" t="inlineStr">
        <is>
          <t>251210800</t>
        </is>
      </c>
      <c r="B10" s="45" t="inlineStr">
        <is>
          <t>LÊ QUANG ANH</t>
        </is>
      </c>
      <c r="C10" s="45" t="inlineStr">
        <is>
          <t>Công nghệ thông tin 1 K66</t>
        </is>
      </c>
      <c r="D10" s="45" t="inlineStr">
        <is>
          <t>Năm 3</t>
        </is>
      </c>
      <c r="E10" s="45" t="inlineStr">
        <is>
          <t>2027_2028</t>
        </is>
      </c>
      <c r="F10" s="45" t="n">
        <v>4</v>
      </c>
      <c r="G10" s="46">
        <f>VLOOKUP(D10,'Cấu Hình Học Phí'!$A$8:$B$11,2,FALSE)</f>
        <v/>
      </c>
      <c r="H10" s="46">
        <f>F10*G10</f>
        <v/>
      </c>
      <c r="I10" s="45" t="n">
        <v>0</v>
      </c>
      <c r="J10" s="46">
        <f>I10*'Cấu Hình Học Phí'!$B$5</f>
        <v/>
      </c>
      <c r="K10" s="46" t="n">
        <v>0</v>
      </c>
      <c r="L10" s="46">
        <f>H10+J10-K10</f>
        <v/>
      </c>
      <c r="M10" s="46" t="n">
        <v>2662000</v>
      </c>
      <c r="N10" s="46" t="n">
        <v>0</v>
      </c>
      <c r="O10" s="46">
        <f>MAX(0,M10-N10-L10)</f>
        <v/>
      </c>
      <c r="P10" s="46">
        <f>MAX(0,L10-(M10-N10))</f>
        <v/>
      </c>
      <c r="Q10" s="45" t="inlineStr">
        <is>
          <t>30/09/2027</t>
        </is>
      </c>
      <c r="R10" s="45" t="inlineStr">
        <is>
          <t>PT2027-00007</t>
        </is>
      </c>
      <c r="S10" s="45" t="inlineStr"/>
    </row>
    <row r="11">
      <c r="A11" s="45" t="inlineStr">
        <is>
          <t>251210800</t>
        </is>
      </c>
      <c r="B11" s="45" t="inlineStr">
        <is>
          <t>LÊ QUANG ANH</t>
        </is>
      </c>
      <c r="C11" s="45" t="inlineStr">
        <is>
          <t>Công nghệ thông tin 1 K66</t>
        </is>
      </c>
      <c r="D11" s="45" t="inlineStr">
        <is>
          <t>Năm 4</t>
        </is>
      </c>
      <c r="E11" s="45" t="inlineStr">
        <is>
          <t>2028_2029</t>
        </is>
      </c>
      <c r="F11" s="45" t="n">
        <v>1</v>
      </c>
      <c r="G11" s="46">
        <f>VLOOKUP(D11,'Cấu Hình Học Phí'!$A$8:$B$11,2,FALSE)</f>
        <v/>
      </c>
      <c r="H11" s="46">
        <f>F11*G11</f>
        <v/>
      </c>
      <c r="I11" s="45" t="n">
        <v>0</v>
      </c>
      <c r="J11" s="46">
        <f>I11*'Cấu Hình Học Phí'!$B$5</f>
        <v/>
      </c>
      <c r="K11" s="46" t="n">
        <v>0</v>
      </c>
      <c r="L11" s="46">
        <f>H11+J11-K11</f>
        <v/>
      </c>
      <c r="M11" s="46" t="n">
        <v>732050</v>
      </c>
      <c r="N11" s="46" t="n">
        <v>0</v>
      </c>
      <c r="O11" s="46">
        <f>MAX(0,M11-N11-L11)</f>
        <v/>
      </c>
      <c r="P11" s="46">
        <f>MAX(0,L11-(M11-N11))</f>
        <v/>
      </c>
      <c r="Q11" s="45" t="inlineStr">
        <is>
          <t>30/09/2028</t>
        </is>
      </c>
      <c r="R11" s="45" t="inlineStr">
        <is>
          <t>PT2028-00008</t>
        </is>
      </c>
      <c r="S11" s="45" t="inlineStr"/>
    </row>
    <row r="12">
      <c r="A12" s="45" t="inlineStr">
        <is>
          <t>251230801</t>
        </is>
      </c>
      <c r="B12" s="45" t="inlineStr">
        <is>
          <t>NGÔ AN ĐỨC ANH</t>
        </is>
      </c>
      <c r="C12" s="45" t="inlineStr">
        <is>
          <t>Công nghệ thông tin 1 K66</t>
        </is>
      </c>
      <c r="D12" s="45" t="inlineStr">
        <is>
          <t>Năm 1</t>
        </is>
      </c>
      <c r="E12" s="45" t="inlineStr">
        <is>
          <t>2025_2026</t>
        </is>
      </c>
      <c r="F12" s="45" t="n">
        <v>4</v>
      </c>
      <c r="G12" s="46">
        <f>VLOOKUP(D12,'Cấu Hình Học Phí'!$A$8:$B$11,2,FALSE)</f>
        <v/>
      </c>
      <c r="H12" s="46">
        <f>F12*G12</f>
        <v/>
      </c>
      <c r="I12" s="45" t="n">
        <v>1</v>
      </c>
      <c r="J12" s="46">
        <f>I12*'Cấu Hình Học Phí'!$B$5</f>
        <v/>
      </c>
      <c r="K12" s="46" t="n">
        <v>0</v>
      </c>
      <c r="L12" s="46">
        <f>H12+J12-K12</f>
        <v/>
      </c>
      <c r="M12" s="46" t="n">
        <v>3200000</v>
      </c>
      <c r="N12" s="46" t="n">
        <v>0</v>
      </c>
      <c r="O12" s="46">
        <f>MAX(0,M12-N12-L12)</f>
        <v/>
      </c>
      <c r="P12" s="46">
        <f>MAX(0,L12-(M12-N12))</f>
        <v/>
      </c>
      <c r="Q12" s="45" t="inlineStr">
        <is>
          <t>30/09/2025</t>
        </is>
      </c>
      <c r="R12" s="45" t="inlineStr">
        <is>
          <t>PT2025-00009</t>
        </is>
      </c>
      <c r="S12" s="45" t="inlineStr"/>
    </row>
    <row r="13">
      <c r="A13" s="45" t="inlineStr">
        <is>
          <t>251230801</t>
        </is>
      </c>
      <c r="B13" s="45" t="inlineStr">
        <is>
          <t>NGÔ AN ĐỨC ANH</t>
        </is>
      </c>
      <c r="C13" s="45" t="inlineStr">
        <is>
          <t>Công nghệ thông tin 1 K66</t>
        </is>
      </c>
      <c r="D13" s="45" t="inlineStr">
        <is>
          <t>Năm 2</t>
        </is>
      </c>
      <c r="E13" s="45" t="inlineStr">
        <is>
          <t>2026_2027</t>
        </is>
      </c>
      <c r="F13" s="45" t="n">
        <v>4</v>
      </c>
      <c r="G13" s="46">
        <f>VLOOKUP(D13,'Cấu Hình Học Phí'!$A$8:$B$11,2,FALSE)</f>
        <v/>
      </c>
      <c r="H13" s="46">
        <f>F13*G13</f>
        <v/>
      </c>
      <c r="I13" s="45" t="n">
        <v>0</v>
      </c>
      <c r="J13" s="46">
        <f>I13*'Cấu Hình Học Phí'!$B$5</f>
        <v/>
      </c>
      <c r="K13" s="46" t="n">
        <v>0</v>
      </c>
      <c r="L13" s="46">
        <f>H13+J13-K13</f>
        <v/>
      </c>
      <c r="M13" s="46" t="n">
        <v>2420000</v>
      </c>
      <c r="N13" s="46" t="n">
        <v>0</v>
      </c>
      <c r="O13" s="46">
        <f>MAX(0,M13-N13-L13)</f>
        <v/>
      </c>
      <c r="P13" s="46">
        <f>MAX(0,L13-(M13-N13))</f>
        <v/>
      </c>
      <c r="Q13" s="45" t="inlineStr">
        <is>
          <t>30/09/2026</t>
        </is>
      </c>
      <c r="R13" s="45" t="inlineStr">
        <is>
          <t>PT2026-00010</t>
        </is>
      </c>
      <c r="S13" s="45" t="inlineStr"/>
    </row>
    <row r="14">
      <c r="A14" s="45" t="inlineStr">
        <is>
          <t>251230801</t>
        </is>
      </c>
      <c r="B14" s="45" t="inlineStr">
        <is>
          <t>NGÔ AN ĐỨC ANH</t>
        </is>
      </c>
      <c r="C14" s="45" t="inlineStr">
        <is>
          <t>Công nghệ thông tin 1 K66</t>
        </is>
      </c>
      <c r="D14" s="45" t="inlineStr">
        <is>
          <t>Năm 3</t>
        </is>
      </c>
      <c r="E14" s="45" t="inlineStr">
        <is>
          <t>2027_2028</t>
        </is>
      </c>
      <c r="F14" s="45" t="n">
        <v>4</v>
      </c>
      <c r="G14" s="46">
        <f>VLOOKUP(D14,'Cấu Hình Học Phí'!$A$8:$B$11,2,FALSE)</f>
        <v/>
      </c>
      <c r="H14" s="46">
        <f>F14*G14</f>
        <v/>
      </c>
      <c r="I14" s="45" t="n">
        <v>0</v>
      </c>
      <c r="J14" s="46">
        <f>I14*'Cấu Hình Học Phí'!$B$5</f>
        <v/>
      </c>
      <c r="K14" s="46" t="n">
        <v>0</v>
      </c>
      <c r="L14" s="46">
        <f>H14+J14-K14</f>
        <v/>
      </c>
      <c r="M14" s="46" t="n">
        <v>2662000</v>
      </c>
      <c r="N14" s="46" t="n">
        <v>0</v>
      </c>
      <c r="O14" s="46">
        <f>MAX(0,M14-N14-L14)</f>
        <v/>
      </c>
      <c r="P14" s="46">
        <f>MAX(0,L14-(M14-N14))</f>
        <v/>
      </c>
      <c r="Q14" s="45" t="inlineStr">
        <is>
          <t>30/09/2027</t>
        </is>
      </c>
      <c r="R14" s="45" t="inlineStr">
        <is>
          <t>PT2027-00011</t>
        </is>
      </c>
      <c r="S14" s="45" t="inlineStr"/>
    </row>
    <row r="15">
      <c r="A15" s="45" t="inlineStr">
        <is>
          <t>251230801</t>
        </is>
      </c>
      <c r="B15" s="45" t="inlineStr">
        <is>
          <t>NGÔ AN ĐỨC ANH</t>
        </is>
      </c>
      <c r="C15" s="45" t="inlineStr">
        <is>
          <t>Công nghệ thông tin 1 K66</t>
        </is>
      </c>
      <c r="D15" s="45" t="inlineStr">
        <is>
          <t>Năm 4</t>
        </is>
      </c>
      <c r="E15" s="45" t="inlineStr">
        <is>
          <t>2028_2029</t>
        </is>
      </c>
      <c r="F15" s="45" t="n">
        <v>1</v>
      </c>
      <c r="G15" s="46">
        <f>VLOOKUP(D15,'Cấu Hình Học Phí'!$A$8:$B$11,2,FALSE)</f>
        <v/>
      </c>
      <c r="H15" s="46">
        <f>F15*G15</f>
        <v/>
      </c>
      <c r="I15" s="45" t="n">
        <v>0</v>
      </c>
      <c r="J15" s="46">
        <f>I15*'Cấu Hình Học Phí'!$B$5</f>
        <v/>
      </c>
      <c r="K15" s="46" t="n">
        <v>0</v>
      </c>
      <c r="L15" s="46">
        <f>H15+J15-K15</f>
        <v/>
      </c>
      <c r="M15" s="46" t="n">
        <v>732050</v>
      </c>
      <c r="N15" s="46" t="n">
        <v>0</v>
      </c>
      <c r="O15" s="46">
        <f>MAX(0,M15-N15-L15)</f>
        <v/>
      </c>
      <c r="P15" s="46">
        <f>MAX(0,L15-(M15-N15))</f>
        <v/>
      </c>
      <c r="Q15" s="45" t="inlineStr">
        <is>
          <t>30/09/2028</t>
        </is>
      </c>
      <c r="R15" s="45" t="inlineStr">
        <is>
          <t>PT2028-00012</t>
        </is>
      </c>
      <c r="S15" s="45" t="inlineStr"/>
    </row>
    <row r="16">
      <c r="A16" s="45" t="inlineStr">
        <is>
          <t>251230807</t>
        </is>
      </c>
      <c r="B16" s="45" t="inlineStr">
        <is>
          <t>TÔ VIỆT ANH</t>
        </is>
      </c>
      <c r="C16" s="45" t="inlineStr">
        <is>
          <t>Công nghệ thông tin 1 K66</t>
        </is>
      </c>
      <c r="D16" s="45" t="inlineStr">
        <is>
          <t>Năm 1</t>
        </is>
      </c>
      <c r="E16" s="45" t="inlineStr">
        <is>
          <t>2025_2026</t>
        </is>
      </c>
      <c r="F16" s="45" t="n">
        <v>4</v>
      </c>
      <c r="G16" s="46">
        <f>VLOOKUP(D16,'Cấu Hình Học Phí'!$A$8:$B$11,2,FALSE)</f>
        <v/>
      </c>
      <c r="H16" s="46">
        <f>F16*G16</f>
        <v/>
      </c>
      <c r="I16" s="45" t="n">
        <v>3</v>
      </c>
      <c r="J16" s="46">
        <f>I16*'Cấu Hình Học Phí'!$B$5</f>
        <v/>
      </c>
      <c r="K16" s="46" t="n">
        <v>0</v>
      </c>
      <c r="L16" s="46">
        <f>H16+J16-K16</f>
        <v/>
      </c>
      <c r="M16" s="46" t="n">
        <v>4200000</v>
      </c>
      <c r="N16" s="46" t="n">
        <v>0</v>
      </c>
      <c r="O16" s="46">
        <f>MAX(0,M16-N16-L16)</f>
        <v/>
      </c>
      <c r="P16" s="46">
        <f>MAX(0,L16-(M16-N16))</f>
        <v/>
      </c>
      <c r="Q16" s="45" t="inlineStr">
        <is>
          <t>30/09/2025</t>
        </is>
      </c>
      <c r="R16" s="45" t="inlineStr">
        <is>
          <t>PT2025-00013</t>
        </is>
      </c>
      <c r="S16" s="45" t="inlineStr">
        <is>
          <t>Chưa nộp phí phụ đạo 1 môn</t>
        </is>
      </c>
    </row>
    <row r="17">
      <c r="A17" s="45" t="inlineStr">
        <is>
          <t>251230807</t>
        </is>
      </c>
      <c r="B17" s="45" t="inlineStr">
        <is>
          <t>TÔ VIỆT ANH</t>
        </is>
      </c>
      <c r="C17" s="45" t="inlineStr">
        <is>
          <t>Công nghệ thông tin 1 K66</t>
        </is>
      </c>
      <c r="D17" s="45" t="inlineStr">
        <is>
          <t>Năm 2</t>
        </is>
      </c>
      <c r="E17" s="45" t="inlineStr">
        <is>
          <t>2026_2027</t>
        </is>
      </c>
      <c r="F17" s="45" t="n">
        <v>4</v>
      </c>
      <c r="G17" s="46">
        <f>VLOOKUP(D17,'Cấu Hình Học Phí'!$A$8:$B$11,2,FALSE)</f>
        <v/>
      </c>
      <c r="H17" s="46">
        <f>F17*G17</f>
        <v/>
      </c>
      <c r="I17" s="45" t="n">
        <v>0</v>
      </c>
      <c r="J17" s="46">
        <f>I17*'Cấu Hình Học Phí'!$B$5</f>
        <v/>
      </c>
      <c r="K17" s="46" t="n">
        <v>0</v>
      </c>
      <c r="L17" s="46">
        <f>H17+J17-K17</f>
        <v/>
      </c>
      <c r="M17" s="46" t="n">
        <v>2420000</v>
      </c>
      <c r="N17" s="46" t="n">
        <v>0</v>
      </c>
      <c r="O17" s="46">
        <f>MAX(0,M17-N17-L17)</f>
        <v/>
      </c>
      <c r="P17" s="46">
        <f>MAX(0,L17-(M17-N17))</f>
        <v/>
      </c>
      <c r="Q17" s="45" t="inlineStr">
        <is>
          <t>30/09/2026</t>
        </is>
      </c>
      <c r="R17" s="45" t="inlineStr">
        <is>
          <t>PT2026-00014</t>
        </is>
      </c>
      <c r="S17" s="45" t="inlineStr"/>
    </row>
    <row r="18">
      <c r="A18" s="45" t="inlineStr">
        <is>
          <t>251230807</t>
        </is>
      </c>
      <c r="B18" s="45" t="inlineStr">
        <is>
          <t>TÔ VIỆT ANH</t>
        </is>
      </c>
      <c r="C18" s="45" t="inlineStr">
        <is>
          <t>Công nghệ thông tin 1 K66</t>
        </is>
      </c>
      <c r="D18" s="45" t="inlineStr">
        <is>
          <t>Năm 3</t>
        </is>
      </c>
      <c r="E18" s="45" t="inlineStr">
        <is>
          <t>2027_2028</t>
        </is>
      </c>
      <c r="F18" s="45" t="n">
        <v>4</v>
      </c>
      <c r="G18" s="46">
        <f>VLOOKUP(D18,'Cấu Hình Học Phí'!$A$8:$B$11,2,FALSE)</f>
        <v/>
      </c>
      <c r="H18" s="46">
        <f>F18*G18</f>
        <v/>
      </c>
      <c r="I18" s="45" t="n">
        <v>0</v>
      </c>
      <c r="J18" s="46">
        <f>I18*'Cấu Hình Học Phí'!$B$5</f>
        <v/>
      </c>
      <c r="K18" s="46" t="n">
        <v>0</v>
      </c>
      <c r="L18" s="46">
        <f>H18+J18-K18</f>
        <v/>
      </c>
      <c r="M18" s="46" t="n">
        <v>2662000</v>
      </c>
      <c r="N18" s="46" t="n">
        <v>0</v>
      </c>
      <c r="O18" s="46">
        <f>MAX(0,M18-N18-L18)</f>
        <v/>
      </c>
      <c r="P18" s="46">
        <f>MAX(0,L18-(M18-N18))</f>
        <v/>
      </c>
      <c r="Q18" s="45" t="inlineStr">
        <is>
          <t>30/09/2027</t>
        </is>
      </c>
      <c r="R18" s="45" t="inlineStr">
        <is>
          <t>PT2027-00015</t>
        </is>
      </c>
      <c r="S18" s="45" t="inlineStr"/>
    </row>
    <row r="19">
      <c r="A19" s="45" t="inlineStr">
        <is>
          <t>251230807</t>
        </is>
      </c>
      <c r="B19" s="45" t="inlineStr">
        <is>
          <t>TÔ VIỆT ANH</t>
        </is>
      </c>
      <c r="C19" s="45" t="inlineStr">
        <is>
          <t>Công nghệ thông tin 1 K66</t>
        </is>
      </c>
      <c r="D19" s="45" t="inlineStr">
        <is>
          <t>Năm 4</t>
        </is>
      </c>
      <c r="E19" s="45" t="inlineStr">
        <is>
          <t>2028_2029</t>
        </is>
      </c>
      <c r="F19" s="45" t="n">
        <v>1</v>
      </c>
      <c r="G19" s="46">
        <f>VLOOKUP(D19,'Cấu Hình Học Phí'!$A$8:$B$11,2,FALSE)</f>
        <v/>
      </c>
      <c r="H19" s="46">
        <f>F19*G19</f>
        <v/>
      </c>
      <c r="I19" s="45" t="n">
        <v>0</v>
      </c>
      <c r="J19" s="46">
        <f>I19*'Cấu Hình Học Phí'!$B$5</f>
        <v/>
      </c>
      <c r="K19" s="46" t="n">
        <v>0</v>
      </c>
      <c r="L19" s="46">
        <f>H19+J19-K19</f>
        <v/>
      </c>
      <c r="M19" s="46" t="n">
        <v>732050</v>
      </c>
      <c r="N19" s="46" t="n">
        <v>0</v>
      </c>
      <c r="O19" s="46">
        <f>MAX(0,M19-N19-L19)</f>
        <v/>
      </c>
      <c r="P19" s="46">
        <f>MAX(0,L19-(M19-N19))</f>
        <v/>
      </c>
      <c r="Q19" s="45" t="inlineStr">
        <is>
          <t>30/09/2028</t>
        </is>
      </c>
      <c r="R19" s="45" t="inlineStr">
        <is>
          <t>PT2028-00016</t>
        </is>
      </c>
      <c r="S19" s="45" t="inlineStr"/>
    </row>
    <row r="20">
      <c r="A20" s="45" t="inlineStr">
        <is>
          <t>251230813</t>
        </is>
      </c>
      <c r="B20" s="45" t="inlineStr">
        <is>
          <t>TRẦN MẬU BẮC</t>
        </is>
      </c>
      <c r="C20" s="45" t="inlineStr">
        <is>
          <t>Công nghệ thông tin 1 K66</t>
        </is>
      </c>
      <c r="D20" s="45" t="inlineStr">
        <is>
          <t>Năm 1</t>
        </is>
      </c>
      <c r="E20" s="45" t="inlineStr">
        <is>
          <t>2025_2026</t>
        </is>
      </c>
      <c r="F20" s="45" t="n">
        <v>4</v>
      </c>
      <c r="G20" s="46">
        <f>VLOOKUP(D20,'Cấu Hình Học Phí'!$A$8:$B$11,2,FALSE)</f>
        <v/>
      </c>
      <c r="H20" s="46">
        <f>F20*G20</f>
        <v/>
      </c>
      <c r="I20" s="45" t="n">
        <v>1</v>
      </c>
      <c r="J20" s="46">
        <f>I20*'Cấu Hình Học Phí'!$B$5</f>
        <v/>
      </c>
      <c r="K20" s="46" t="n">
        <v>0</v>
      </c>
      <c r="L20" s="46">
        <f>H20+J20-K20</f>
        <v/>
      </c>
      <c r="M20" s="46" t="n">
        <v>2200000</v>
      </c>
      <c r="N20" s="46" t="n">
        <v>0</v>
      </c>
      <c r="O20" s="46">
        <f>MAX(0,M20-N20-L20)</f>
        <v/>
      </c>
      <c r="P20" s="46">
        <f>MAX(0,L20-(M20-N20))</f>
        <v/>
      </c>
      <c r="Q20" s="45" t="inlineStr">
        <is>
          <t>30/09/2025</t>
        </is>
      </c>
      <c r="R20" s="45" t="inlineStr">
        <is>
          <t>PT2025-00017</t>
        </is>
      </c>
      <c r="S20" s="45" t="inlineStr">
        <is>
          <t>Chưa nộp phí phụ đạo 1 môn</t>
        </is>
      </c>
    </row>
    <row r="21">
      <c r="A21" s="45" t="inlineStr">
        <is>
          <t>251230813</t>
        </is>
      </c>
      <c r="B21" s="45" t="inlineStr">
        <is>
          <t>TRẦN MẬU BẮC</t>
        </is>
      </c>
      <c r="C21" s="45" t="inlineStr">
        <is>
          <t>Công nghệ thông tin 1 K66</t>
        </is>
      </c>
      <c r="D21" s="45" t="inlineStr">
        <is>
          <t>Năm 2</t>
        </is>
      </c>
      <c r="E21" s="45" t="inlineStr">
        <is>
          <t>2026_2027</t>
        </is>
      </c>
      <c r="F21" s="45" t="n">
        <v>4</v>
      </c>
      <c r="G21" s="46">
        <f>VLOOKUP(D21,'Cấu Hình Học Phí'!$A$8:$B$11,2,FALSE)</f>
        <v/>
      </c>
      <c r="H21" s="46">
        <f>F21*G21</f>
        <v/>
      </c>
      <c r="I21" s="45" t="n">
        <v>0</v>
      </c>
      <c r="J21" s="46">
        <f>I21*'Cấu Hình Học Phí'!$B$5</f>
        <v/>
      </c>
      <c r="K21" s="46" t="n">
        <v>0</v>
      </c>
      <c r="L21" s="46">
        <f>H21+J21-K21</f>
        <v/>
      </c>
      <c r="M21" s="46" t="n">
        <v>2420000</v>
      </c>
      <c r="N21" s="46" t="n">
        <v>0</v>
      </c>
      <c r="O21" s="46">
        <f>MAX(0,M21-N21-L21)</f>
        <v/>
      </c>
      <c r="P21" s="46">
        <f>MAX(0,L21-(M21-N21))</f>
        <v/>
      </c>
      <c r="Q21" s="45" t="inlineStr">
        <is>
          <t>30/09/2026</t>
        </is>
      </c>
      <c r="R21" s="45" t="inlineStr">
        <is>
          <t>PT2026-00018</t>
        </is>
      </c>
      <c r="S21" s="45" t="inlineStr"/>
    </row>
    <row r="22">
      <c r="A22" s="45" t="inlineStr">
        <is>
          <t>251230813</t>
        </is>
      </c>
      <c r="B22" s="45" t="inlineStr">
        <is>
          <t>TRẦN MẬU BẮC</t>
        </is>
      </c>
      <c r="C22" s="45" t="inlineStr">
        <is>
          <t>Công nghệ thông tin 1 K66</t>
        </is>
      </c>
      <c r="D22" s="45" t="inlineStr">
        <is>
          <t>Năm 3</t>
        </is>
      </c>
      <c r="E22" s="45" t="inlineStr">
        <is>
          <t>2027_2028</t>
        </is>
      </c>
      <c r="F22" s="45" t="n">
        <v>4</v>
      </c>
      <c r="G22" s="46">
        <f>VLOOKUP(D22,'Cấu Hình Học Phí'!$A$8:$B$11,2,FALSE)</f>
        <v/>
      </c>
      <c r="H22" s="46">
        <f>F22*G22</f>
        <v/>
      </c>
      <c r="I22" s="45" t="n">
        <v>1</v>
      </c>
      <c r="J22" s="46">
        <f>I22*'Cấu Hình Học Phí'!$B$5</f>
        <v/>
      </c>
      <c r="K22" s="46" t="n">
        <v>0</v>
      </c>
      <c r="L22" s="46">
        <f>H22+J22-K22</f>
        <v/>
      </c>
      <c r="M22" s="46" t="n">
        <v>2662000</v>
      </c>
      <c r="N22" s="46" t="n">
        <v>0</v>
      </c>
      <c r="O22" s="46">
        <f>MAX(0,M22-N22-L22)</f>
        <v/>
      </c>
      <c r="P22" s="46">
        <f>MAX(0,L22-(M22-N22))</f>
        <v/>
      </c>
      <c r="Q22" s="45" t="inlineStr">
        <is>
          <t>30/09/2027</t>
        </is>
      </c>
      <c r="R22" s="45" t="inlineStr">
        <is>
          <t>PT2027-00019</t>
        </is>
      </c>
      <c r="S22" s="45" t="inlineStr">
        <is>
          <t>Chưa nộp phí phụ đạo 1 môn</t>
        </is>
      </c>
    </row>
    <row r="23">
      <c r="A23" s="45" t="inlineStr">
        <is>
          <t>251230813</t>
        </is>
      </c>
      <c r="B23" s="45" t="inlineStr">
        <is>
          <t>TRẦN MẬU BẮC</t>
        </is>
      </c>
      <c r="C23" s="45" t="inlineStr">
        <is>
          <t>Công nghệ thông tin 1 K66</t>
        </is>
      </c>
      <c r="D23" s="45" t="inlineStr">
        <is>
          <t>Năm 4</t>
        </is>
      </c>
      <c r="E23" s="45" t="inlineStr">
        <is>
          <t>2028_2029</t>
        </is>
      </c>
      <c r="F23" s="45" t="n">
        <v>1</v>
      </c>
      <c r="G23" s="46">
        <f>VLOOKUP(D23,'Cấu Hình Học Phí'!$A$8:$B$11,2,FALSE)</f>
        <v/>
      </c>
      <c r="H23" s="46">
        <f>F23*G23</f>
        <v/>
      </c>
      <c r="I23" s="45" t="n">
        <v>0</v>
      </c>
      <c r="J23" s="46">
        <f>I23*'Cấu Hình Học Phí'!$B$5</f>
        <v/>
      </c>
      <c r="K23" s="46" t="n">
        <v>0</v>
      </c>
      <c r="L23" s="46">
        <f>H23+J23-K23</f>
        <v/>
      </c>
      <c r="M23" s="46" t="n">
        <v>732050</v>
      </c>
      <c r="N23" s="46" t="n">
        <v>0</v>
      </c>
      <c r="O23" s="46">
        <f>MAX(0,M23-N23-L23)</f>
        <v/>
      </c>
      <c r="P23" s="46">
        <f>MAX(0,L23-(M23-N23))</f>
        <v/>
      </c>
      <c r="Q23" s="45" t="inlineStr">
        <is>
          <t>30/09/2028</t>
        </is>
      </c>
      <c r="R23" s="45" t="inlineStr">
        <is>
          <t>PT2028-00020</t>
        </is>
      </c>
      <c r="S23" s="45" t="inlineStr"/>
    </row>
    <row r="24">
      <c r="A24" s="45" t="inlineStr">
        <is>
          <t>251230811</t>
        </is>
      </c>
      <c r="B24" s="45" t="inlineStr">
        <is>
          <t>NGUYỄN VĂN CHÍ BẢO</t>
        </is>
      </c>
      <c r="C24" s="45" t="inlineStr">
        <is>
          <t>Công nghệ thông tin 1 K66</t>
        </is>
      </c>
      <c r="D24" s="45" t="inlineStr">
        <is>
          <t>Năm 1</t>
        </is>
      </c>
      <c r="E24" s="45" t="inlineStr">
        <is>
          <t>2025_2026</t>
        </is>
      </c>
      <c r="F24" s="45" t="n">
        <v>4</v>
      </c>
      <c r="G24" s="46">
        <f>VLOOKUP(D24,'Cấu Hình Học Phí'!$A$8:$B$11,2,FALSE)</f>
        <v/>
      </c>
      <c r="H24" s="46">
        <f>F24*G24</f>
        <v/>
      </c>
      <c r="I24" s="45" t="n">
        <v>2</v>
      </c>
      <c r="J24" s="46">
        <f>I24*'Cấu Hình Học Phí'!$B$5</f>
        <v/>
      </c>
      <c r="K24" s="46" t="n">
        <v>0</v>
      </c>
      <c r="L24" s="46">
        <f>H24+J24-K24</f>
        <v/>
      </c>
      <c r="M24" s="46" t="n">
        <v>3200000</v>
      </c>
      <c r="N24" s="46" t="n">
        <v>0</v>
      </c>
      <c r="O24" s="46">
        <f>MAX(0,M24-N24-L24)</f>
        <v/>
      </c>
      <c r="P24" s="46">
        <f>MAX(0,L24-(M24-N24))</f>
        <v/>
      </c>
      <c r="Q24" s="45" t="inlineStr">
        <is>
          <t>30/09/2025</t>
        </is>
      </c>
      <c r="R24" s="45" t="inlineStr">
        <is>
          <t>PT2025-00021</t>
        </is>
      </c>
      <c r="S24" s="45" t="inlineStr">
        <is>
          <t>Chưa nộp phí phụ đạo 1 môn</t>
        </is>
      </c>
    </row>
    <row r="25">
      <c r="A25" s="45" t="inlineStr">
        <is>
          <t>251230811</t>
        </is>
      </c>
      <c r="B25" s="45" t="inlineStr">
        <is>
          <t>NGUYỄN VĂN CHÍ BẢO</t>
        </is>
      </c>
      <c r="C25" s="45" t="inlineStr">
        <is>
          <t>Công nghệ thông tin 1 K66</t>
        </is>
      </c>
      <c r="D25" s="45" t="inlineStr">
        <is>
          <t>Năm 2</t>
        </is>
      </c>
      <c r="E25" s="45" t="inlineStr">
        <is>
          <t>2026_2027</t>
        </is>
      </c>
      <c r="F25" s="45" t="n">
        <v>4</v>
      </c>
      <c r="G25" s="46">
        <f>VLOOKUP(D25,'Cấu Hình Học Phí'!$A$8:$B$11,2,FALSE)</f>
        <v/>
      </c>
      <c r="H25" s="46">
        <f>F25*G25</f>
        <v/>
      </c>
      <c r="I25" s="45" t="n">
        <v>0</v>
      </c>
      <c r="J25" s="46">
        <f>I25*'Cấu Hình Học Phí'!$B$5</f>
        <v/>
      </c>
      <c r="K25" s="46" t="n">
        <v>0</v>
      </c>
      <c r="L25" s="46">
        <f>H25+J25-K25</f>
        <v/>
      </c>
      <c r="M25" s="46" t="n">
        <v>2420000</v>
      </c>
      <c r="N25" s="46" t="n">
        <v>0</v>
      </c>
      <c r="O25" s="46">
        <f>MAX(0,M25-N25-L25)</f>
        <v/>
      </c>
      <c r="P25" s="46">
        <f>MAX(0,L25-(M25-N25))</f>
        <v/>
      </c>
      <c r="Q25" s="45" t="inlineStr">
        <is>
          <t>30/09/2026</t>
        </is>
      </c>
      <c r="R25" s="45" t="inlineStr">
        <is>
          <t>PT2026-00022</t>
        </is>
      </c>
      <c r="S25" s="45" t="inlineStr"/>
    </row>
    <row r="26">
      <c r="A26" s="45" t="inlineStr">
        <is>
          <t>251230811</t>
        </is>
      </c>
      <c r="B26" s="45" t="inlineStr">
        <is>
          <t>NGUYỄN VĂN CHÍ BẢO</t>
        </is>
      </c>
      <c r="C26" s="45" t="inlineStr">
        <is>
          <t>Công nghệ thông tin 1 K66</t>
        </is>
      </c>
      <c r="D26" s="45" t="inlineStr">
        <is>
          <t>Năm 3</t>
        </is>
      </c>
      <c r="E26" s="45" t="inlineStr">
        <is>
          <t>2027_2028</t>
        </is>
      </c>
      <c r="F26" s="45" t="n">
        <v>4</v>
      </c>
      <c r="G26" s="46">
        <f>VLOOKUP(D26,'Cấu Hình Học Phí'!$A$8:$B$11,2,FALSE)</f>
        <v/>
      </c>
      <c r="H26" s="46">
        <f>F26*G26</f>
        <v/>
      </c>
      <c r="I26" s="45" t="n">
        <v>0</v>
      </c>
      <c r="J26" s="46">
        <f>I26*'Cấu Hình Học Phí'!$B$5</f>
        <v/>
      </c>
      <c r="K26" s="46" t="n">
        <v>0</v>
      </c>
      <c r="L26" s="46">
        <f>H26+J26-K26</f>
        <v/>
      </c>
      <c r="M26" s="46" t="n">
        <v>2662000</v>
      </c>
      <c r="N26" s="46" t="n">
        <v>0</v>
      </c>
      <c r="O26" s="46">
        <f>MAX(0,M26-N26-L26)</f>
        <v/>
      </c>
      <c r="P26" s="46">
        <f>MAX(0,L26-(M26-N26))</f>
        <v/>
      </c>
      <c r="Q26" s="45" t="inlineStr">
        <is>
          <t>30/09/2027</t>
        </is>
      </c>
      <c r="R26" s="45" t="inlineStr">
        <is>
          <t>PT2027-00023</t>
        </is>
      </c>
      <c r="S26" s="45" t="inlineStr"/>
    </row>
    <row r="27">
      <c r="A27" s="45" t="inlineStr">
        <is>
          <t>251230811</t>
        </is>
      </c>
      <c r="B27" s="45" t="inlineStr">
        <is>
          <t>NGUYỄN VĂN CHÍ BẢO</t>
        </is>
      </c>
      <c r="C27" s="45" t="inlineStr">
        <is>
          <t>Công nghệ thông tin 1 K66</t>
        </is>
      </c>
      <c r="D27" s="45" t="inlineStr">
        <is>
          <t>Năm 4</t>
        </is>
      </c>
      <c r="E27" s="45" t="inlineStr">
        <is>
          <t>2028_2029</t>
        </is>
      </c>
      <c r="F27" s="45" t="n">
        <v>1</v>
      </c>
      <c r="G27" s="46">
        <f>VLOOKUP(D27,'Cấu Hình Học Phí'!$A$8:$B$11,2,FALSE)</f>
        <v/>
      </c>
      <c r="H27" s="46">
        <f>F27*G27</f>
        <v/>
      </c>
      <c r="I27" s="45" t="n">
        <v>0</v>
      </c>
      <c r="J27" s="46">
        <f>I27*'Cấu Hình Học Phí'!$B$5</f>
        <v/>
      </c>
      <c r="K27" s="46" t="n">
        <v>0</v>
      </c>
      <c r="L27" s="46">
        <f>H27+J27-K27</f>
        <v/>
      </c>
      <c r="M27" s="46" t="n">
        <v>732050</v>
      </c>
      <c r="N27" s="46" t="n">
        <v>0</v>
      </c>
      <c r="O27" s="46">
        <f>MAX(0,M27-N27-L27)</f>
        <v/>
      </c>
      <c r="P27" s="46">
        <f>MAX(0,L27-(M27-N27))</f>
        <v/>
      </c>
      <c r="Q27" s="45" t="inlineStr">
        <is>
          <t>30/09/2028</t>
        </is>
      </c>
      <c r="R27" s="45" t="inlineStr">
        <is>
          <t>PT2028-00024</t>
        </is>
      </c>
      <c r="S27" s="45" t="inlineStr"/>
    </row>
    <row r="28">
      <c r="A28" s="45" t="inlineStr">
        <is>
          <t>251230812</t>
        </is>
      </c>
      <c r="B28" s="45" t="inlineStr">
        <is>
          <t>NGUYỄN VĂN GIA BẢO</t>
        </is>
      </c>
      <c r="C28" s="45" t="inlineStr">
        <is>
          <t>Công nghệ thông tin 1 K66</t>
        </is>
      </c>
      <c r="D28" s="45" t="inlineStr">
        <is>
          <t>Năm 1</t>
        </is>
      </c>
      <c r="E28" s="45" t="inlineStr">
        <is>
          <t>2025_2026</t>
        </is>
      </c>
      <c r="F28" s="45" t="n">
        <v>4</v>
      </c>
      <c r="G28" s="46">
        <f>VLOOKUP(D28,'Cấu Hình Học Phí'!$A$8:$B$11,2,FALSE)</f>
        <v/>
      </c>
      <c r="H28" s="46">
        <f>F28*G28</f>
        <v/>
      </c>
      <c r="I28" s="45" t="n">
        <v>1</v>
      </c>
      <c r="J28" s="46">
        <f>I28*'Cấu Hình Học Phí'!$B$5</f>
        <v/>
      </c>
      <c r="K28" s="46" t="n">
        <v>0</v>
      </c>
      <c r="L28" s="46">
        <f>H28+J28-K28</f>
        <v/>
      </c>
      <c r="M28" s="46" t="n">
        <v>2200000</v>
      </c>
      <c r="N28" s="46" t="n">
        <v>0</v>
      </c>
      <c r="O28" s="46">
        <f>MAX(0,M28-N28-L28)</f>
        <v/>
      </c>
      <c r="P28" s="46">
        <f>MAX(0,L28-(M28-N28))</f>
        <v/>
      </c>
      <c r="Q28" s="45" t="inlineStr">
        <is>
          <t>30/09/2025</t>
        </is>
      </c>
      <c r="R28" s="45" t="inlineStr">
        <is>
          <t>PT2025-00025</t>
        </is>
      </c>
      <c r="S28" s="45" t="inlineStr">
        <is>
          <t>Chưa nộp phí phụ đạo 1 môn</t>
        </is>
      </c>
    </row>
    <row r="29">
      <c r="A29" s="45" t="inlineStr">
        <is>
          <t>251230812</t>
        </is>
      </c>
      <c r="B29" s="45" t="inlineStr">
        <is>
          <t>NGUYỄN VĂN GIA BẢO</t>
        </is>
      </c>
      <c r="C29" s="45" t="inlineStr">
        <is>
          <t>Công nghệ thông tin 1 K66</t>
        </is>
      </c>
      <c r="D29" s="45" t="inlineStr">
        <is>
          <t>Năm 2</t>
        </is>
      </c>
      <c r="E29" s="45" t="inlineStr">
        <is>
          <t>2026_2027</t>
        </is>
      </c>
      <c r="F29" s="45" t="n">
        <v>4</v>
      </c>
      <c r="G29" s="46">
        <f>VLOOKUP(D29,'Cấu Hình Học Phí'!$A$8:$B$11,2,FALSE)</f>
        <v/>
      </c>
      <c r="H29" s="46">
        <f>F29*G29</f>
        <v/>
      </c>
      <c r="I29" s="45" t="n">
        <v>0</v>
      </c>
      <c r="J29" s="46">
        <f>I29*'Cấu Hình Học Phí'!$B$5</f>
        <v/>
      </c>
      <c r="K29" s="46" t="n">
        <v>0</v>
      </c>
      <c r="L29" s="46">
        <f>H29+J29-K29</f>
        <v/>
      </c>
      <c r="M29" s="46" t="n">
        <v>2420000</v>
      </c>
      <c r="N29" s="46" t="n">
        <v>0</v>
      </c>
      <c r="O29" s="46">
        <f>MAX(0,M29-N29-L29)</f>
        <v/>
      </c>
      <c r="P29" s="46">
        <f>MAX(0,L29-(M29-N29))</f>
        <v/>
      </c>
      <c r="Q29" s="45" t="inlineStr">
        <is>
          <t>30/09/2026</t>
        </is>
      </c>
      <c r="R29" s="45" t="inlineStr">
        <is>
          <t>PT2026-00026</t>
        </is>
      </c>
      <c r="S29" s="45" t="inlineStr"/>
    </row>
    <row r="30">
      <c r="A30" s="45" t="inlineStr">
        <is>
          <t>251230812</t>
        </is>
      </c>
      <c r="B30" s="45" t="inlineStr">
        <is>
          <t>NGUYỄN VĂN GIA BẢO</t>
        </is>
      </c>
      <c r="C30" s="45" t="inlineStr">
        <is>
          <t>Công nghệ thông tin 1 K66</t>
        </is>
      </c>
      <c r="D30" s="45" t="inlineStr">
        <is>
          <t>Năm 3</t>
        </is>
      </c>
      <c r="E30" s="45" t="inlineStr">
        <is>
          <t>2027_2028</t>
        </is>
      </c>
      <c r="F30" s="45" t="n">
        <v>4</v>
      </c>
      <c r="G30" s="46">
        <f>VLOOKUP(D30,'Cấu Hình Học Phí'!$A$8:$B$11,2,FALSE)</f>
        <v/>
      </c>
      <c r="H30" s="46">
        <f>F30*G30</f>
        <v/>
      </c>
      <c r="I30" s="45" t="n">
        <v>0</v>
      </c>
      <c r="J30" s="46">
        <f>I30*'Cấu Hình Học Phí'!$B$5</f>
        <v/>
      </c>
      <c r="K30" s="46" t="n">
        <v>0</v>
      </c>
      <c r="L30" s="46">
        <f>H30+J30-K30</f>
        <v/>
      </c>
      <c r="M30" s="46" t="n">
        <v>2662000</v>
      </c>
      <c r="N30" s="46" t="n">
        <v>0</v>
      </c>
      <c r="O30" s="46">
        <f>MAX(0,M30-N30-L30)</f>
        <v/>
      </c>
      <c r="P30" s="46">
        <f>MAX(0,L30-(M30-N30))</f>
        <v/>
      </c>
      <c r="Q30" s="45" t="inlineStr">
        <is>
          <t>30/09/2027</t>
        </is>
      </c>
      <c r="R30" s="45" t="inlineStr">
        <is>
          <t>PT2027-00027</t>
        </is>
      </c>
      <c r="S30" s="45" t="inlineStr"/>
    </row>
    <row r="31">
      <c r="A31" s="45" t="inlineStr">
        <is>
          <t>251230812</t>
        </is>
      </c>
      <c r="B31" s="45" t="inlineStr">
        <is>
          <t>NGUYỄN VĂN GIA BẢO</t>
        </is>
      </c>
      <c r="C31" s="45" t="inlineStr">
        <is>
          <t>Công nghệ thông tin 1 K66</t>
        </is>
      </c>
      <c r="D31" s="45" t="inlineStr">
        <is>
          <t>Năm 4</t>
        </is>
      </c>
      <c r="E31" s="45" t="inlineStr">
        <is>
          <t>2028_2029</t>
        </is>
      </c>
      <c r="F31" s="45" t="n">
        <v>1</v>
      </c>
      <c r="G31" s="46">
        <f>VLOOKUP(D31,'Cấu Hình Học Phí'!$A$8:$B$11,2,FALSE)</f>
        <v/>
      </c>
      <c r="H31" s="46">
        <f>F31*G31</f>
        <v/>
      </c>
      <c r="I31" s="45" t="n">
        <v>0</v>
      </c>
      <c r="J31" s="46">
        <f>I31*'Cấu Hình Học Phí'!$B$5</f>
        <v/>
      </c>
      <c r="K31" s="46" t="n">
        <v>0</v>
      </c>
      <c r="L31" s="46">
        <f>H31+J31-K31</f>
        <v/>
      </c>
      <c r="M31" s="46" t="n">
        <v>732050</v>
      </c>
      <c r="N31" s="46" t="n">
        <v>0</v>
      </c>
      <c r="O31" s="46">
        <f>MAX(0,M31-N31-L31)</f>
        <v/>
      </c>
      <c r="P31" s="46">
        <f>MAX(0,L31-(M31-N31))</f>
        <v/>
      </c>
      <c r="Q31" s="45" t="inlineStr">
        <is>
          <t>30/09/2028</t>
        </is>
      </c>
      <c r="R31" s="45" t="inlineStr">
        <is>
          <t>PT2028-00028</t>
        </is>
      </c>
      <c r="S31" s="45" t="inlineStr"/>
    </row>
    <row r="32">
      <c r="A32" s="45" t="inlineStr">
        <is>
          <t>251210818</t>
        </is>
      </c>
      <c r="B32" s="45" t="inlineStr">
        <is>
          <t>NGUYỄN ĐỨC CƯƠNG</t>
        </is>
      </c>
      <c r="C32" s="45" t="inlineStr">
        <is>
          <t>Công nghệ thông tin 1 K66</t>
        </is>
      </c>
      <c r="D32" s="45" t="inlineStr">
        <is>
          <t>Năm 1</t>
        </is>
      </c>
      <c r="E32" s="45" t="inlineStr">
        <is>
          <t>2025_2026</t>
        </is>
      </c>
      <c r="F32" s="45" t="n">
        <v>4</v>
      </c>
      <c r="G32" s="46">
        <f>VLOOKUP(D32,'Cấu Hình Học Phí'!$A$8:$B$11,2,FALSE)</f>
        <v/>
      </c>
      <c r="H32" s="46">
        <f>F32*G32</f>
        <v/>
      </c>
      <c r="I32" s="45" t="n">
        <v>1</v>
      </c>
      <c r="J32" s="46">
        <f>I32*'Cấu Hình Học Phí'!$B$5</f>
        <v/>
      </c>
      <c r="K32" s="46" t="n">
        <v>0</v>
      </c>
      <c r="L32" s="46">
        <f>H32+J32-K32</f>
        <v/>
      </c>
      <c r="M32" s="46" t="n">
        <v>2200000</v>
      </c>
      <c r="N32" s="46" t="n">
        <v>0</v>
      </c>
      <c r="O32" s="46">
        <f>MAX(0,M32-N32-L32)</f>
        <v/>
      </c>
      <c r="P32" s="46">
        <f>MAX(0,L32-(M32-N32))</f>
        <v/>
      </c>
      <c r="Q32" s="45" t="inlineStr">
        <is>
          <t>30/09/2025</t>
        </is>
      </c>
      <c r="R32" s="45" t="inlineStr">
        <is>
          <t>PT2025-00029</t>
        </is>
      </c>
      <c r="S32" s="45" t="inlineStr">
        <is>
          <t>Chưa nộp phí phụ đạo 1 môn</t>
        </is>
      </c>
    </row>
    <row r="33">
      <c r="A33" s="45" t="inlineStr">
        <is>
          <t>251210818</t>
        </is>
      </c>
      <c r="B33" s="45" t="inlineStr">
        <is>
          <t>NGUYỄN ĐỨC CƯƠNG</t>
        </is>
      </c>
      <c r="C33" s="45" t="inlineStr">
        <is>
          <t>Công nghệ thông tin 1 K66</t>
        </is>
      </c>
      <c r="D33" s="45" t="inlineStr">
        <is>
          <t>Năm 2</t>
        </is>
      </c>
      <c r="E33" s="45" t="inlineStr">
        <is>
          <t>2026_2027</t>
        </is>
      </c>
      <c r="F33" s="45" t="n">
        <v>4</v>
      </c>
      <c r="G33" s="46">
        <f>VLOOKUP(D33,'Cấu Hình Học Phí'!$A$8:$B$11,2,FALSE)</f>
        <v/>
      </c>
      <c r="H33" s="46">
        <f>F33*G33</f>
        <v/>
      </c>
      <c r="I33" s="45" t="n">
        <v>0</v>
      </c>
      <c r="J33" s="46">
        <f>I33*'Cấu Hình Học Phí'!$B$5</f>
        <v/>
      </c>
      <c r="K33" s="46" t="n">
        <v>0</v>
      </c>
      <c r="L33" s="46">
        <f>H33+J33-K33</f>
        <v/>
      </c>
      <c r="M33" s="46" t="n">
        <v>2420000</v>
      </c>
      <c r="N33" s="46" t="n">
        <v>0</v>
      </c>
      <c r="O33" s="46">
        <f>MAX(0,M33-N33-L33)</f>
        <v/>
      </c>
      <c r="P33" s="46">
        <f>MAX(0,L33-(M33-N33))</f>
        <v/>
      </c>
      <c r="Q33" s="45" t="inlineStr">
        <is>
          <t>30/09/2026</t>
        </is>
      </c>
      <c r="R33" s="45" t="inlineStr">
        <is>
          <t>PT2026-00030</t>
        </is>
      </c>
      <c r="S33" s="45" t="inlineStr"/>
    </row>
    <row r="34">
      <c r="A34" s="45" t="inlineStr">
        <is>
          <t>251210818</t>
        </is>
      </c>
      <c r="B34" s="45" t="inlineStr">
        <is>
          <t>NGUYỄN ĐỨC CƯƠNG</t>
        </is>
      </c>
      <c r="C34" s="45" t="inlineStr">
        <is>
          <t>Công nghệ thông tin 1 K66</t>
        </is>
      </c>
      <c r="D34" s="45" t="inlineStr">
        <is>
          <t>Năm 3</t>
        </is>
      </c>
      <c r="E34" s="45" t="inlineStr">
        <is>
          <t>2027_2028</t>
        </is>
      </c>
      <c r="F34" s="45" t="n">
        <v>4</v>
      </c>
      <c r="G34" s="46">
        <f>VLOOKUP(D34,'Cấu Hình Học Phí'!$A$8:$B$11,2,FALSE)</f>
        <v/>
      </c>
      <c r="H34" s="46">
        <f>F34*G34</f>
        <v/>
      </c>
      <c r="I34" s="45" t="n">
        <v>1</v>
      </c>
      <c r="J34" s="46">
        <f>I34*'Cấu Hình Học Phí'!$B$5</f>
        <v/>
      </c>
      <c r="K34" s="46" t="n">
        <v>0</v>
      </c>
      <c r="L34" s="46">
        <f>H34+J34-K34</f>
        <v/>
      </c>
      <c r="M34" s="46" t="n">
        <v>3662000</v>
      </c>
      <c r="N34" s="46" t="n">
        <v>0</v>
      </c>
      <c r="O34" s="46">
        <f>MAX(0,M34-N34-L34)</f>
        <v/>
      </c>
      <c r="P34" s="46">
        <f>MAX(0,L34-(M34-N34))</f>
        <v/>
      </c>
      <c r="Q34" s="45" t="inlineStr">
        <is>
          <t>30/09/2027</t>
        </is>
      </c>
      <c r="R34" s="45" t="inlineStr">
        <is>
          <t>PT2027-00031</t>
        </is>
      </c>
      <c r="S34" s="45" t="inlineStr"/>
    </row>
    <row r="35">
      <c r="A35" s="45" t="inlineStr">
        <is>
          <t>251210818</t>
        </is>
      </c>
      <c r="B35" s="45" t="inlineStr">
        <is>
          <t>NGUYỄN ĐỨC CƯƠNG</t>
        </is>
      </c>
      <c r="C35" s="45" t="inlineStr">
        <is>
          <t>Công nghệ thông tin 1 K66</t>
        </is>
      </c>
      <c r="D35" s="45" t="inlineStr">
        <is>
          <t>Năm 4</t>
        </is>
      </c>
      <c r="E35" s="45" t="inlineStr">
        <is>
          <t>2028_2029</t>
        </is>
      </c>
      <c r="F35" s="45" t="n">
        <v>1</v>
      </c>
      <c r="G35" s="46">
        <f>VLOOKUP(D35,'Cấu Hình Học Phí'!$A$8:$B$11,2,FALSE)</f>
        <v/>
      </c>
      <c r="H35" s="46">
        <f>F35*G35</f>
        <v/>
      </c>
      <c r="I35" s="45" t="n">
        <v>0</v>
      </c>
      <c r="J35" s="46">
        <f>I35*'Cấu Hình Học Phí'!$B$5</f>
        <v/>
      </c>
      <c r="K35" s="46" t="n">
        <v>0</v>
      </c>
      <c r="L35" s="46">
        <f>H35+J35-K35</f>
        <v/>
      </c>
      <c r="M35" s="46" t="n">
        <v>732050</v>
      </c>
      <c r="N35" s="46" t="n">
        <v>0</v>
      </c>
      <c r="O35" s="46">
        <f>MAX(0,M35-N35-L35)</f>
        <v/>
      </c>
      <c r="P35" s="46">
        <f>MAX(0,L35-(M35-N35))</f>
        <v/>
      </c>
      <c r="Q35" s="45" t="inlineStr">
        <is>
          <t>30/09/2028</t>
        </is>
      </c>
      <c r="R35" s="45" t="inlineStr">
        <is>
          <t>PT2028-00032</t>
        </is>
      </c>
      <c r="S35" s="45" t="inlineStr"/>
    </row>
    <row r="36">
      <c r="A36" s="45" t="inlineStr">
        <is>
          <t>251230821</t>
        </is>
      </c>
      <c r="B36" s="45" t="inlineStr">
        <is>
          <t>VŨ MẠNH CƯỜNG</t>
        </is>
      </c>
      <c r="C36" s="45" t="inlineStr">
        <is>
          <t>Công nghệ thông tin 1 K66</t>
        </is>
      </c>
      <c r="D36" s="45" t="inlineStr">
        <is>
          <t>Năm 1</t>
        </is>
      </c>
      <c r="E36" s="45" t="inlineStr">
        <is>
          <t>2025_2026</t>
        </is>
      </c>
      <c r="F36" s="45" t="n">
        <v>4</v>
      </c>
      <c r="G36" s="46">
        <f>VLOOKUP(D36,'Cấu Hình Học Phí'!$A$8:$B$11,2,FALSE)</f>
        <v/>
      </c>
      <c r="H36" s="46">
        <f>F36*G36</f>
        <v/>
      </c>
      <c r="I36" s="45" t="n">
        <v>0</v>
      </c>
      <c r="J36" s="46">
        <f>I36*'Cấu Hình Học Phí'!$B$5</f>
        <v/>
      </c>
      <c r="K36" s="46" t="n">
        <v>0</v>
      </c>
      <c r="L36" s="46">
        <f>H36+J36-K36</f>
        <v/>
      </c>
      <c r="M36" s="46" t="n">
        <v>2200000</v>
      </c>
      <c r="N36" s="46" t="n">
        <v>0</v>
      </c>
      <c r="O36" s="46">
        <f>MAX(0,M36-N36-L36)</f>
        <v/>
      </c>
      <c r="P36" s="46">
        <f>MAX(0,L36-(M36-N36))</f>
        <v/>
      </c>
      <c r="Q36" s="45" t="inlineStr">
        <is>
          <t>30/09/2025</t>
        </is>
      </c>
      <c r="R36" s="45" t="inlineStr">
        <is>
          <t>PT2025-00033</t>
        </is>
      </c>
      <c r="S36" s="45" t="inlineStr"/>
    </row>
    <row r="37">
      <c r="A37" s="45" t="inlineStr">
        <is>
          <t>251230821</t>
        </is>
      </c>
      <c r="B37" s="45" t="inlineStr">
        <is>
          <t>VŨ MẠNH CƯỜNG</t>
        </is>
      </c>
      <c r="C37" s="45" t="inlineStr">
        <is>
          <t>Công nghệ thông tin 1 K66</t>
        </is>
      </c>
      <c r="D37" s="45" t="inlineStr">
        <is>
          <t>Năm 2</t>
        </is>
      </c>
      <c r="E37" s="45" t="inlineStr">
        <is>
          <t>2026_2027</t>
        </is>
      </c>
      <c r="F37" s="45" t="n">
        <v>4</v>
      </c>
      <c r="G37" s="46">
        <f>VLOOKUP(D37,'Cấu Hình Học Phí'!$A$8:$B$11,2,FALSE)</f>
        <v/>
      </c>
      <c r="H37" s="46">
        <f>F37*G37</f>
        <v/>
      </c>
      <c r="I37" s="45" t="n">
        <v>0</v>
      </c>
      <c r="J37" s="46">
        <f>I37*'Cấu Hình Học Phí'!$B$5</f>
        <v/>
      </c>
      <c r="K37" s="46" t="n">
        <v>0</v>
      </c>
      <c r="L37" s="46">
        <f>H37+J37-K37</f>
        <v/>
      </c>
      <c r="M37" s="46" t="n">
        <v>2420000</v>
      </c>
      <c r="N37" s="46" t="n">
        <v>0</v>
      </c>
      <c r="O37" s="46">
        <f>MAX(0,M37-N37-L37)</f>
        <v/>
      </c>
      <c r="P37" s="46">
        <f>MAX(0,L37-(M37-N37))</f>
        <v/>
      </c>
      <c r="Q37" s="45" t="inlineStr">
        <is>
          <t>30/09/2026</t>
        </is>
      </c>
      <c r="R37" s="45" t="inlineStr">
        <is>
          <t>PT2026-00034</t>
        </is>
      </c>
      <c r="S37" s="45" t="inlineStr"/>
    </row>
    <row r="38">
      <c r="A38" s="45" t="inlineStr">
        <is>
          <t>251230821</t>
        </is>
      </c>
      <c r="B38" s="45" t="inlineStr">
        <is>
          <t>VŨ MẠNH CƯỜNG</t>
        </is>
      </c>
      <c r="C38" s="45" t="inlineStr">
        <is>
          <t>Công nghệ thông tin 1 K66</t>
        </is>
      </c>
      <c r="D38" s="45" t="inlineStr">
        <is>
          <t>Năm 3</t>
        </is>
      </c>
      <c r="E38" s="45" t="inlineStr">
        <is>
          <t>2027_2028</t>
        </is>
      </c>
      <c r="F38" s="45" t="n">
        <v>4</v>
      </c>
      <c r="G38" s="46">
        <f>VLOOKUP(D38,'Cấu Hình Học Phí'!$A$8:$B$11,2,FALSE)</f>
        <v/>
      </c>
      <c r="H38" s="46">
        <f>F38*G38</f>
        <v/>
      </c>
      <c r="I38" s="45" t="n">
        <v>1</v>
      </c>
      <c r="J38" s="46">
        <f>I38*'Cấu Hình Học Phí'!$B$5</f>
        <v/>
      </c>
      <c r="K38" s="46" t="n">
        <v>0</v>
      </c>
      <c r="L38" s="46">
        <f>H38+J38-K38</f>
        <v/>
      </c>
      <c r="M38" s="46" t="n">
        <v>3662000</v>
      </c>
      <c r="N38" s="46" t="n">
        <v>0</v>
      </c>
      <c r="O38" s="46">
        <f>MAX(0,M38-N38-L38)</f>
        <v/>
      </c>
      <c r="P38" s="46">
        <f>MAX(0,L38-(M38-N38))</f>
        <v/>
      </c>
      <c r="Q38" s="45" t="inlineStr">
        <is>
          <t>30/09/2027</t>
        </is>
      </c>
      <c r="R38" s="45" t="inlineStr">
        <is>
          <t>PT2027-00035</t>
        </is>
      </c>
      <c r="S38" s="45" t="inlineStr"/>
    </row>
    <row r="39">
      <c r="A39" s="45" t="inlineStr">
        <is>
          <t>251230821</t>
        </is>
      </c>
      <c r="B39" s="45" t="inlineStr">
        <is>
          <t>VŨ MẠNH CƯỜNG</t>
        </is>
      </c>
      <c r="C39" s="45" t="inlineStr">
        <is>
          <t>Công nghệ thông tin 1 K66</t>
        </is>
      </c>
      <c r="D39" s="45" t="inlineStr">
        <is>
          <t>Năm 4</t>
        </is>
      </c>
      <c r="E39" s="45" t="inlineStr">
        <is>
          <t>2028_2029</t>
        </is>
      </c>
      <c r="F39" s="45" t="n">
        <v>1</v>
      </c>
      <c r="G39" s="46">
        <f>VLOOKUP(D39,'Cấu Hình Học Phí'!$A$8:$B$11,2,FALSE)</f>
        <v/>
      </c>
      <c r="H39" s="46">
        <f>F39*G39</f>
        <v/>
      </c>
      <c r="I39" s="45" t="n">
        <v>0</v>
      </c>
      <c r="J39" s="46">
        <f>I39*'Cấu Hình Học Phí'!$B$5</f>
        <v/>
      </c>
      <c r="K39" s="46" t="n">
        <v>0</v>
      </c>
      <c r="L39" s="46">
        <f>H39+J39-K39</f>
        <v/>
      </c>
      <c r="M39" s="46" t="n">
        <v>732050</v>
      </c>
      <c r="N39" s="46" t="n">
        <v>0</v>
      </c>
      <c r="O39" s="46">
        <f>MAX(0,M39-N39-L39)</f>
        <v/>
      </c>
      <c r="P39" s="46">
        <f>MAX(0,L39-(M39-N39))</f>
        <v/>
      </c>
      <c r="Q39" s="45" t="inlineStr">
        <is>
          <t>30/09/2028</t>
        </is>
      </c>
      <c r="R39" s="45" t="inlineStr">
        <is>
          <t>PT2028-00036</t>
        </is>
      </c>
      <c r="S39" s="45" t="inlineStr"/>
    </row>
    <row r="40">
      <c r="A40" s="45" t="inlineStr">
        <is>
          <t>251230822</t>
        </is>
      </c>
      <c r="B40" s="45" t="inlineStr">
        <is>
          <t>NGUYỄN KHÁNH DOANH</t>
        </is>
      </c>
      <c r="C40" s="45" t="inlineStr">
        <is>
          <t>Công nghệ thông tin 1 K66</t>
        </is>
      </c>
      <c r="D40" s="45" t="inlineStr">
        <is>
          <t>Năm 1</t>
        </is>
      </c>
      <c r="E40" s="45" t="inlineStr">
        <is>
          <t>2025_2026</t>
        </is>
      </c>
      <c r="F40" s="45" t="n">
        <v>4</v>
      </c>
      <c r="G40" s="46">
        <f>VLOOKUP(D40,'Cấu Hình Học Phí'!$A$8:$B$11,2,FALSE)</f>
        <v/>
      </c>
      <c r="H40" s="46">
        <f>F40*G40</f>
        <v/>
      </c>
      <c r="I40" s="45" t="n">
        <v>1</v>
      </c>
      <c r="J40" s="46">
        <f>I40*'Cấu Hình Học Phí'!$B$5</f>
        <v/>
      </c>
      <c r="K40" s="46" t="n">
        <v>0</v>
      </c>
      <c r="L40" s="46">
        <f>H40+J40-K40</f>
        <v/>
      </c>
      <c r="M40" s="46" t="n">
        <v>2200000</v>
      </c>
      <c r="N40" s="46" t="n">
        <v>0</v>
      </c>
      <c r="O40" s="46">
        <f>MAX(0,M40-N40-L40)</f>
        <v/>
      </c>
      <c r="P40" s="46">
        <f>MAX(0,L40-(M40-N40))</f>
        <v/>
      </c>
      <c r="Q40" s="45" t="inlineStr">
        <is>
          <t>30/09/2025</t>
        </is>
      </c>
      <c r="R40" s="45" t="inlineStr">
        <is>
          <t>PT2025-00037</t>
        </is>
      </c>
      <c r="S40" s="45" t="inlineStr">
        <is>
          <t>Chưa nộp phí phụ đạo 1 môn</t>
        </is>
      </c>
    </row>
    <row r="41">
      <c r="A41" s="45" t="inlineStr">
        <is>
          <t>251230822</t>
        </is>
      </c>
      <c r="B41" s="45" t="inlineStr">
        <is>
          <t>NGUYỄN KHÁNH DOANH</t>
        </is>
      </c>
      <c r="C41" s="45" t="inlineStr">
        <is>
          <t>Công nghệ thông tin 1 K66</t>
        </is>
      </c>
      <c r="D41" s="45" t="inlineStr">
        <is>
          <t>Năm 2</t>
        </is>
      </c>
      <c r="E41" s="45" t="inlineStr">
        <is>
          <t>2026_2027</t>
        </is>
      </c>
      <c r="F41" s="45" t="n">
        <v>4</v>
      </c>
      <c r="G41" s="46">
        <f>VLOOKUP(D41,'Cấu Hình Học Phí'!$A$8:$B$11,2,FALSE)</f>
        <v/>
      </c>
      <c r="H41" s="46">
        <f>F41*G41</f>
        <v/>
      </c>
      <c r="I41" s="45" t="n">
        <v>1</v>
      </c>
      <c r="J41" s="46">
        <f>I41*'Cấu Hình Học Phí'!$B$5</f>
        <v/>
      </c>
      <c r="K41" s="46" t="n">
        <v>0</v>
      </c>
      <c r="L41" s="46">
        <f>H41+J41-K41</f>
        <v/>
      </c>
      <c r="M41" s="46" t="n">
        <v>3420000</v>
      </c>
      <c r="N41" s="46" t="n">
        <v>0</v>
      </c>
      <c r="O41" s="46">
        <f>MAX(0,M41-N41-L41)</f>
        <v/>
      </c>
      <c r="P41" s="46">
        <f>MAX(0,L41-(M41-N41))</f>
        <v/>
      </c>
      <c r="Q41" s="45" t="inlineStr">
        <is>
          <t>30/09/2026</t>
        </is>
      </c>
      <c r="R41" s="45" t="inlineStr">
        <is>
          <t>PT2026-00038</t>
        </is>
      </c>
      <c r="S41" s="45" t="inlineStr"/>
    </row>
    <row r="42">
      <c r="A42" s="45" t="inlineStr">
        <is>
          <t>251230822</t>
        </is>
      </c>
      <c r="B42" s="45" t="inlineStr">
        <is>
          <t>NGUYỄN KHÁNH DOANH</t>
        </is>
      </c>
      <c r="C42" s="45" t="inlineStr">
        <is>
          <t>Công nghệ thông tin 1 K66</t>
        </is>
      </c>
      <c r="D42" s="45" t="inlineStr">
        <is>
          <t>Năm 3</t>
        </is>
      </c>
      <c r="E42" s="45" t="inlineStr">
        <is>
          <t>2027_2028</t>
        </is>
      </c>
      <c r="F42" s="45" t="n">
        <v>4</v>
      </c>
      <c r="G42" s="46">
        <f>VLOOKUP(D42,'Cấu Hình Học Phí'!$A$8:$B$11,2,FALSE)</f>
        <v/>
      </c>
      <c r="H42" s="46">
        <f>F42*G42</f>
        <v/>
      </c>
      <c r="I42" s="45" t="n">
        <v>0</v>
      </c>
      <c r="J42" s="46">
        <f>I42*'Cấu Hình Học Phí'!$B$5</f>
        <v/>
      </c>
      <c r="K42" s="46" t="n">
        <v>0</v>
      </c>
      <c r="L42" s="46">
        <f>H42+J42-K42</f>
        <v/>
      </c>
      <c r="M42" s="46" t="n">
        <v>2662000</v>
      </c>
      <c r="N42" s="46" t="n">
        <v>0</v>
      </c>
      <c r="O42" s="46">
        <f>MAX(0,M42-N42-L42)</f>
        <v/>
      </c>
      <c r="P42" s="46">
        <f>MAX(0,L42-(M42-N42))</f>
        <v/>
      </c>
      <c r="Q42" s="45" t="inlineStr">
        <is>
          <t>30/09/2027</t>
        </is>
      </c>
      <c r="R42" s="45" t="inlineStr">
        <is>
          <t>PT2027-00039</t>
        </is>
      </c>
      <c r="S42" s="45" t="inlineStr"/>
    </row>
    <row r="43">
      <c r="A43" s="45" t="inlineStr">
        <is>
          <t>251230822</t>
        </is>
      </c>
      <c r="B43" s="45" t="inlineStr">
        <is>
          <t>NGUYỄN KHÁNH DOANH</t>
        </is>
      </c>
      <c r="C43" s="45" t="inlineStr">
        <is>
          <t>Công nghệ thông tin 1 K66</t>
        </is>
      </c>
      <c r="D43" s="45" t="inlineStr">
        <is>
          <t>Năm 4</t>
        </is>
      </c>
      <c r="E43" s="45" t="inlineStr">
        <is>
          <t>2028_2029</t>
        </is>
      </c>
      <c r="F43" s="45" t="n">
        <v>1</v>
      </c>
      <c r="G43" s="46">
        <f>VLOOKUP(D43,'Cấu Hình Học Phí'!$A$8:$B$11,2,FALSE)</f>
        <v/>
      </c>
      <c r="H43" s="46">
        <f>F43*G43</f>
        <v/>
      </c>
      <c r="I43" s="45" t="n">
        <v>0</v>
      </c>
      <c r="J43" s="46">
        <f>I43*'Cấu Hình Học Phí'!$B$5</f>
        <v/>
      </c>
      <c r="K43" s="46" t="n">
        <v>0</v>
      </c>
      <c r="L43" s="46">
        <f>H43+J43-K43</f>
        <v/>
      </c>
      <c r="M43" s="46" t="n">
        <v>732050</v>
      </c>
      <c r="N43" s="46" t="n">
        <v>0</v>
      </c>
      <c r="O43" s="46">
        <f>MAX(0,M43-N43-L43)</f>
        <v/>
      </c>
      <c r="P43" s="46">
        <f>MAX(0,L43-(M43-N43))</f>
        <v/>
      </c>
      <c r="Q43" s="45" t="inlineStr">
        <is>
          <t>30/09/2028</t>
        </is>
      </c>
      <c r="R43" s="45" t="inlineStr">
        <is>
          <t>PT2028-00040</t>
        </is>
      </c>
      <c r="S43" s="45" t="inlineStr"/>
    </row>
    <row r="44">
      <c r="A44" s="45" t="inlineStr">
        <is>
          <t>251210825</t>
        </is>
      </c>
      <c r="B44" s="45" t="inlineStr">
        <is>
          <t>ĐỖ QUANG DŨNG</t>
        </is>
      </c>
      <c r="C44" s="45" t="inlineStr">
        <is>
          <t>Công nghệ thông tin 1 K66</t>
        </is>
      </c>
      <c r="D44" s="45" t="inlineStr">
        <is>
          <t>Năm 1</t>
        </is>
      </c>
      <c r="E44" s="45" t="inlineStr">
        <is>
          <t>2025_2026</t>
        </is>
      </c>
      <c r="F44" s="45" t="n">
        <v>4</v>
      </c>
      <c r="G44" s="46">
        <f>VLOOKUP(D44,'Cấu Hình Học Phí'!$A$8:$B$11,2,FALSE)</f>
        <v/>
      </c>
      <c r="H44" s="46">
        <f>F44*G44</f>
        <v/>
      </c>
      <c r="I44" s="45" t="n">
        <v>0</v>
      </c>
      <c r="J44" s="46">
        <f>I44*'Cấu Hình Học Phí'!$B$5</f>
        <v/>
      </c>
      <c r="K44" s="46" t="n">
        <v>0</v>
      </c>
      <c r="L44" s="46">
        <f>H44+J44-K44</f>
        <v/>
      </c>
      <c r="M44" s="46" t="n">
        <v>2200000</v>
      </c>
      <c r="N44" s="46" t="n">
        <v>0</v>
      </c>
      <c r="O44" s="46">
        <f>MAX(0,M44-N44-L44)</f>
        <v/>
      </c>
      <c r="P44" s="46">
        <f>MAX(0,L44-(M44-N44))</f>
        <v/>
      </c>
      <c r="Q44" s="45" t="inlineStr">
        <is>
          <t>30/09/2025</t>
        </is>
      </c>
      <c r="R44" s="45" t="inlineStr">
        <is>
          <t>PT2025-00041</t>
        </is>
      </c>
      <c r="S44" s="45" t="inlineStr"/>
    </row>
    <row r="45">
      <c r="A45" s="45" t="inlineStr">
        <is>
          <t>251210825</t>
        </is>
      </c>
      <c r="B45" s="45" t="inlineStr">
        <is>
          <t>ĐỖ QUANG DŨNG</t>
        </is>
      </c>
      <c r="C45" s="45" t="inlineStr">
        <is>
          <t>Công nghệ thông tin 1 K66</t>
        </is>
      </c>
      <c r="D45" s="45" t="inlineStr">
        <is>
          <t>Năm 2</t>
        </is>
      </c>
      <c r="E45" s="45" t="inlineStr">
        <is>
          <t>2026_2027</t>
        </is>
      </c>
      <c r="F45" s="45" t="n">
        <v>4</v>
      </c>
      <c r="G45" s="46">
        <f>VLOOKUP(D45,'Cấu Hình Học Phí'!$A$8:$B$11,2,FALSE)</f>
        <v/>
      </c>
      <c r="H45" s="46">
        <f>F45*G45</f>
        <v/>
      </c>
      <c r="I45" s="45" t="n">
        <v>0</v>
      </c>
      <c r="J45" s="46">
        <f>I45*'Cấu Hình Học Phí'!$B$5</f>
        <v/>
      </c>
      <c r="K45" s="46" t="n">
        <v>0</v>
      </c>
      <c r="L45" s="46">
        <f>H45+J45-K45</f>
        <v/>
      </c>
      <c r="M45" s="46" t="n">
        <v>2420000</v>
      </c>
      <c r="N45" s="46" t="n">
        <v>0</v>
      </c>
      <c r="O45" s="46">
        <f>MAX(0,M45-N45-L45)</f>
        <v/>
      </c>
      <c r="P45" s="46">
        <f>MAX(0,L45-(M45-N45))</f>
        <v/>
      </c>
      <c r="Q45" s="45" t="inlineStr">
        <is>
          <t>30/09/2026</t>
        </is>
      </c>
      <c r="R45" s="45" t="inlineStr">
        <is>
          <t>PT2026-00042</t>
        </is>
      </c>
      <c r="S45" s="45" t="inlineStr"/>
    </row>
    <row r="46">
      <c r="A46" s="45" t="inlineStr">
        <is>
          <t>251210825</t>
        </is>
      </c>
      <c r="B46" s="45" t="inlineStr">
        <is>
          <t>ĐỖ QUANG DŨNG</t>
        </is>
      </c>
      <c r="C46" s="45" t="inlineStr">
        <is>
          <t>Công nghệ thông tin 1 K66</t>
        </is>
      </c>
      <c r="D46" s="45" t="inlineStr">
        <is>
          <t>Năm 3</t>
        </is>
      </c>
      <c r="E46" s="45" t="inlineStr">
        <is>
          <t>2027_2028</t>
        </is>
      </c>
      <c r="F46" s="45" t="n">
        <v>4</v>
      </c>
      <c r="G46" s="46">
        <f>VLOOKUP(D46,'Cấu Hình Học Phí'!$A$8:$B$11,2,FALSE)</f>
        <v/>
      </c>
      <c r="H46" s="46">
        <f>F46*G46</f>
        <v/>
      </c>
      <c r="I46" s="45" t="n">
        <v>0</v>
      </c>
      <c r="J46" s="46">
        <f>I46*'Cấu Hình Học Phí'!$B$5</f>
        <v/>
      </c>
      <c r="K46" s="46" t="n">
        <v>0</v>
      </c>
      <c r="L46" s="46">
        <f>H46+J46-K46</f>
        <v/>
      </c>
      <c r="M46" s="46" t="n">
        <v>2662000</v>
      </c>
      <c r="N46" s="46" t="n">
        <v>0</v>
      </c>
      <c r="O46" s="46">
        <f>MAX(0,M46-N46-L46)</f>
        <v/>
      </c>
      <c r="P46" s="46">
        <f>MAX(0,L46-(M46-N46))</f>
        <v/>
      </c>
      <c r="Q46" s="45" t="inlineStr">
        <is>
          <t>30/09/2027</t>
        </is>
      </c>
      <c r="R46" s="45" t="inlineStr">
        <is>
          <t>PT2027-00043</t>
        </is>
      </c>
      <c r="S46" s="45" t="inlineStr"/>
    </row>
    <row r="47">
      <c r="A47" s="45" t="inlineStr">
        <is>
          <t>251210825</t>
        </is>
      </c>
      <c r="B47" s="45" t="inlineStr">
        <is>
          <t>ĐỖ QUANG DŨNG</t>
        </is>
      </c>
      <c r="C47" s="45" t="inlineStr">
        <is>
          <t>Công nghệ thông tin 1 K66</t>
        </is>
      </c>
      <c r="D47" s="45" t="inlineStr">
        <is>
          <t>Năm 4</t>
        </is>
      </c>
      <c r="E47" s="45" t="inlineStr">
        <is>
          <t>2028_2029</t>
        </is>
      </c>
      <c r="F47" s="45" t="n">
        <v>1</v>
      </c>
      <c r="G47" s="46">
        <f>VLOOKUP(D47,'Cấu Hình Học Phí'!$A$8:$B$11,2,FALSE)</f>
        <v/>
      </c>
      <c r="H47" s="46">
        <f>F47*G47</f>
        <v/>
      </c>
      <c r="I47" s="45" t="n">
        <v>0</v>
      </c>
      <c r="J47" s="46">
        <f>I47*'Cấu Hình Học Phí'!$B$5</f>
        <v/>
      </c>
      <c r="K47" s="46" t="n">
        <v>0</v>
      </c>
      <c r="L47" s="46">
        <f>H47+J47-K47</f>
        <v/>
      </c>
      <c r="M47" s="46" t="n">
        <v>732050</v>
      </c>
      <c r="N47" s="46" t="n">
        <v>0</v>
      </c>
      <c r="O47" s="46">
        <f>MAX(0,M47-N47-L47)</f>
        <v/>
      </c>
      <c r="P47" s="46">
        <f>MAX(0,L47-(M47-N47))</f>
        <v/>
      </c>
      <c r="Q47" s="45" t="inlineStr">
        <is>
          <t>30/09/2028</t>
        </is>
      </c>
      <c r="R47" s="45" t="inlineStr">
        <is>
          <t>PT2028-00044</t>
        </is>
      </c>
      <c r="S47" s="45" t="inlineStr"/>
    </row>
    <row r="48">
      <c r="A48" s="45" t="inlineStr">
        <is>
          <t>251210833</t>
        </is>
      </c>
      <c r="B48" s="45" t="inlineStr">
        <is>
          <t>NGUYỄN TÙNG DƯƠNG</t>
        </is>
      </c>
      <c r="C48" s="45" t="inlineStr">
        <is>
          <t>Công nghệ thông tin 1 K66</t>
        </is>
      </c>
      <c r="D48" s="45" t="inlineStr">
        <is>
          <t>Năm 1</t>
        </is>
      </c>
      <c r="E48" s="45" t="inlineStr">
        <is>
          <t>2025_2026</t>
        </is>
      </c>
      <c r="F48" s="45" t="n">
        <v>4</v>
      </c>
      <c r="G48" s="46">
        <f>VLOOKUP(D48,'Cấu Hình Học Phí'!$A$8:$B$11,2,FALSE)</f>
        <v/>
      </c>
      <c r="H48" s="46">
        <f>F48*G48</f>
        <v/>
      </c>
      <c r="I48" s="45" t="n">
        <v>0</v>
      </c>
      <c r="J48" s="46">
        <f>I48*'Cấu Hình Học Phí'!$B$5</f>
        <v/>
      </c>
      <c r="K48" s="46" t="n">
        <v>0</v>
      </c>
      <c r="L48" s="46">
        <f>H48+J48-K48</f>
        <v/>
      </c>
      <c r="M48" s="46" t="n">
        <v>2200000</v>
      </c>
      <c r="N48" s="46" t="n">
        <v>0</v>
      </c>
      <c r="O48" s="46">
        <f>MAX(0,M48-N48-L48)</f>
        <v/>
      </c>
      <c r="P48" s="46">
        <f>MAX(0,L48-(M48-N48))</f>
        <v/>
      </c>
      <c r="Q48" s="45" t="inlineStr">
        <is>
          <t>30/09/2025</t>
        </is>
      </c>
      <c r="R48" s="45" t="inlineStr">
        <is>
          <t>PT2025-00045</t>
        </is>
      </c>
      <c r="S48" s="45" t="inlineStr"/>
    </row>
    <row r="49">
      <c r="A49" s="45" t="inlineStr">
        <is>
          <t>251210833</t>
        </is>
      </c>
      <c r="B49" s="45" t="inlineStr">
        <is>
          <t>NGUYỄN TÙNG DƯƠNG</t>
        </is>
      </c>
      <c r="C49" s="45" t="inlineStr">
        <is>
          <t>Công nghệ thông tin 1 K66</t>
        </is>
      </c>
      <c r="D49" s="45" t="inlineStr">
        <is>
          <t>Năm 2</t>
        </is>
      </c>
      <c r="E49" s="45" t="inlineStr">
        <is>
          <t>2026_2027</t>
        </is>
      </c>
      <c r="F49" s="45" t="n">
        <v>4</v>
      </c>
      <c r="G49" s="46">
        <f>VLOOKUP(D49,'Cấu Hình Học Phí'!$A$8:$B$11,2,FALSE)</f>
        <v/>
      </c>
      <c r="H49" s="46">
        <f>F49*G49</f>
        <v/>
      </c>
      <c r="I49" s="45" t="n">
        <v>0</v>
      </c>
      <c r="J49" s="46">
        <f>I49*'Cấu Hình Học Phí'!$B$5</f>
        <v/>
      </c>
      <c r="K49" s="46" t="n">
        <v>0</v>
      </c>
      <c r="L49" s="46">
        <f>H49+J49-K49</f>
        <v/>
      </c>
      <c r="M49" s="46" t="n">
        <v>2420000</v>
      </c>
      <c r="N49" s="46" t="n">
        <v>0</v>
      </c>
      <c r="O49" s="46">
        <f>MAX(0,M49-N49-L49)</f>
        <v/>
      </c>
      <c r="P49" s="46">
        <f>MAX(0,L49-(M49-N49))</f>
        <v/>
      </c>
      <c r="Q49" s="45" t="inlineStr">
        <is>
          <t>30/09/2026</t>
        </is>
      </c>
      <c r="R49" s="45" t="inlineStr">
        <is>
          <t>PT2026-00046</t>
        </is>
      </c>
      <c r="S49" s="45" t="inlineStr"/>
    </row>
    <row r="50">
      <c r="A50" s="45" t="inlineStr">
        <is>
          <t>251210833</t>
        </is>
      </c>
      <c r="B50" s="45" t="inlineStr">
        <is>
          <t>NGUYỄN TÙNG DƯƠNG</t>
        </is>
      </c>
      <c r="C50" s="45" t="inlineStr">
        <is>
          <t>Công nghệ thông tin 1 K66</t>
        </is>
      </c>
      <c r="D50" s="45" t="inlineStr">
        <is>
          <t>Năm 3</t>
        </is>
      </c>
      <c r="E50" s="45" t="inlineStr">
        <is>
          <t>2027_2028</t>
        </is>
      </c>
      <c r="F50" s="45" t="n">
        <v>4</v>
      </c>
      <c r="G50" s="46">
        <f>VLOOKUP(D50,'Cấu Hình Học Phí'!$A$8:$B$11,2,FALSE)</f>
        <v/>
      </c>
      <c r="H50" s="46">
        <f>F50*G50</f>
        <v/>
      </c>
      <c r="I50" s="45" t="n">
        <v>0</v>
      </c>
      <c r="J50" s="46">
        <f>I50*'Cấu Hình Học Phí'!$B$5</f>
        <v/>
      </c>
      <c r="K50" s="46" t="n">
        <v>0</v>
      </c>
      <c r="L50" s="46">
        <f>H50+J50-K50</f>
        <v/>
      </c>
      <c r="M50" s="46" t="n">
        <v>2662000</v>
      </c>
      <c r="N50" s="46" t="n">
        <v>0</v>
      </c>
      <c r="O50" s="46">
        <f>MAX(0,M50-N50-L50)</f>
        <v/>
      </c>
      <c r="P50" s="46">
        <f>MAX(0,L50-(M50-N50))</f>
        <v/>
      </c>
      <c r="Q50" s="45" t="inlineStr">
        <is>
          <t>30/09/2027</t>
        </is>
      </c>
      <c r="R50" s="45" t="inlineStr">
        <is>
          <t>PT2027-00047</t>
        </is>
      </c>
      <c r="S50" s="45" t="inlineStr"/>
    </row>
    <row r="51">
      <c r="A51" s="45" t="inlineStr">
        <is>
          <t>251210833</t>
        </is>
      </c>
      <c r="B51" s="45" t="inlineStr">
        <is>
          <t>NGUYỄN TÙNG DƯƠNG</t>
        </is>
      </c>
      <c r="C51" s="45" t="inlineStr">
        <is>
          <t>Công nghệ thông tin 1 K66</t>
        </is>
      </c>
      <c r="D51" s="45" t="inlineStr">
        <is>
          <t>Năm 4</t>
        </is>
      </c>
      <c r="E51" s="45" t="inlineStr">
        <is>
          <t>2028_2029</t>
        </is>
      </c>
      <c r="F51" s="45" t="n">
        <v>1</v>
      </c>
      <c r="G51" s="46">
        <f>VLOOKUP(D51,'Cấu Hình Học Phí'!$A$8:$B$11,2,FALSE)</f>
        <v/>
      </c>
      <c r="H51" s="46">
        <f>F51*G51</f>
        <v/>
      </c>
      <c r="I51" s="45" t="n">
        <v>0</v>
      </c>
      <c r="J51" s="46">
        <f>I51*'Cấu Hình Học Phí'!$B$5</f>
        <v/>
      </c>
      <c r="K51" s="46" t="n">
        <v>0</v>
      </c>
      <c r="L51" s="46">
        <f>H51+J51-K51</f>
        <v/>
      </c>
      <c r="M51" s="46" t="n">
        <v>732050</v>
      </c>
      <c r="N51" s="46" t="n">
        <v>0</v>
      </c>
      <c r="O51" s="46">
        <f>MAX(0,M51-N51-L51)</f>
        <v/>
      </c>
      <c r="P51" s="46">
        <f>MAX(0,L51-(M51-N51))</f>
        <v/>
      </c>
      <c r="Q51" s="45" t="inlineStr">
        <is>
          <t>30/09/2028</t>
        </is>
      </c>
      <c r="R51" s="45" t="inlineStr">
        <is>
          <t>PT2028-00048</t>
        </is>
      </c>
      <c r="S51" s="45" t="inlineStr"/>
    </row>
    <row r="52">
      <c r="A52" s="45" t="inlineStr">
        <is>
          <t>251210834</t>
        </is>
      </c>
      <c r="B52" s="45" t="inlineStr">
        <is>
          <t>NGUYỄN VŨ THÀNH DƯƠNG</t>
        </is>
      </c>
      <c r="C52" s="45" t="inlineStr">
        <is>
          <t>Công nghệ thông tin 1 K66</t>
        </is>
      </c>
      <c r="D52" s="45" t="inlineStr">
        <is>
          <t>Năm 1</t>
        </is>
      </c>
      <c r="E52" s="45" t="inlineStr">
        <is>
          <t>2025_2026</t>
        </is>
      </c>
      <c r="F52" s="45" t="n">
        <v>4</v>
      </c>
      <c r="G52" s="46">
        <f>VLOOKUP(D52,'Cấu Hình Học Phí'!$A$8:$B$11,2,FALSE)</f>
        <v/>
      </c>
      <c r="H52" s="46">
        <f>F52*G52</f>
        <v/>
      </c>
      <c r="I52" s="45" t="n">
        <v>0</v>
      </c>
      <c r="J52" s="46">
        <f>I52*'Cấu Hình Học Phí'!$B$5</f>
        <v/>
      </c>
      <c r="K52" s="46" t="n">
        <v>0</v>
      </c>
      <c r="L52" s="46">
        <f>H52+J52-K52</f>
        <v/>
      </c>
      <c r="M52" s="46" t="n">
        <v>2200000</v>
      </c>
      <c r="N52" s="46" t="n">
        <v>0</v>
      </c>
      <c r="O52" s="46">
        <f>MAX(0,M52-N52-L52)</f>
        <v/>
      </c>
      <c r="P52" s="46">
        <f>MAX(0,L52-(M52-N52))</f>
        <v/>
      </c>
      <c r="Q52" s="45" t="inlineStr">
        <is>
          <t>30/09/2025</t>
        </is>
      </c>
      <c r="R52" s="45" t="inlineStr">
        <is>
          <t>PT2025-00049</t>
        </is>
      </c>
      <c r="S52" s="45" t="inlineStr"/>
    </row>
    <row r="53">
      <c r="A53" s="45" t="inlineStr">
        <is>
          <t>251210834</t>
        </is>
      </c>
      <c r="B53" s="45" t="inlineStr">
        <is>
          <t>NGUYỄN VŨ THÀNH DƯƠNG</t>
        </is>
      </c>
      <c r="C53" s="45" t="inlineStr">
        <is>
          <t>Công nghệ thông tin 1 K66</t>
        </is>
      </c>
      <c r="D53" s="45" t="inlineStr">
        <is>
          <t>Năm 2</t>
        </is>
      </c>
      <c r="E53" s="45" t="inlineStr">
        <is>
          <t>2026_2027</t>
        </is>
      </c>
      <c r="F53" s="45" t="n">
        <v>4</v>
      </c>
      <c r="G53" s="46">
        <f>VLOOKUP(D53,'Cấu Hình Học Phí'!$A$8:$B$11,2,FALSE)</f>
        <v/>
      </c>
      <c r="H53" s="46">
        <f>F53*G53</f>
        <v/>
      </c>
      <c r="I53" s="45" t="n">
        <v>1</v>
      </c>
      <c r="J53" s="46">
        <f>I53*'Cấu Hình Học Phí'!$B$5</f>
        <v/>
      </c>
      <c r="K53" s="46" t="n">
        <v>0</v>
      </c>
      <c r="L53" s="46">
        <f>H53+J53-K53</f>
        <v/>
      </c>
      <c r="M53" s="46" t="n">
        <v>3420000</v>
      </c>
      <c r="N53" s="46" t="n">
        <v>0</v>
      </c>
      <c r="O53" s="46">
        <f>MAX(0,M53-N53-L53)</f>
        <v/>
      </c>
      <c r="P53" s="46">
        <f>MAX(0,L53-(M53-N53))</f>
        <v/>
      </c>
      <c r="Q53" s="45" t="inlineStr">
        <is>
          <t>30/09/2026</t>
        </is>
      </c>
      <c r="R53" s="45" t="inlineStr">
        <is>
          <t>PT2026-00050</t>
        </is>
      </c>
      <c r="S53" s="45" t="inlineStr"/>
    </row>
    <row r="54">
      <c r="A54" s="45" t="inlineStr">
        <is>
          <t>251210834</t>
        </is>
      </c>
      <c r="B54" s="45" t="inlineStr">
        <is>
          <t>NGUYỄN VŨ THÀNH DƯƠNG</t>
        </is>
      </c>
      <c r="C54" s="45" t="inlineStr">
        <is>
          <t>Công nghệ thông tin 1 K66</t>
        </is>
      </c>
      <c r="D54" s="45" t="inlineStr">
        <is>
          <t>Năm 3</t>
        </is>
      </c>
      <c r="E54" s="45" t="inlineStr">
        <is>
          <t>2027_2028</t>
        </is>
      </c>
      <c r="F54" s="45" t="n">
        <v>4</v>
      </c>
      <c r="G54" s="46">
        <f>VLOOKUP(D54,'Cấu Hình Học Phí'!$A$8:$B$11,2,FALSE)</f>
        <v/>
      </c>
      <c r="H54" s="46">
        <f>F54*G54</f>
        <v/>
      </c>
      <c r="I54" s="45" t="n">
        <v>1</v>
      </c>
      <c r="J54" s="46">
        <f>I54*'Cấu Hình Học Phí'!$B$5</f>
        <v/>
      </c>
      <c r="K54" s="46" t="n">
        <v>0</v>
      </c>
      <c r="L54" s="46">
        <f>H54+J54-K54</f>
        <v/>
      </c>
      <c r="M54" s="46" t="n">
        <v>2662000</v>
      </c>
      <c r="N54" s="46" t="n">
        <v>0</v>
      </c>
      <c r="O54" s="46">
        <f>MAX(0,M54-N54-L54)</f>
        <v/>
      </c>
      <c r="P54" s="46">
        <f>MAX(0,L54-(M54-N54))</f>
        <v/>
      </c>
      <c r="Q54" s="45" t="inlineStr">
        <is>
          <t>30/09/2027</t>
        </is>
      </c>
      <c r="R54" s="45" t="inlineStr">
        <is>
          <t>PT2027-00051</t>
        </is>
      </c>
      <c r="S54" s="45" t="inlineStr">
        <is>
          <t>Chưa nộp phí phụ đạo 1 môn</t>
        </is>
      </c>
    </row>
    <row r="55">
      <c r="A55" s="45" t="inlineStr">
        <is>
          <t>251210834</t>
        </is>
      </c>
      <c r="B55" s="45" t="inlineStr">
        <is>
          <t>NGUYỄN VŨ THÀNH DƯƠNG</t>
        </is>
      </c>
      <c r="C55" s="45" t="inlineStr">
        <is>
          <t>Công nghệ thông tin 1 K66</t>
        </is>
      </c>
      <c r="D55" s="45" t="inlineStr">
        <is>
          <t>Năm 4</t>
        </is>
      </c>
      <c r="E55" s="45" t="inlineStr">
        <is>
          <t>2028_2029</t>
        </is>
      </c>
      <c r="F55" s="45" t="n">
        <v>1</v>
      </c>
      <c r="G55" s="46">
        <f>VLOOKUP(D55,'Cấu Hình Học Phí'!$A$8:$B$11,2,FALSE)</f>
        <v/>
      </c>
      <c r="H55" s="46">
        <f>F55*G55</f>
        <v/>
      </c>
      <c r="I55" s="45" t="n">
        <v>0</v>
      </c>
      <c r="J55" s="46">
        <f>I55*'Cấu Hình Học Phí'!$B$5</f>
        <v/>
      </c>
      <c r="K55" s="46" t="n">
        <v>0</v>
      </c>
      <c r="L55" s="46">
        <f>H55+J55-K55</f>
        <v/>
      </c>
      <c r="M55" s="46" t="n">
        <v>732050</v>
      </c>
      <c r="N55" s="46" t="n">
        <v>0</v>
      </c>
      <c r="O55" s="46">
        <f>MAX(0,M55-N55-L55)</f>
        <v/>
      </c>
      <c r="P55" s="46">
        <f>MAX(0,L55-(M55-N55))</f>
        <v/>
      </c>
      <c r="Q55" s="45" t="inlineStr">
        <is>
          <t>30/09/2028</t>
        </is>
      </c>
      <c r="R55" s="45" t="inlineStr">
        <is>
          <t>PT2028-00052</t>
        </is>
      </c>
      <c r="S55" s="45" t="inlineStr"/>
    </row>
    <row r="56">
      <c r="A56" s="45" t="inlineStr">
        <is>
          <t>241224474</t>
        </is>
      </c>
      <c r="B56" s="45" t="inlineStr">
        <is>
          <t>Nguyễn Xuân Đại</t>
        </is>
      </c>
      <c r="C56" s="45" t="inlineStr">
        <is>
          <t>Công nghệ thông tin 1 K66</t>
        </is>
      </c>
      <c r="D56" s="45" t="inlineStr">
        <is>
          <t>Năm 1</t>
        </is>
      </c>
      <c r="E56" s="45" t="inlineStr">
        <is>
          <t>2025_2026</t>
        </is>
      </c>
      <c r="F56" s="45" t="n">
        <v>4</v>
      </c>
      <c r="G56" s="46">
        <f>VLOOKUP(D56,'Cấu Hình Học Phí'!$A$8:$B$11,2,FALSE)</f>
        <v/>
      </c>
      <c r="H56" s="46">
        <f>F56*G56</f>
        <v/>
      </c>
      <c r="I56" s="45" t="n">
        <v>0</v>
      </c>
      <c r="J56" s="46">
        <f>I56*'Cấu Hình Học Phí'!$B$5</f>
        <v/>
      </c>
      <c r="K56" s="46" t="n">
        <v>0</v>
      </c>
      <c r="L56" s="46">
        <f>H56+J56-K56</f>
        <v/>
      </c>
      <c r="M56" s="46" t="n">
        <v>2200000</v>
      </c>
      <c r="N56" s="46" t="n">
        <v>0</v>
      </c>
      <c r="O56" s="46">
        <f>MAX(0,M56-N56-L56)</f>
        <v/>
      </c>
      <c r="P56" s="46">
        <f>MAX(0,L56-(M56-N56))</f>
        <v/>
      </c>
      <c r="Q56" s="45" t="inlineStr">
        <is>
          <t>30/09/2025</t>
        </is>
      </c>
      <c r="R56" s="45" t="inlineStr">
        <is>
          <t>PT2025-00053</t>
        </is>
      </c>
      <c r="S56" s="45" t="inlineStr"/>
    </row>
    <row r="57">
      <c r="A57" s="45" t="inlineStr">
        <is>
          <t>241224474</t>
        </is>
      </c>
      <c r="B57" s="45" t="inlineStr">
        <is>
          <t>Nguyễn Xuân Đại</t>
        </is>
      </c>
      <c r="C57" s="45" t="inlineStr">
        <is>
          <t>Công nghệ thông tin 1 K66</t>
        </is>
      </c>
      <c r="D57" s="45" t="inlineStr">
        <is>
          <t>Năm 2</t>
        </is>
      </c>
      <c r="E57" s="45" t="inlineStr">
        <is>
          <t>2026_2027</t>
        </is>
      </c>
      <c r="F57" s="45" t="n">
        <v>4</v>
      </c>
      <c r="G57" s="46">
        <f>VLOOKUP(D57,'Cấu Hình Học Phí'!$A$8:$B$11,2,FALSE)</f>
        <v/>
      </c>
      <c r="H57" s="46">
        <f>F57*G57</f>
        <v/>
      </c>
      <c r="I57" s="45" t="n">
        <v>0</v>
      </c>
      <c r="J57" s="46">
        <f>I57*'Cấu Hình Học Phí'!$B$5</f>
        <v/>
      </c>
      <c r="K57" s="46" t="n">
        <v>0</v>
      </c>
      <c r="L57" s="46">
        <f>H57+J57-K57</f>
        <v/>
      </c>
      <c r="M57" s="46" t="n">
        <v>2420000</v>
      </c>
      <c r="N57" s="46" t="n">
        <v>0</v>
      </c>
      <c r="O57" s="46">
        <f>MAX(0,M57-N57-L57)</f>
        <v/>
      </c>
      <c r="P57" s="46">
        <f>MAX(0,L57-(M57-N57))</f>
        <v/>
      </c>
      <c r="Q57" s="45" t="inlineStr">
        <is>
          <t>30/09/2026</t>
        </is>
      </c>
      <c r="R57" s="45" t="inlineStr">
        <is>
          <t>PT2026-00054</t>
        </is>
      </c>
      <c r="S57" s="45" t="inlineStr"/>
    </row>
    <row r="58">
      <c r="A58" s="45" t="inlineStr">
        <is>
          <t>241224474</t>
        </is>
      </c>
      <c r="B58" s="45" t="inlineStr">
        <is>
          <t>Nguyễn Xuân Đại</t>
        </is>
      </c>
      <c r="C58" s="45" t="inlineStr">
        <is>
          <t>Công nghệ thông tin 1 K66</t>
        </is>
      </c>
      <c r="D58" s="45" t="inlineStr">
        <is>
          <t>Năm 3</t>
        </is>
      </c>
      <c r="E58" s="45" t="inlineStr">
        <is>
          <t>2027_2028</t>
        </is>
      </c>
      <c r="F58" s="45" t="n">
        <v>4</v>
      </c>
      <c r="G58" s="46">
        <f>VLOOKUP(D58,'Cấu Hình Học Phí'!$A$8:$B$11,2,FALSE)</f>
        <v/>
      </c>
      <c r="H58" s="46">
        <f>F58*G58</f>
        <v/>
      </c>
      <c r="I58" s="45" t="n">
        <v>0</v>
      </c>
      <c r="J58" s="46">
        <f>I58*'Cấu Hình Học Phí'!$B$5</f>
        <v/>
      </c>
      <c r="K58" s="46" t="n">
        <v>0</v>
      </c>
      <c r="L58" s="46">
        <f>H58+J58-K58</f>
        <v/>
      </c>
      <c r="M58" s="46" t="n">
        <v>2662000</v>
      </c>
      <c r="N58" s="46" t="n">
        <v>0</v>
      </c>
      <c r="O58" s="46">
        <f>MAX(0,M58-N58-L58)</f>
        <v/>
      </c>
      <c r="P58" s="46">
        <f>MAX(0,L58-(M58-N58))</f>
        <v/>
      </c>
      <c r="Q58" s="45" t="inlineStr">
        <is>
          <t>30/09/2027</t>
        </is>
      </c>
      <c r="R58" s="45" t="inlineStr">
        <is>
          <t>PT2027-00055</t>
        </is>
      </c>
      <c r="S58" s="45" t="inlineStr"/>
    </row>
    <row r="59">
      <c r="A59" s="45" t="inlineStr">
        <is>
          <t>241224474</t>
        </is>
      </c>
      <c r="B59" s="45" t="inlineStr">
        <is>
          <t>Nguyễn Xuân Đại</t>
        </is>
      </c>
      <c r="C59" s="45" t="inlineStr">
        <is>
          <t>Công nghệ thông tin 1 K66</t>
        </is>
      </c>
      <c r="D59" s="45" t="inlineStr">
        <is>
          <t>Năm 4</t>
        </is>
      </c>
      <c r="E59" s="45" t="inlineStr">
        <is>
          <t>2028_2029</t>
        </is>
      </c>
      <c r="F59" s="45" t="n">
        <v>1</v>
      </c>
      <c r="G59" s="46">
        <f>VLOOKUP(D59,'Cấu Hình Học Phí'!$A$8:$B$11,2,FALSE)</f>
        <v/>
      </c>
      <c r="H59" s="46">
        <f>F59*G59</f>
        <v/>
      </c>
      <c r="I59" s="45" t="n">
        <v>0</v>
      </c>
      <c r="J59" s="46">
        <f>I59*'Cấu Hình Học Phí'!$B$5</f>
        <v/>
      </c>
      <c r="K59" s="46" t="n">
        <v>0</v>
      </c>
      <c r="L59" s="46">
        <f>H59+J59-K59</f>
        <v/>
      </c>
      <c r="M59" s="46" t="n">
        <v>732050</v>
      </c>
      <c r="N59" s="46" t="n">
        <v>0</v>
      </c>
      <c r="O59" s="46">
        <f>MAX(0,M59-N59-L59)</f>
        <v/>
      </c>
      <c r="P59" s="46">
        <f>MAX(0,L59-(M59-N59))</f>
        <v/>
      </c>
      <c r="Q59" s="45" t="inlineStr">
        <is>
          <t>30/09/2028</t>
        </is>
      </c>
      <c r="R59" s="45" t="inlineStr">
        <is>
          <t>PT2028-00056</t>
        </is>
      </c>
      <c r="S59" s="45" t="inlineStr"/>
    </row>
    <row r="60">
      <c r="A60" s="45" t="inlineStr">
        <is>
          <t>251230836</t>
        </is>
      </c>
      <c r="B60" s="45" t="inlineStr">
        <is>
          <t>CHỬ TIẾN ĐẠT</t>
        </is>
      </c>
      <c r="C60" s="45" t="inlineStr">
        <is>
          <t>Công nghệ thông tin 1 K66</t>
        </is>
      </c>
      <c r="D60" s="45" t="inlineStr">
        <is>
          <t>Năm 1</t>
        </is>
      </c>
      <c r="E60" s="45" t="inlineStr">
        <is>
          <t>2025_2026</t>
        </is>
      </c>
      <c r="F60" s="45" t="n">
        <v>4</v>
      </c>
      <c r="G60" s="46">
        <f>VLOOKUP(D60,'Cấu Hình Học Phí'!$A$8:$B$11,2,FALSE)</f>
        <v/>
      </c>
      <c r="H60" s="46">
        <f>F60*G60</f>
        <v/>
      </c>
      <c r="I60" s="45" t="n">
        <v>0</v>
      </c>
      <c r="J60" s="46">
        <f>I60*'Cấu Hình Học Phí'!$B$5</f>
        <v/>
      </c>
      <c r="K60" s="46" t="n">
        <v>0</v>
      </c>
      <c r="L60" s="46">
        <f>H60+J60-K60</f>
        <v/>
      </c>
      <c r="M60" s="46" t="n">
        <v>2200000</v>
      </c>
      <c r="N60" s="46" t="n">
        <v>0</v>
      </c>
      <c r="O60" s="46">
        <f>MAX(0,M60-N60-L60)</f>
        <v/>
      </c>
      <c r="P60" s="46">
        <f>MAX(0,L60-(M60-N60))</f>
        <v/>
      </c>
      <c r="Q60" s="45" t="inlineStr">
        <is>
          <t>30/09/2025</t>
        </is>
      </c>
      <c r="R60" s="45" t="inlineStr">
        <is>
          <t>PT2025-00057</t>
        </is>
      </c>
      <c r="S60" s="45" t="inlineStr"/>
    </row>
    <row r="61">
      <c r="A61" s="45" t="inlineStr">
        <is>
          <t>251230836</t>
        </is>
      </c>
      <c r="B61" s="45" t="inlineStr">
        <is>
          <t>CHỬ TIẾN ĐẠT</t>
        </is>
      </c>
      <c r="C61" s="45" t="inlineStr">
        <is>
          <t>Công nghệ thông tin 1 K66</t>
        </is>
      </c>
      <c r="D61" s="45" t="inlineStr">
        <is>
          <t>Năm 2</t>
        </is>
      </c>
      <c r="E61" s="45" t="inlineStr">
        <is>
          <t>2026_2027</t>
        </is>
      </c>
      <c r="F61" s="45" t="n">
        <v>4</v>
      </c>
      <c r="G61" s="46">
        <f>VLOOKUP(D61,'Cấu Hình Học Phí'!$A$8:$B$11,2,FALSE)</f>
        <v/>
      </c>
      <c r="H61" s="46">
        <f>F61*G61</f>
        <v/>
      </c>
      <c r="I61" s="45" t="n">
        <v>1</v>
      </c>
      <c r="J61" s="46">
        <f>I61*'Cấu Hình Học Phí'!$B$5</f>
        <v/>
      </c>
      <c r="K61" s="46" t="n">
        <v>0</v>
      </c>
      <c r="L61" s="46">
        <f>H61+J61-K61</f>
        <v/>
      </c>
      <c r="M61" s="46" t="n">
        <v>3420000</v>
      </c>
      <c r="N61" s="46" t="n">
        <v>0</v>
      </c>
      <c r="O61" s="46">
        <f>MAX(0,M61-N61-L61)</f>
        <v/>
      </c>
      <c r="P61" s="46">
        <f>MAX(0,L61-(M61-N61))</f>
        <v/>
      </c>
      <c r="Q61" s="45" t="inlineStr">
        <is>
          <t>30/09/2026</t>
        </is>
      </c>
      <c r="R61" s="45" t="inlineStr">
        <is>
          <t>PT2026-00058</t>
        </is>
      </c>
      <c r="S61" s="45" t="inlineStr"/>
    </row>
    <row r="62">
      <c r="A62" s="45" t="inlineStr">
        <is>
          <t>251230836</t>
        </is>
      </c>
      <c r="B62" s="45" t="inlineStr">
        <is>
          <t>CHỬ TIẾN ĐẠT</t>
        </is>
      </c>
      <c r="C62" s="45" t="inlineStr">
        <is>
          <t>Công nghệ thông tin 1 K66</t>
        </is>
      </c>
      <c r="D62" s="45" t="inlineStr">
        <is>
          <t>Năm 3</t>
        </is>
      </c>
      <c r="E62" s="45" t="inlineStr">
        <is>
          <t>2027_2028</t>
        </is>
      </c>
      <c r="F62" s="45" t="n">
        <v>4</v>
      </c>
      <c r="G62" s="46">
        <f>VLOOKUP(D62,'Cấu Hình Học Phí'!$A$8:$B$11,2,FALSE)</f>
        <v/>
      </c>
      <c r="H62" s="46">
        <f>F62*G62</f>
        <v/>
      </c>
      <c r="I62" s="45" t="n">
        <v>0</v>
      </c>
      <c r="J62" s="46">
        <f>I62*'Cấu Hình Học Phí'!$B$5</f>
        <v/>
      </c>
      <c r="K62" s="46" t="n">
        <v>0</v>
      </c>
      <c r="L62" s="46">
        <f>H62+J62-K62</f>
        <v/>
      </c>
      <c r="M62" s="46" t="n">
        <v>2662000</v>
      </c>
      <c r="N62" s="46" t="n">
        <v>0</v>
      </c>
      <c r="O62" s="46">
        <f>MAX(0,M62-N62-L62)</f>
        <v/>
      </c>
      <c r="P62" s="46">
        <f>MAX(0,L62-(M62-N62))</f>
        <v/>
      </c>
      <c r="Q62" s="45" t="inlineStr">
        <is>
          <t>30/09/2027</t>
        </is>
      </c>
      <c r="R62" s="45" t="inlineStr">
        <is>
          <t>PT2027-00059</t>
        </is>
      </c>
      <c r="S62" s="45" t="inlineStr"/>
    </row>
    <row r="63">
      <c r="A63" s="45" t="inlineStr">
        <is>
          <t>251230836</t>
        </is>
      </c>
      <c r="B63" s="45" t="inlineStr">
        <is>
          <t>CHỬ TIẾN ĐẠT</t>
        </is>
      </c>
      <c r="C63" s="45" t="inlineStr">
        <is>
          <t>Công nghệ thông tin 1 K66</t>
        </is>
      </c>
      <c r="D63" s="45" t="inlineStr">
        <is>
          <t>Năm 4</t>
        </is>
      </c>
      <c r="E63" s="45" t="inlineStr">
        <is>
          <t>2028_2029</t>
        </is>
      </c>
      <c r="F63" s="45" t="n">
        <v>1</v>
      </c>
      <c r="G63" s="46">
        <f>VLOOKUP(D63,'Cấu Hình Học Phí'!$A$8:$B$11,2,FALSE)</f>
        <v/>
      </c>
      <c r="H63" s="46">
        <f>F63*G63</f>
        <v/>
      </c>
      <c r="I63" s="45" t="n">
        <v>0</v>
      </c>
      <c r="J63" s="46">
        <f>I63*'Cấu Hình Học Phí'!$B$5</f>
        <v/>
      </c>
      <c r="K63" s="46" t="n">
        <v>0</v>
      </c>
      <c r="L63" s="46">
        <f>H63+J63-K63</f>
        <v/>
      </c>
      <c r="M63" s="46" t="n">
        <v>732050</v>
      </c>
      <c r="N63" s="46" t="n">
        <v>0</v>
      </c>
      <c r="O63" s="46">
        <f>MAX(0,M63-N63-L63)</f>
        <v/>
      </c>
      <c r="P63" s="46">
        <f>MAX(0,L63-(M63-N63))</f>
        <v/>
      </c>
      <c r="Q63" s="45" t="inlineStr">
        <is>
          <t>30/09/2028</t>
        </is>
      </c>
      <c r="R63" s="45" t="inlineStr">
        <is>
          <t>PT2028-00060</t>
        </is>
      </c>
      <c r="S63" s="45" t="inlineStr"/>
    </row>
    <row r="64">
      <c r="A64" s="45" t="inlineStr">
        <is>
          <t>251210848</t>
        </is>
      </c>
      <c r="B64" s="45" t="inlineStr">
        <is>
          <t>PHẠM ANH ĐỨC</t>
        </is>
      </c>
      <c r="C64" s="45" t="inlineStr">
        <is>
          <t>Công nghệ thông tin 1 K66</t>
        </is>
      </c>
      <c r="D64" s="45" t="inlineStr">
        <is>
          <t>Năm 1</t>
        </is>
      </c>
      <c r="E64" s="45" t="inlineStr">
        <is>
          <t>2025_2026</t>
        </is>
      </c>
      <c r="F64" s="45" t="n">
        <v>4</v>
      </c>
      <c r="G64" s="46">
        <f>VLOOKUP(D64,'Cấu Hình Học Phí'!$A$8:$B$11,2,FALSE)</f>
        <v/>
      </c>
      <c r="H64" s="46">
        <f>F64*G64</f>
        <v/>
      </c>
      <c r="I64" s="45" t="n">
        <v>1</v>
      </c>
      <c r="J64" s="46">
        <f>I64*'Cấu Hình Học Phí'!$B$5</f>
        <v/>
      </c>
      <c r="K64" s="46" t="n">
        <v>0</v>
      </c>
      <c r="L64" s="46">
        <f>H64+J64-K64</f>
        <v/>
      </c>
      <c r="M64" s="46" t="n">
        <v>2200000</v>
      </c>
      <c r="N64" s="46" t="n">
        <v>0</v>
      </c>
      <c r="O64" s="46">
        <f>MAX(0,M64-N64-L64)</f>
        <v/>
      </c>
      <c r="P64" s="46">
        <f>MAX(0,L64-(M64-N64))</f>
        <v/>
      </c>
      <c r="Q64" s="45" t="inlineStr">
        <is>
          <t>30/09/2025</t>
        </is>
      </c>
      <c r="R64" s="45" t="inlineStr">
        <is>
          <t>PT2025-00061</t>
        </is>
      </c>
      <c r="S64" s="45" t="inlineStr">
        <is>
          <t>Chưa nộp phí phụ đạo 1 môn</t>
        </is>
      </c>
    </row>
    <row r="65">
      <c r="A65" s="45" t="inlineStr">
        <is>
          <t>251210848</t>
        </is>
      </c>
      <c r="B65" s="45" t="inlineStr">
        <is>
          <t>PHẠM ANH ĐỨC</t>
        </is>
      </c>
      <c r="C65" s="45" t="inlineStr">
        <is>
          <t>Công nghệ thông tin 1 K66</t>
        </is>
      </c>
      <c r="D65" s="45" t="inlineStr">
        <is>
          <t>Năm 2</t>
        </is>
      </c>
      <c r="E65" s="45" t="inlineStr">
        <is>
          <t>2026_2027</t>
        </is>
      </c>
      <c r="F65" s="45" t="n">
        <v>4</v>
      </c>
      <c r="G65" s="46">
        <f>VLOOKUP(D65,'Cấu Hình Học Phí'!$A$8:$B$11,2,FALSE)</f>
        <v/>
      </c>
      <c r="H65" s="46">
        <f>F65*G65</f>
        <v/>
      </c>
      <c r="I65" s="45" t="n">
        <v>0</v>
      </c>
      <c r="J65" s="46">
        <f>I65*'Cấu Hình Học Phí'!$B$5</f>
        <v/>
      </c>
      <c r="K65" s="46" t="n">
        <v>0</v>
      </c>
      <c r="L65" s="46">
        <f>H65+J65-K65</f>
        <v/>
      </c>
      <c r="M65" s="46" t="n">
        <v>2420000</v>
      </c>
      <c r="N65" s="46" t="n">
        <v>0</v>
      </c>
      <c r="O65" s="46">
        <f>MAX(0,M65-N65-L65)</f>
        <v/>
      </c>
      <c r="P65" s="46">
        <f>MAX(0,L65-(M65-N65))</f>
        <v/>
      </c>
      <c r="Q65" s="45" t="inlineStr">
        <is>
          <t>30/09/2026</t>
        </is>
      </c>
      <c r="R65" s="45" t="inlineStr">
        <is>
          <t>PT2026-00062</t>
        </is>
      </c>
      <c r="S65" s="45" t="inlineStr"/>
    </row>
    <row r="66">
      <c r="A66" s="45" t="inlineStr">
        <is>
          <t>251210848</t>
        </is>
      </c>
      <c r="B66" s="45" t="inlineStr">
        <is>
          <t>PHẠM ANH ĐỨC</t>
        </is>
      </c>
      <c r="C66" s="45" t="inlineStr">
        <is>
          <t>Công nghệ thông tin 1 K66</t>
        </is>
      </c>
      <c r="D66" s="45" t="inlineStr">
        <is>
          <t>Năm 3</t>
        </is>
      </c>
      <c r="E66" s="45" t="inlineStr">
        <is>
          <t>2027_2028</t>
        </is>
      </c>
      <c r="F66" s="45" t="n">
        <v>4</v>
      </c>
      <c r="G66" s="46">
        <f>VLOOKUP(D66,'Cấu Hình Học Phí'!$A$8:$B$11,2,FALSE)</f>
        <v/>
      </c>
      <c r="H66" s="46">
        <f>F66*G66</f>
        <v/>
      </c>
      <c r="I66" s="45" t="n">
        <v>0</v>
      </c>
      <c r="J66" s="46">
        <f>I66*'Cấu Hình Học Phí'!$B$5</f>
        <v/>
      </c>
      <c r="K66" s="46" t="n">
        <v>0</v>
      </c>
      <c r="L66" s="46">
        <f>H66+J66-K66</f>
        <v/>
      </c>
      <c r="M66" s="46" t="n">
        <v>2662000</v>
      </c>
      <c r="N66" s="46" t="n">
        <v>0</v>
      </c>
      <c r="O66" s="46">
        <f>MAX(0,M66-N66-L66)</f>
        <v/>
      </c>
      <c r="P66" s="46">
        <f>MAX(0,L66-(M66-N66))</f>
        <v/>
      </c>
      <c r="Q66" s="45" t="inlineStr">
        <is>
          <t>30/09/2027</t>
        </is>
      </c>
      <c r="R66" s="45" t="inlineStr">
        <is>
          <t>PT2027-00063</t>
        </is>
      </c>
      <c r="S66" s="45" t="inlineStr"/>
    </row>
    <row r="67">
      <c r="A67" s="45" t="inlineStr">
        <is>
          <t>251210848</t>
        </is>
      </c>
      <c r="B67" s="45" t="inlineStr">
        <is>
          <t>PHẠM ANH ĐỨC</t>
        </is>
      </c>
      <c r="C67" s="45" t="inlineStr">
        <is>
          <t>Công nghệ thông tin 1 K66</t>
        </is>
      </c>
      <c r="D67" s="45" t="inlineStr">
        <is>
          <t>Năm 4</t>
        </is>
      </c>
      <c r="E67" s="45" t="inlineStr">
        <is>
          <t>2028_2029</t>
        </is>
      </c>
      <c r="F67" s="45" t="n">
        <v>1</v>
      </c>
      <c r="G67" s="46">
        <f>VLOOKUP(D67,'Cấu Hình Học Phí'!$A$8:$B$11,2,FALSE)</f>
        <v/>
      </c>
      <c r="H67" s="46">
        <f>F67*G67</f>
        <v/>
      </c>
      <c r="I67" s="45" t="n">
        <v>0</v>
      </c>
      <c r="J67" s="46">
        <f>I67*'Cấu Hình Học Phí'!$B$5</f>
        <v/>
      </c>
      <c r="K67" s="46" t="n">
        <v>0</v>
      </c>
      <c r="L67" s="46">
        <f>H67+J67-K67</f>
        <v/>
      </c>
      <c r="M67" s="46" t="n">
        <v>732050</v>
      </c>
      <c r="N67" s="46" t="n">
        <v>0</v>
      </c>
      <c r="O67" s="46">
        <f>MAX(0,M67-N67-L67)</f>
        <v/>
      </c>
      <c r="P67" s="46">
        <f>MAX(0,L67-(M67-N67))</f>
        <v/>
      </c>
      <c r="Q67" s="45" t="inlineStr">
        <is>
          <t>30/09/2028</t>
        </is>
      </c>
      <c r="R67" s="45" t="inlineStr">
        <is>
          <t>PT2028-00064</t>
        </is>
      </c>
      <c r="S67" s="45" t="inlineStr"/>
    </row>
    <row r="68">
      <c r="A68" s="45" t="inlineStr">
        <is>
          <t>251210849</t>
        </is>
      </c>
      <c r="B68" s="45" t="inlineStr">
        <is>
          <t>PHẠM ANH ĐỨC</t>
        </is>
      </c>
      <c r="C68" s="45" t="inlineStr">
        <is>
          <t>Công nghệ thông tin 1 K66</t>
        </is>
      </c>
      <c r="D68" s="45" t="inlineStr">
        <is>
          <t>Năm 1</t>
        </is>
      </c>
      <c r="E68" s="45" t="inlineStr">
        <is>
          <t>2025_2026</t>
        </is>
      </c>
      <c r="F68" s="45" t="n">
        <v>4</v>
      </c>
      <c r="G68" s="46">
        <f>VLOOKUP(D68,'Cấu Hình Học Phí'!$A$8:$B$11,2,FALSE)</f>
        <v/>
      </c>
      <c r="H68" s="46">
        <f>F68*G68</f>
        <v/>
      </c>
      <c r="I68" s="45" t="n">
        <v>1</v>
      </c>
      <c r="J68" s="46">
        <f>I68*'Cấu Hình Học Phí'!$B$5</f>
        <v/>
      </c>
      <c r="K68" s="46" t="n">
        <v>0</v>
      </c>
      <c r="L68" s="46">
        <f>H68+J68-K68</f>
        <v/>
      </c>
      <c r="M68" s="46" t="n">
        <v>3200000</v>
      </c>
      <c r="N68" s="46" t="n">
        <v>0</v>
      </c>
      <c r="O68" s="46">
        <f>MAX(0,M68-N68-L68)</f>
        <v/>
      </c>
      <c r="P68" s="46">
        <f>MAX(0,L68-(M68-N68))</f>
        <v/>
      </c>
      <c r="Q68" s="45" t="inlineStr">
        <is>
          <t>30/09/2025</t>
        </is>
      </c>
      <c r="R68" s="45" t="inlineStr">
        <is>
          <t>PT2025-00065</t>
        </is>
      </c>
      <c r="S68" s="45" t="inlineStr"/>
    </row>
    <row r="69">
      <c r="A69" s="45" t="inlineStr">
        <is>
          <t>251210849</t>
        </is>
      </c>
      <c r="B69" s="45" t="inlineStr">
        <is>
          <t>PHẠM ANH ĐỨC</t>
        </is>
      </c>
      <c r="C69" s="45" t="inlineStr">
        <is>
          <t>Công nghệ thông tin 1 K66</t>
        </is>
      </c>
      <c r="D69" s="45" t="inlineStr">
        <is>
          <t>Năm 2</t>
        </is>
      </c>
      <c r="E69" s="45" t="inlineStr">
        <is>
          <t>2026_2027</t>
        </is>
      </c>
      <c r="F69" s="45" t="n">
        <v>4</v>
      </c>
      <c r="G69" s="46">
        <f>VLOOKUP(D69,'Cấu Hình Học Phí'!$A$8:$B$11,2,FALSE)</f>
        <v/>
      </c>
      <c r="H69" s="46">
        <f>F69*G69</f>
        <v/>
      </c>
      <c r="I69" s="45" t="n">
        <v>0</v>
      </c>
      <c r="J69" s="46">
        <f>I69*'Cấu Hình Học Phí'!$B$5</f>
        <v/>
      </c>
      <c r="K69" s="46" t="n">
        <v>0</v>
      </c>
      <c r="L69" s="46">
        <f>H69+J69-K69</f>
        <v/>
      </c>
      <c r="M69" s="46" t="n">
        <v>2420000</v>
      </c>
      <c r="N69" s="46" t="n">
        <v>0</v>
      </c>
      <c r="O69" s="46">
        <f>MAX(0,M69-N69-L69)</f>
        <v/>
      </c>
      <c r="P69" s="46">
        <f>MAX(0,L69-(M69-N69))</f>
        <v/>
      </c>
      <c r="Q69" s="45" t="inlineStr">
        <is>
          <t>30/09/2026</t>
        </is>
      </c>
      <c r="R69" s="45" t="inlineStr">
        <is>
          <t>PT2026-00066</t>
        </is>
      </c>
      <c r="S69" s="45" t="inlineStr"/>
    </row>
    <row r="70">
      <c r="A70" s="45" t="inlineStr">
        <is>
          <t>251210849</t>
        </is>
      </c>
      <c r="B70" s="45" t="inlineStr">
        <is>
          <t>PHẠM ANH ĐỨC</t>
        </is>
      </c>
      <c r="C70" s="45" t="inlineStr">
        <is>
          <t>Công nghệ thông tin 1 K66</t>
        </is>
      </c>
      <c r="D70" s="45" t="inlineStr">
        <is>
          <t>Năm 3</t>
        </is>
      </c>
      <c r="E70" s="45" t="inlineStr">
        <is>
          <t>2027_2028</t>
        </is>
      </c>
      <c r="F70" s="45" t="n">
        <v>4</v>
      </c>
      <c r="G70" s="46">
        <f>VLOOKUP(D70,'Cấu Hình Học Phí'!$A$8:$B$11,2,FALSE)</f>
        <v/>
      </c>
      <c r="H70" s="46">
        <f>F70*G70</f>
        <v/>
      </c>
      <c r="I70" s="45" t="n">
        <v>0</v>
      </c>
      <c r="J70" s="46">
        <f>I70*'Cấu Hình Học Phí'!$B$5</f>
        <v/>
      </c>
      <c r="K70" s="46" t="n">
        <v>0</v>
      </c>
      <c r="L70" s="46">
        <f>H70+J70-K70</f>
        <v/>
      </c>
      <c r="M70" s="46" t="n">
        <v>2662000</v>
      </c>
      <c r="N70" s="46" t="n">
        <v>0</v>
      </c>
      <c r="O70" s="46">
        <f>MAX(0,M70-N70-L70)</f>
        <v/>
      </c>
      <c r="P70" s="46">
        <f>MAX(0,L70-(M70-N70))</f>
        <v/>
      </c>
      <c r="Q70" s="45" t="inlineStr">
        <is>
          <t>30/09/2027</t>
        </is>
      </c>
      <c r="R70" s="45" t="inlineStr">
        <is>
          <t>PT2027-00067</t>
        </is>
      </c>
      <c r="S70" s="45" t="inlineStr"/>
    </row>
    <row r="71">
      <c r="A71" s="45" t="inlineStr">
        <is>
          <t>251210849</t>
        </is>
      </c>
      <c r="B71" s="45" t="inlineStr">
        <is>
          <t>PHẠM ANH ĐỨC</t>
        </is>
      </c>
      <c r="C71" s="45" t="inlineStr">
        <is>
          <t>Công nghệ thông tin 1 K66</t>
        </is>
      </c>
      <c r="D71" s="45" t="inlineStr">
        <is>
          <t>Năm 4</t>
        </is>
      </c>
      <c r="E71" s="45" t="inlineStr">
        <is>
          <t>2028_2029</t>
        </is>
      </c>
      <c r="F71" s="45" t="n">
        <v>1</v>
      </c>
      <c r="G71" s="46">
        <f>VLOOKUP(D71,'Cấu Hình Học Phí'!$A$8:$B$11,2,FALSE)</f>
        <v/>
      </c>
      <c r="H71" s="46">
        <f>F71*G71</f>
        <v/>
      </c>
      <c r="I71" s="45" t="n">
        <v>0</v>
      </c>
      <c r="J71" s="46">
        <f>I71*'Cấu Hình Học Phí'!$B$5</f>
        <v/>
      </c>
      <c r="K71" s="46" t="n">
        <v>0</v>
      </c>
      <c r="L71" s="46">
        <f>H71+J71-K71</f>
        <v/>
      </c>
      <c r="M71" s="46" t="n">
        <v>732050</v>
      </c>
      <c r="N71" s="46" t="n">
        <v>0</v>
      </c>
      <c r="O71" s="46">
        <f>MAX(0,M71-N71-L71)</f>
        <v/>
      </c>
      <c r="P71" s="46">
        <f>MAX(0,L71-(M71-N71))</f>
        <v/>
      </c>
      <c r="Q71" s="45" t="inlineStr">
        <is>
          <t>30/09/2028</t>
        </is>
      </c>
      <c r="R71" s="45" t="inlineStr">
        <is>
          <t>PT2028-00068</t>
        </is>
      </c>
      <c r="S71" s="45" t="inlineStr"/>
    </row>
    <row r="72">
      <c r="A72" s="45" t="inlineStr">
        <is>
          <t>251210852</t>
        </is>
      </c>
      <c r="B72" s="45" t="inlineStr">
        <is>
          <t>NGUYỄN PHÚC HẢI</t>
        </is>
      </c>
      <c r="C72" s="45" t="inlineStr">
        <is>
          <t>Công nghệ thông tin 1 K66</t>
        </is>
      </c>
      <c r="D72" s="45" t="inlineStr">
        <is>
          <t>Năm 1</t>
        </is>
      </c>
      <c r="E72" s="45" t="inlineStr">
        <is>
          <t>2025_2026</t>
        </is>
      </c>
      <c r="F72" s="45" t="n">
        <v>4</v>
      </c>
      <c r="G72" s="46">
        <f>VLOOKUP(D72,'Cấu Hình Học Phí'!$A$8:$B$11,2,FALSE)</f>
        <v/>
      </c>
      <c r="H72" s="46">
        <f>F72*G72</f>
        <v/>
      </c>
      <c r="I72" s="45" t="n">
        <v>1</v>
      </c>
      <c r="J72" s="46">
        <f>I72*'Cấu Hình Học Phí'!$B$5</f>
        <v/>
      </c>
      <c r="K72" s="46" t="n">
        <v>0</v>
      </c>
      <c r="L72" s="46">
        <f>H72+J72-K72</f>
        <v/>
      </c>
      <c r="M72" s="46" t="n">
        <v>2200000</v>
      </c>
      <c r="N72" s="46" t="n">
        <v>0</v>
      </c>
      <c r="O72" s="46">
        <f>MAX(0,M72-N72-L72)</f>
        <v/>
      </c>
      <c r="P72" s="46">
        <f>MAX(0,L72-(M72-N72))</f>
        <v/>
      </c>
      <c r="Q72" s="45" t="inlineStr">
        <is>
          <t>30/09/2025</t>
        </is>
      </c>
      <c r="R72" s="45" t="inlineStr">
        <is>
          <t>PT2025-00069</t>
        </is>
      </c>
      <c r="S72" s="45" t="inlineStr">
        <is>
          <t>Chưa nộp phí phụ đạo 1 môn</t>
        </is>
      </c>
    </row>
    <row r="73">
      <c r="A73" s="45" t="inlineStr">
        <is>
          <t>251210852</t>
        </is>
      </c>
      <c r="B73" s="45" t="inlineStr">
        <is>
          <t>NGUYỄN PHÚC HẢI</t>
        </is>
      </c>
      <c r="C73" s="45" t="inlineStr">
        <is>
          <t>Công nghệ thông tin 1 K66</t>
        </is>
      </c>
      <c r="D73" s="45" t="inlineStr">
        <is>
          <t>Năm 2</t>
        </is>
      </c>
      <c r="E73" s="45" t="inlineStr">
        <is>
          <t>2026_2027</t>
        </is>
      </c>
      <c r="F73" s="45" t="n">
        <v>4</v>
      </c>
      <c r="G73" s="46">
        <f>VLOOKUP(D73,'Cấu Hình Học Phí'!$A$8:$B$11,2,FALSE)</f>
        <v/>
      </c>
      <c r="H73" s="46">
        <f>F73*G73</f>
        <v/>
      </c>
      <c r="I73" s="45" t="n">
        <v>2</v>
      </c>
      <c r="J73" s="46">
        <f>I73*'Cấu Hình Học Phí'!$B$5</f>
        <v/>
      </c>
      <c r="K73" s="46" t="n">
        <v>0</v>
      </c>
      <c r="L73" s="46">
        <f>H73+J73-K73</f>
        <v/>
      </c>
      <c r="M73" s="46" t="n">
        <v>4420000</v>
      </c>
      <c r="N73" s="46" t="n">
        <v>0</v>
      </c>
      <c r="O73" s="46">
        <f>MAX(0,M73-N73-L73)</f>
        <v/>
      </c>
      <c r="P73" s="46">
        <f>MAX(0,L73-(M73-N73))</f>
        <v/>
      </c>
      <c r="Q73" s="45" t="inlineStr">
        <is>
          <t>30/09/2026</t>
        </is>
      </c>
      <c r="R73" s="45" t="inlineStr">
        <is>
          <t>PT2026-00070</t>
        </is>
      </c>
      <c r="S73" s="45" t="inlineStr"/>
    </row>
    <row r="74">
      <c r="A74" s="45" t="inlineStr">
        <is>
          <t>251210852</t>
        </is>
      </c>
      <c r="B74" s="45" t="inlineStr">
        <is>
          <t>NGUYỄN PHÚC HẢI</t>
        </is>
      </c>
      <c r="C74" s="45" t="inlineStr">
        <is>
          <t>Công nghệ thông tin 1 K66</t>
        </is>
      </c>
      <c r="D74" s="45" t="inlineStr">
        <is>
          <t>Năm 3</t>
        </is>
      </c>
      <c r="E74" s="45" t="inlineStr">
        <is>
          <t>2027_2028</t>
        </is>
      </c>
      <c r="F74" s="45" t="n">
        <v>4</v>
      </c>
      <c r="G74" s="46">
        <f>VLOOKUP(D74,'Cấu Hình Học Phí'!$A$8:$B$11,2,FALSE)</f>
        <v/>
      </c>
      <c r="H74" s="46">
        <f>F74*G74</f>
        <v/>
      </c>
      <c r="I74" s="45" t="n">
        <v>1</v>
      </c>
      <c r="J74" s="46">
        <f>I74*'Cấu Hình Học Phí'!$B$5</f>
        <v/>
      </c>
      <c r="K74" s="46" t="n">
        <v>0</v>
      </c>
      <c r="L74" s="46">
        <f>H74+J74-K74</f>
        <v/>
      </c>
      <c r="M74" s="46" t="n">
        <v>2662000</v>
      </c>
      <c r="N74" s="46" t="n">
        <v>0</v>
      </c>
      <c r="O74" s="46">
        <f>MAX(0,M74-N74-L74)</f>
        <v/>
      </c>
      <c r="P74" s="46">
        <f>MAX(0,L74-(M74-N74))</f>
        <v/>
      </c>
      <c r="Q74" s="45" t="inlineStr">
        <is>
          <t>30/09/2027</t>
        </is>
      </c>
      <c r="R74" s="45" t="inlineStr">
        <is>
          <t>PT2027-00071</t>
        </is>
      </c>
      <c r="S74" s="45" t="inlineStr">
        <is>
          <t>Chưa nộp phí phụ đạo 1 môn</t>
        </is>
      </c>
    </row>
    <row r="75">
      <c r="A75" s="45" t="inlineStr">
        <is>
          <t>251210852</t>
        </is>
      </c>
      <c r="B75" s="45" t="inlineStr">
        <is>
          <t>NGUYỄN PHÚC HẢI</t>
        </is>
      </c>
      <c r="C75" s="45" t="inlineStr">
        <is>
          <t>Công nghệ thông tin 1 K66</t>
        </is>
      </c>
      <c r="D75" s="45" t="inlineStr">
        <is>
          <t>Năm 4</t>
        </is>
      </c>
      <c r="E75" s="45" t="inlineStr">
        <is>
          <t>2028_2029</t>
        </is>
      </c>
      <c r="F75" s="45" t="n">
        <v>1</v>
      </c>
      <c r="G75" s="46">
        <f>VLOOKUP(D75,'Cấu Hình Học Phí'!$A$8:$B$11,2,FALSE)</f>
        <v/>
      </c>
      <c r="H75" s="46">
        <f>F75*G75</f>
        <v/>
      </c>
      <c r="I75" s="45" t="n">
        <v>0</v>
      </c>
      <c r="J75" s="46">
        <f>I75*'Cấu Hình Học Phí'!$B$5</f>
        <v/>
      </c>
      <c r="K75" s="46" t="n">
        <v>0</v>
      </c>
      <c r="L75" s="46">
        <f>H75+J75-K75</f>
        <v/>
      </c>
      <c r="M75" s="46" t="n">
        <v>732050</v>
      </c>
      <c r="N75" s="46" t="n">
        <v>0</v>
      </c>
      <c r="O75" s="46">
        <f>MAX(0,M75-N75-L75)</f>
        <v/>
      </c>
      <c r="P75" s="46">
        <f>MAX(0,L75-(M75-N75))</f>
        <v/>
      </c>
      <c r="Q75" s="45" t="inlineStr">
        <is>
          <t>30/09/2028</t>
        </is>
      </c>
      <c r="R75" s="45" t="inlineStr">
        <is>
          <t>PT2028-00072</t>
        </is>
      </c>
      <c r="S75" s="45" t="inlineStr"/>
    </row>
    <row r="76">
      <c r="A76" s="45" t="inlineStr">
        <is>
          <t>251230854</t>
        </is>
      </c>
      <c r="B76" s="45" t="inlineStr">
        <is>
          <t>NGUYỄN TIẾN HẢI</t>
        </is>
      </c>
      <c r="C76" s="45" t="inlineStr">
        <is>
          <t>Công nghệ thông tin 1 K66</t>
        </is>
      </c>
      <c r="D76" s="45" t="inlineStr">
        <is>
          <t>Năm 1</t>
        </is>
      </c>
      <c r="E76" s="45" t="inlineStr">
        <is>
          <t>2025_2026</t>
        </is>
      </c>
      <c r="F76" s="45" t="n">
        <v>4</v>
      </c>
      <c r="G76" s="46">
        <f>VLOOKUP(D76,'Cấu Hình Học Phí'!$A$8:$B$11,2,FALSE)</f>
        <v/>
      </c>
      <c r="H76" s="46">
        <f>F76*G76</f>
        <v/>
      </c>
      <c r="I76" s="45" t="n">
        <v>0</v>
      </c>
      <c r="J76" s="46">
        <f>I76*'Cấu Hình Học Phí'!$B$5</f>
        <v/>
      </c>
      <c r="K76" s="46" t="n">
        <v>0</v>
      </c>
      <c r="L76" s="46">
        <f>H76+J76-K76</f>
        <v/>
      </c>
      <c r="M76" s="46" t="n">
        <v>2200000</v>
      </c>
      <c r="N76" s="46" t="n">
        <v>0</v>
      </c>
      <c r="O76" s="46">
        <f>MAX(0,M76-N76-L76)</f>
        <v/>
      </c>
      <c r="P76" s="46">
        <f>MAX(0,L76-(M76-N76))</f>
        <v/>
      </c>
      <c r="Q76" s="45" t="inlineStr">
        <is>
          <t>30/09/2025</t>
        </is>
      </c>
      <c r="R76" s="45" t="inlineStr">
        <is>
          <t>PT2025-00073</t>
        </is>
      </c>
      <c r="S76" s="45" t="inlineStr"/>
    </row>
    <row r="77">
      <c r="A77" s="45" t="inlineStr">
        <is>
          <t>251230854</t>
        </is>
      </c>
      <c r="B77" s="45" t="inlineStr">
        <is>
          <t>NGUYỄN TIẾN HẢI</t>
        </is>
      </c>
      <c r="C77" s="45" t="inlineStr">
        <is>
          <t>Công nghệ thông tin 1 K66</t>
        </is>
      </c>
      <c r="D77" s="45" t="inlineStr">
        <is>
          <t>Năm 2</t>
        </is>
      </c>
      <c r="E77" s="45" t="inlineStr">
        <is>
          <t>2026_2027</t>
        </is>
      </c>
      <c r="F77" s="45" t="n">
        <v>4</v>
      </c>
      <c r="G77" s="46">
        <f>VLOOKUP(D77,'Cấu Hình Học Phí'!$A$8:$B$11,2,FALSE)</f>
        <v/>
      </c>
      <c r="H77" s="46">
        <f>F77*G77</f>
        <v/>
      </c>
      <c r="I77" s="45" t="n">
        <v>0</v>
      </c>
      <c r="J77" s="46">
        <f>I77*'Cấu Hình Học Phí'!$B$5</f>
        <v/>
      </c>
      <c r="K77" s="46" t="n">
        <v>0</v>
      </c>
      <c r="L77" s="46">
        <f>H77+J77-K77</f>
        <v/>
      </c>
      <c r="M77" s="46" t="n">
        <v>2420000</v>
      </c>
      <c r="N77" s="46" t="n">
        <v>0</v>
      </c>
      <c r="O77" s="46">
        <f>MAX(0,M77-N77-L77)</f>
        <v/>
      </c>
      <c r="P77" s="46">
        <f>MAX(0,L77-(M77-N77))</f>
        <v/>
      </c>
      <c r="Q77" s="45" t="inlineStr">
        <is>
          <t>30/09/2026</t>
        </is>
      </c>
      <c r="R77" s="45" t="inlineStr">
        <is>
          <t>PT2026-00074</t>
        </is>
      </c>
      <c r="S77" s="45" t="inlineStr"/>
    </row>
    <row r="78">
      <c r="A78" s="45" t="inlineStr">
        <is>
          <t>251230854</t>
        </is>
      </c>
      <c r="B78" s="45" t="inlineStr">
        <is>
          <t>NGUYỄN TIẾN HẢI</t>
        </is>
      </c>
      <c r="C78" s="45" t="inlineStr">
        <is>
          <t>Công nghệ thông tin 1 K66</t>
        </is>
      </c>
      <c r="D78" s="45" t="inlineStr">
        <is>
          <t>Năm 3</t>
        </is>
      </c>
      <c r="E78" s="45" t="inlineStr">
        <is>
          <t>2027_2028</t>
        </is>
      </c>
      <c r="F78" s="45" t="n">
        <v>4</v>
      </c>
      <c r="G78" s="46">
        <f>VLOOKUP(D78,'Cấu Hình Học Phí'!$A$8:$B$11,2,FALSE)</f>
        <v/>
      </c>
      <c r="H78" s="46">
        <f>F78*G78</f>
        <v/>
      </c>
      <c r="I78" s="45" t="n">
        <v>2</v>
      </c>
      <c r="J78" s="46">
        <f>I78*'Cấu Hình Học Phí'!$B$5</f>
        <v/>
      </c>
      <c r="K78" s="46" t="n">
        <v>0</v>
      </c>
      <c r="L78" s="46">
        <f>H78+J78-K78</f>
        <v/>
      </c>
      <c r="M78" s="46" t="n">
        <v>4662000</v>
      </c>
      <c r="N78" s="46" t="n">
        <v>0</v>
      </c>
      <c r="O78" s="46">
        <f>MAX(0,M78-N78-L78)</f>
        <v/>
      </c>
      <c r="P78" s="46">
        <f>MAX(0,L78-(M78-N78))</f>
        <v/>
      </c>
      <c r="Q78" s="45" t="inlineStr">
        <is>
          <t>30/09/2027</t>
        </is>
      </c>
      <c r="R78" s="45" t="inlineStr">
        <is>
          <t>PT2027-00075</t>
        </is>
      </c>
      <c r="S78" s="45" t="inlineStr"/>
    </row>
    <row r="79">
      <c r="A79" s="45" t="inlineStr">
        <is>
          <t>251230854</t>
        </is>
      </c>
      <c r="B79" s="45" t="inlineStr">
        <is>
          <t>NGUYỄN TIẾN HẢI</t>
        </is>
      </c>
      <c r="C79" s="45" t="inlineStr">
        <is>
          <t>Công nghệ thông tin 1 K66</t>
        </is>
      </c>
      <c r="D79" s="45" t="inlineStr">
        <is>
          <t>Năm 4</t>
        </is>
      </c>
      <c r="E79" s="45" t="inlineStr">
        <is>
          <t>2028_2029</t>
        </is>
      </c>
      <c r="F79" s="45" t="n">
        <v>1</v>
      </c>
      <c r="G79" s="46">
        <f>VLOOKUP(D79,'Cấu Hình Học Phí'!$A$8:$B$11,2,FALSE)</f>
        <v/>
      </c>
      <c r="H79" s="46">
        <f>F79*G79</f>
        <v/>
      </c>
      <c r="I79" s="45" t="n">
        <v>0</v>
      </c>
      <c r="J79" s="46">
        <f>I79*'Cấu Hình Học Phí'!$B$5</f>
        <v/>
      </c>
      <c r="K79" s="46" t="n">
        <v>0</v>
      </c>
      <c r="L79" s="46">
        <f>H79+J79-K79</f>
        <v/>
      </c>
      <c r="M79" s="46" t="n">
        <v>732050</v>
      </c>
      <c r="N79" s="46" t="n">
        <v>0</v>
      </c>
      <c r="O79" s="46">
        <f>MAX(0,M79-N79-L79)</f>
        <v/>
      </c>
      <c r="P79" s="46">
        <f>MAX(0,L79-(M79-N79))</f>
        <v/>
      </c>
      <c r="Q79" s="45" t="inlineStr">
        <is>
          <t>30/09/2028</t>
        </is>
      </c>
      <c r="R79" s="45" t="inlineStr">
        <is>
          <t>PT2028-00076</t>
        </is>
      </c>
      <c r="S79" s="45" t="inlineStr"/>
    </row>
    <row r="80">
      <c r="A80" s="45" t="inlineStr">
        <is>
          <t>251230856</t>
        </is>
      </c>
      <c r="B80" s="45" t="inlineStr">
        <is>
          <t>ĐÀM KHÁNH HIỀN</t>
        </is>
      </c>
      <c r="C80" s="45" t="inlineStr">
        <is>
          <t>Công nghệ thông tin 1 K66</t>
        </is>
      </c>
      <c r="D80" s="45" t="inlineStr">
        <is>
          <t>Năm 1</t>
        </is>
      </c>
      <c r="E80" s="45" t="inlineStr">
        <is>
          <t>2025_2026</t>
        </is>
      </c>
      <c r="F80" s="45" t="n">
        <v>4</v>
      </c>
      <c r="G80" s="46">
        <f>VLOOKUP(D80,'Cấu Hình Học Phí'!$A$8:$B$11,2,FALSE)</f>
        <v/>
      </c>
      <c r="H80" s="46">
        <f>F80*G80</f>
        <v/>
      </c>
      <c r="I80" s="45" t="n">
        <v>0</v>
      </c>
      <c r="J80" s="46">
        <f>I80*'Cấu Hình Học Phí'!$B$5</f>
        <v/>
      </c>
      <c r="K80" s="46" t="n">
        <v>0</v>
      </c>
      <c r="L80" s="46">
        <f>H80+J80-K80</f>
        <v/>
      </c>
      <c r="M80" s="46" t="n">
        <v>2200000</v>
      </c>
      <c r="N80" s="46" t="n">
        <v>0</v>
      </c>
      <c r="O80" s="46">
        <f>MAX(0,M80-N80-L80)</f>
        <v/>
      </c>
      <c r="P80" s="46">
        <f>MAX(0,L80-(M80-N80))</f>
        <v/>
      </c>
      <c r="Q80" s="45" t="inlineStr">
        <is>
          <t>30/09/2025</t>
        </is>
      </c>
      <c r="R80" s="45" t="inlineStr">
        <is>
          <t>PT2025-00077</t>
        </is>
      </c>
      <c r="S80" s="45" t="inlineStr"/>
    </row>
    <row r="81">
      <c r="A81" s="45" t="inlineStr">
        <is>
          <t>251230856</t>
        </is>
      </c>
      <c r="B81" s="45" t="inlineStr">
        <is>
          <t>ĐÀM KHÁNH HIỀN</t>
        </is>
      </c>
      <c r="C81" s="45" t="inlineStr">
        <is>
          <t>Công nghệ thông tin 1 K66</t>
        </is>
      </c>
      <c r="D81" s="45" t="inlineStr">
        <is>
          <t>Năm 2</t>
        </is>
      </c>
      <c r="E81" s="45" t="inlineStr">
        <is>
          <t>2026_2027</t>
        </is>
      </c>
      <c r="F81" s="45" t="n">
        <v>4</v>
      </c>
      <c r="G81" s="46">
        <f>VLOOKUP(D81,'Cấu Hình Học Phí'!$A$8:$B$11,2,FALSE)</f>
        <v/>
      </c>
      <c r="H81" s="46">
        <f>F81*G81</f>
        <v/>
      </c>
      <c r="I81" s="45" t="n">
        <v>0</v>
      </c>
      <c r="J81" s="46">
        <f>I81*'Cấu Hình Học Phí'!$B$5</f>
        <v/>
      </c>
      <c r="K81" s="46" t="n">
        <v>0</v>
      </c>
      <c r="L81" s="46">
        <f>H81+J81-K81</f>
        <v/>
      </c>
      <c r="M81" s="46" t="n">
        <v>2420000</v>
      </c>
      <c r="N81" s="46" t="n">
        <v>0</v>
      </c>
      <c r="O81" s="46">
        <f>MAX(0,M81-N81-L81)</f>
        <v/>
      </c>
      <c r="P81" s="46">
        <f>MAX(0,L81-(M81-N81))</f>
        <v/>
      </c>
      <c r="Q81" s="45" t="inlineStr">
        <is>
          <t>30/09/2026</t>
        </is>
      </c>
      <c r="R81" s="45" t="inlineStr">
        <is>
          <t>PT2026-00078</t>
        </is>
      </c>
      <c r="S81" s="45" t="inlineStr"/>
    </row>
    <row r="82">
      <c r="A82" s="45" t="inlineStr">
        <is>
          <t>251230856</t>
        </is>
      </c>
      <c r="B82" s="45" t="inlineStr">
        <is>
          <t>ĐÀM KHÁNH HIỀN</t>
        </is>
      </c>
      <c r="C82" s="45" t="inlineStr">
        <is>
          <t>Công nghệ thông tin 1 K66</t>
        </is>
      </c>
      <c r="D82" s="45" t="inlineStr">
        <is>
          <t>Năm 3</t>
        </is>
      </c>
      <c r="E82" s="45" t="inlineStr">
        <is>
          <t>2027_2028</t>
        </is>
      </c>
      <c r="F82" s="45" t="n">
        <v>4</v>
      </c>
      <c r="G82" s="46">
        <f>VLOOKUP(D82,'Cấu Hình Học Phí'!$A$8:$B$11,2,FALSE)</f>
        <v/>
      </c>
      <c r="H82" s="46">
        <f>F82*G82</f>
        <v/>
      </c>
      <c r="I82" s="45" t="n">
        <v>2</v>
      </c>
      <c r="J82" s="46">
        <f>I82*'Cấu Hình Học Phí'!$B$5</f>
        <v/>
      </c>
      <c r="K82" s="46" t="n">
        <v>0</v>
      </c>
      <c r="L82" s="46">
        <f>H82+J82-K82</f>
        <v/>
      </c>
      <c r="M82" s="46" t="n">
        <v>4662000</v>
      </c>
      <c r="N82" s="46" t="n">
        <v>0</v>
      </c>
      <c r="O82" s="46">
        <f>MAX(0,M82-N82-L82)</f>
        <v/>
      </c>
      <c r="P82" s="46">
        <f>MAX(0,L82-(M82-N82))</f>
        <v/>
      </c>
      <c r="Q82" s="45" t="inlineStr">
        <is>
          <t>30/09/2027</t>
        </is>
      </c>
      <c r="R82" s="45" t="inlineStr">
        <is>
          <t>PT2027-00079</t>
        </is>
      </c>
      <c r="S82" s="45" t="inlineStr"/>
    </row>
    <row r="83">
      <c r="A83" s="45" t="inlineStr">
        <is>
          <t>251230856</t>
        </is>
      </c>
      <c r="B83" s="45" t="inlineStr">
        <is>
          <t>ĐÀM KHÁNH HIỀN</t>
        </is>
      </c>
      <c r="C83" s="45" t="inlineStr">
        <is>
          <t>Công nghệ thông tin 1 K66</t>
        </is>
      </c>
      <c r="D83" s="45" t="inlineStr">
        <is>
          <t>Năm 4</t>
        </is>
      </c>
      <c r="E83" s="45" t="inlineStr">
        <is>
          <t>2028_2029</t>
        </is>
      </c>
      <c r="F83" s="45" t="n">
        <v>1</v>
      </c>
      <c r="G83" s="46">
        <f>VLOOKUP(D83,'Cấu Hình Học Phí'!$A$8:$B$11,2,FALSE)</f>
        <v/>
      </c>
      <c r="H83" s="46">
        <f>F83*G83</f>
        <v/>
      </c>
      <c r="I83" s="45" t="n">
        <v>0</v>
      </c>
      <c r="J83" s="46">
        <f>I83*'Cấu Hình Học Phí'!$B$5</f>
        <v/>
      </c>
      <c r="K83" s="46" t="n">
        <v>0</v>
      </c>
      <c r="L83" s="46">
        <f>H83+J83-K83</f>
        <v/>
      </c>
      <c r="M83" s="46" t="n">
        <v>732050</v>
      </c>
      <c r="N83" s="46" t="n">
        <v>0</v>
      </c>
      <c r="O83" s="46">
        <f>MAX(0,M83-N83-L83)</f>
        <v/>
      </c>
      <c r="P83" s="46">
        <f>MAX(0,L83-(M83-N83))</f>
        <v/>
      </c>
      <c r="Q83" s="45" t="inlineStr">
        <is>
          <t>30/09/2028</t>
        </is>
      </c>
      <c r="R83" s="45" t="inlineStr">
        <is>
          <t>PT2028-00080</t>
        </is>
      </c>
      <c r="S83" s="45" t="inlineStr"/>
    </row>
    <row r="84">
      <c r="A84" s="45" t="inlineStr">
        <is>
          <t>251230858</t>
        </is>
      </c>
      <c r="B84" s="45" t="inlineStr">
        <is>
          <t>BÙI TIẾN HIỆP</t>
        </is>
      </c>
      <c r="C84" s="45" t="inlineStr">
        <is>
          <t>Công nghệ thông tin 1 K66</t>
        </is>
      </c>
      <c r="D84" s="45" t="inlineStr">
        <is>
          <t>Năm 1</t>
        </is>
      </c>
      <c r="E84" s="45" t="inlineStr">
        <is>
          <t>2025_2026</t>
        </is>
      </c>
      <c r="F84" s="45" t="n">
        <v>4</v>
      </c>
      <c r="G84" s="46">
        <f>VLOOKUP(D84,'Cấu Hình Học Phí'!$A$8:$B$11,2,FALSE)</f>
        <v/>
      </c>
      <c r="H84" s="46">
        <f>F84*G84</f>
        <v/>
      </c>
      <c r="I84" s="45" t="n">
        <v>1</v>
      </c>
      <c r="J84" s="46">
        <f>I84*'Cấu Hình Học Phí'!$B$5</f>
        <v/>
      </c>
      <c r="K84" s="46" t="n">
        <v>0</v>
      </c>
      <c r="L84" s="46">
        <f>H84+J84-K84</f>
        <v/>
      </c>
      <c r="M84" s="46" t="n">
        <v>2200000</v>
      </c>
      <c r="N84" s="46" t="n">
        <v>0</v>
      </c>
      <c r="O84" s="46">
        <f>MAX(0,M84-N84-L84)</f>
        <v/>
      </c>
      <c r="P84" s="46">
        <f>MAX(0,L84-(M84-N84))</f>
        <v/>
      </c>
      <c r="Q84" s="45" t="inlineStr">
        <is>
          <t>30/09/2025</t>
        </is>
      </c>
      <c r="R84" s="45" t="inlineStr">
        <is>
          <t>PT2025-00081</t>
        </is>
      </c>
      <c r="S84" s="45" t="inlineStr">
        <is>
          <t>Chưa nộp phí phụ đạo 1 môn</t>
        </is>
      </c>
    </row>
    <row r="85">
      <c r="A85" s="45" t="inlineStr">
        <is>
          <t>251230858</t>
        </is>
      </c>
      <c r="B85" s="45" t="inlineStr">
        <is>
          <t>BÙI TIẾN HIỆP</t>
        </is>
      </c>
      <c r="C85" s="45" t="inlineStr">
        <is>
          <t>Công nghệ thông tin 1 K66</t>
        </is>
      </c>
      <c r="D85" s="45" t="inlineStr">
        <is>
          <t>Năm 2</t>
        </is>
      </c>
      <c r="E85" s="45" t="inlineStr">
        <is>
          <t>2026_2027</t>
        </is>
      </c>
      <c r="F85" s="45" t="n">
        <v>4</v>
      </c>
      <c r="G85" s="46">
        <f>VLOOKUP(D85,'Cấu Hình Học Phí'!$A$8:$B$11,2,FALSE)</f>
        <v/>
      </c>
      <c r="H85" s="46">
        <f>F85*G85</f>
        <v/>
      </c>
      <c r="I85" s="45" t="n">
        <v>1</v>
      </c>
      <c r="J85" s="46">
        <f>I85*'Cấu Hình Học Phí'!$B$5</f>
        <v/>
      </c>
      <c r="K85" s="46" t="n">
        <v>0</v>
      </c>
      <c r="L85" s="46">
        <f>H85+J85-K85</f>
        <v/>
      </c>
      <c r="M85" s="46" t="n">
        <v>2420000</v>
      </c>
      <c r="N85" s="46" t="n">
        <v>0</v>
      </c>
      <c r="O85" s="46">
        <f>MAX(0,M85-N85-L85)</f>
        <v/>
      </c>
      <c r="P85" s="46">
        <f>MAX(0,L85-(M85-N85))</f>
        <v/>
      </c>
      <c r="Q85" s="45" t="inlineStr">
        <is>
          <t>30/09/2026</t>
        </is>
      </c>
      <c r="R85" s="45" t="inlineStr">
        <is>
          <t>PT2026-00082</t>
        </is>
      </c>
      <c r="S85" s="45" t="inlineStr">
        <is>
          <t>Chưa nộp phí phụ đạo 1 môn</t>
        </is>
      </c>
    </row>
    <row r="86">
      <c r="A86" s="45" t="inlineStr">
        <is>
          <t>251230858</t>
        </is>
      </c>
      <c r="B86" s="45" t="inlineStr">
        <is>
          <t>BÙI TIẾN HIỆP</t>
        </is>
      </c>
      <c r="C86" s="45" t="inlineStr">
        <is>
          <t>Công nghệ thông tin 1 K66</t>
        </is>
      </c>
      <c r="D86" s="45" t="inlineStr">
        <is>
          <t>Năm 3</t>
        </is>
      </c>
      <c r="E86" s="45" t="inlineStr">
        <is>
          <t>2027_2028</t>
        </is>
      </c>
      <c r="F86" s="45" t="n">
        <v>4</v>
      </c>
      <c r="G86" s="46">
        <f>VLOOKUP(D86,'Cấu Hình Học Phí'!$A$8:$B$11,2,FALSE)</f>
        <v/>
      </c>
      <c r="H86" s="46">
        <f>F86*G86</f>
        <v/>
      </c>
      <c r="I86" s="45" t="n">
        <v>1</v>
      </c>
      <c r="J86" s="46">
        <f>I86*'Cấu Hình Học Phí'!$B$5</f>
        <v/>
      </c>
      <c r="K86" s="46" t="n">
        <v>0</v>
      </c>
      <c r="L86" s="46">
        <f>H86+J86-K86</f>
        <v/>
      </c>
      <c r="M86" s="46" t="n">
        <v>2662000</v>
      </c>
      <c r="N86" s="46" t="n">
        <v>0</v>
      </c>
      <c r="O86" s="46">
        <f>MAX(0,M86-N86-L86)</f>
        <v/>
      </c>
      <c r="P86" s="46">
        <f>MAX(0,L86-(M86-N86))</f>
        <v/>
      </c>
      <c r="Q86" s="45" t="inlineStr">
        <is>
          <t>30/09/2027</t>
        </is>
      </c>
      <c r="R86" s="45" t="inlineStr">
        <is>
          <t>PT2027-00083</t>
        </is>
      </c>
      <c r="S86" s="45" t="inlineStr">
        <is>
          <t>Chưa nộp phí phụ đạo 1 môn</t>
        </is>
      </c>
    </row>
    <row r="87">
      <c r="A87" s="45" t="inlineStr">
        <is>
          <t>251230858</t>
        </is>
      </c>
      <c r="B87" s="45" t="inlineStr">
        <is>
          <t>BÙI TIẾN HIỆP</t>
        </is>
      </c>
      <c r="C87" s="45" t="inlineStr">
        <is>
          <t>Công nghệ thông tin 1 K66</t>
        </is>
      </c>
      <c r="D87" s="45" t="inlineStr">
        <is>
          <t>Năm 4</t>
        </is>
      </c>
      <c r="E87" s="45" t="inlineStr">
        <is>
          <t>2028_2029</t>
        </is>
      </c>
      <c r="F87" s="45" t="n">
        <v>1</v>
      </c>
      <c r="G87" s="46">
        <f>VLOOKUP(D87,'Cấu Hình Học Phí'!$A$8:$B$11,2,FALSE)</f>
        <v/>
      </c>
      <c r="H87" s="46">
        <f>F87*G87</f>
        <v/>
      </c>
      <c r="I87" s="45" t="n">
        <v>0</v>
      </c>
      <c r="J87" s="46">
        <f>I87*'Cấu Hình Học Phí'!$B$5</f>
        <v/>
      </c>
      <c r="K87" s="46" t="n">
        <v>0</v>
      </c>
      <c r="L87" s="46">
        <f>H87+J87-K87</f>
        <v/>
      </c>
      <c r="M87" s="46" t="n">
        <v>732050</v>
      </c>
      <c r="N87" s="46" t="n">
        <v>0</v>
      </c>
      <c r="O87" s="46">
        <f>MAX(0,M87-N87-L87)</f>
        <v/>
      </c>
      <c r="P87" s="46">
        <f>MAX(0,L87-(M87-N87))</f>
        <v/>
      </c>
      <c r="Q87" s="45" t="inlineStr">
        <is>
          <t>30/09/2028</t>
        </is>
      </c>
      <c r="R87" s="45" t="inlineStr">
        <is>
          <t>PT2028-00084</t>
        </is>
      </c>
      <c r="S87" s="45" t="inlineStr"/>
    </row>
    <row r="88">
      <c r="A88" s="45" t="inlineStr">
        <is>
          <t>251230861</t>
        </is>
      </c>
      <c r="B88" s="45" t="inlineStr">
        <is>
          <t>NGUYỄN ANH HIẾU</t>
        </is>
      </c>
      <c r="C88" s="45" t="inlineStr">
        <is>
          <t>Công nghệ thông tin 1 K66</t>
        </is>
      </c>
      <c r="D88" s="45" t="inlineStr">
        <is>
          <t>Năm 1</t>
        </is>
      </c>
      <c r="E88" s="45" t="inlineStr">
        <is>
          <t>2025_2026</t>
        </is>
      </c>
      <c r="F88" s="45" t="n">
        <v>4</v>
      </c>
      <c r="G88" s="46">
        <f>VLOOKUP(D88,'Cấu Hình Học Phí'!$A$8:$B$11,2,FALSE)</f>
        <v/>
      </c>
      <c r="H88" s="46">
        <f>F88*G88</f>
        <v/>
      </c>
      <c r="I88" s="45" t="n">
        <v>2</v>
      </c>
      <c r="J88" s="46">
        <f>I88*'Cấu Hình Học Phí'!$B$5</f>
        <v/>
      </c>
      <c r="K88" s="46" t="n">
        <v>0</v>
      </c>
      <c r="L88" s="46">
        <f>H88+J88-K88</f>
        <v/>
      </c>
      <c r="M88" s="46" t="n">
        <v>4200000</v>
      </c>
      <c r="N88" s="46" t="n">
        <v>0</v>
      </c>
      <c r="O88" s="46">
        <f>MAX(0,M88-N88-L88)</f>
        <v/>
      </c>
      <c r="P88" s="46">
        <f>MAX(0,L88-(M88-N88))</f>
        <v/>
      </c>
      <c r="Q88" s="45" t="inlineStr">
        <is>
          <t>30/09/2025</t>
        </is>
      </c>
      <c r="R88" s="45" t="inlineStr">
        <is>
          <t>PT2025-00085</t>
        </is>
      </c>
      <c r="S88" s="45" t="inlineStr"/>
    </row>
    <row r="89">
      <c r="A89" s="45" t="inlineStr">
        <is>
          <t>251230861</t>
        </is>
      </c>
      <c r="B89" s="45" t="inlineStr">
        <is>
          <t>NGUYỄN ANH HIẾU</t>
        </is>
      </c>
      <c r="C89" s="45" t="inlineStr">
        <is>
          <t>Công nghệ thông tin 1 K66</t>
        </is>
      </c>
      <c r="D89" s="45" t="inlineStr">
        <is>
          <t>Năm 2</t>
        </is>
      </c>
      <c r="E89" s="45" t="inlineStr">
        <is>
          <t>2026_2027</t>
        </is>
      </c>
      <c r="F89" s="45" t="n">
        <v>4</v>
      </c>
      <c r="G89" s="46">
        <f>VLOOKUP(D89,'Cấu Hình Học Phí'!$A$8:$B$11,2,FALSE)</f>
        <v/>
      </c>
      <c r="H89" s="46">
        <f>F89*G89</f>
        <v/>
      </c>
      <c r="I89" s="45" t="n">
        <v>0</v>
      </c>
      <c r="J89" s="46">
        <f>I89*'Cấu Hình Học Phí'!$B$5</f>
        <v/>
      </c>
      <c r="K89" s="46" t="n">
        <v>0</v>
      </c>
      <c r="L89" s="46">
        <f>H89+J89-K89</f>
        <v/>
      </c>
      <c r="M89" s="46" t="n">
        <v>2420000</v>
      </c>
      <c r="N89" s="46" t="n">
        <v>0</v>
      </c>
      <c r="O89" s="46">
        <f>MAX(0,M89-N89-L89)</f>
        <v/>
      </c>
      <c r="P89" s="46">
        <f>MAX(0,L89-(M89-N89))</f>
        <v/>
      </c>
      <c r="Q89" s="45" t="inlineStr">
        <is>
          <t>30/09/2026</t>
        </is>
      </c>
      <c r="R89" s="45" t="inlineStr">
        <is>
          <t>PT2026-00086</t>
        </is>
      </c>
      <c r="S89" s="45" t="inlineStr"/>
    </row>
    <row r="90">
      <c r="A90" s="45" t="inlineStr">
        <is>
          <t>251230861</t>
        </is>
      </c>
      <c r="B90" s="45" t="inlineStr">
        <is>
          <t>NGUYỄN ANH HIẾU</t>
        </is>
      </c>
      <c r="C90" s="45" t="inlineStr">
        <is>
          <t>Công nghệ thông tin 1 K66</t>
        </is>
      </c>
      <c r="D90" s="45" t="inlineStr">
        <is>
          <t>Năm 3</t>
        </is>
      </c>
      <c r="E90" s="45" t="inlineStr">
        <is>
          <t>2027_2028</t>
        </is>
      </c>
      <c r="F90" s="45" t="n">
        <v>4</v>
      </c>
      <c r="G90" s="46">
        <f>VLOOKUP(D90,'Cấu Hình Học Phí'!$A$8:$B$11,2,FALSE)</f>
        <v/>
      </c>
      <c r="H90" s="46">
        <f>F90*G90</f>
        <v/>
      </c>
      <c r="I90" s="45" t="n">
        <v>0</v>
      </c>
      <c r="J90" s="46">
        <f>I90*'Cấu Hình Học Phí'!$B$5</f>
        <v/>
      </c>
      <c r="K90" s="46" t="n">
        <v>0</v>
      </c>
      <c r="L90" s="46">
        <f>H90+J90-K90</f>
        <v/>
      </c>
      <c r="M90" s="46" t="n">
        <v>2662000</v>
      </c>
      <c r="N90" s="46" t="n">
        <v>0</v>
      </c>
      <c r="O90" s="46">
        <f>MAX(0,M90-N90-L90)</f>
        <v/>
      </c>
      <c r="P90" s="46">
        <f>MAX(0,L90-(M90-N90))</f>
        <v/>
      </c>
      <c r="Q90" s="45" t="inlineStr">
        <is>
          <t>30/09/2027</t>
        </is>
      </c>
      <c r="R90" s="45" t="inlineStr">
        <is>
          <t>PT2027-00087</t>
        </is>
      </c>
      <c r="S90" s="45" t="inlineStr"/>
    </row>
    <row r="91">
      <c r="A91" s="45" t="inlineStr">
        <is>
          <t>251230861</t>
        </is>
      </c>
      <c r="B91" s="45" t="inlineStr">
        <is>
          <t>NGUYỄN ANH HIẾU</t>
        </is>
      </c>
      <c r="C91" s="45" t="inlineStr">
        <is>
          <t>Công nghệ thông tin 1 K66</t>
        </is>
      </c>
      <c r="D91" s="45" t="inlineStr">
        <is>
          <t>Năm 4</t>
        </is>
      </c>
      <c r="E91" s="45" t="inlineStr">
        <is>
          <t>2028_2029</t>
        </is>
      </c>
      <c r="F91" s="45" t="n">
        <v>1</v>
      </c>
      <c r="G91" s="46">
        <f>VLOOKUP(D91,'Cấu Hình Học Phí'!$A$8:$B$11,2,FALSE)</f>
        <v/>
      </c>
      <c r="H91" s="46">
        <f>F91*G91</f>
        <v/>
      </c>
      <c r="I91" s="45" t="n">
        <v>0</v>
      </c>
      <c r="J91" s="46">
        <f>I91*'Cấu Hình Học Phí'!$B$5</f>
        <v/>
      </c>
      <c r="K91" s="46" t="n">
        <v>0</v>
      </c>
      <c r="L91" s="46">
        <f>H91+J91-K91</f>
        <v/>
      </c>
      <c r="M91" s="46" t="n">
        <v>732050</v>
      </c>
      <c r="N91" s="46" t="n">
        <v>0</v>
      </c>
      <c r="O91" s="46">
        <f>MAX(0,M91-N91-L91)</f>
        <v/>
      </c>
      <c r="P91" s="46">
        <f>MAX(0,L91-(M91-N91))</f>
        <v/>
      </c>
      <c r="Q91" s="45" t="inlineStr">
        <is>
          <t>30/09/2028</t>
        </is>
      </c>
      <c r="R91" s="45" t="inlineStr">
        <is>
          <t>PT2028-00088</t>
        </is>
      </c>
      <c r="S91" s="45" t="inlineStr"/>
    </row>
    <row r="92">
      <c r="A92" s="45" t="inlineStr">
        <is>
          <t>251230863</t>
        </is>
      </c>
      <c r="B92" s="45" t="inlineStr">
        <is>
          <t>TRẦN VĂN HIỆU</t>
        </is>
      </c>
      <c r="C92" s="45" t="inlineStr">
        <is>
          <t>Công nghệ thông tin 1 K66</t>
        </is>
      </c>
      <c r="D92" s="45" t="inlineStr">
        <is>
          <t>Năm 1</t>
        </is>
      </c>
      <c r="E92" s="45" t="inlineStr">
        <is>
          <t>2025_2026</t>
        </is>
      </c>
      <c r="F92" s="45" t="n">
        <v>4</v>
      </c>
      <c r="G92" s="46">
        <f>VLOOKUP(D92,'Cấu Hình Học Phí'!$A$8:$B$11,2,FALSE)</f>
        <v/>
      </c>
      <c r="H92" s="46">
        <f>F92*G92</f>
        <v/>
      </c>
      <c r="I92" s="45" t="n">
        <v>1</v>
      </c>
      <c r="J92" s="46">
        <f>I92*'Cấu Hình Học Phí'!$B$5</f>
        <v/>
      </c>
      <c r="K92" s="46" t="n">
        <v>0</v>
      </c>
      <c r="L92" s="46">
        <f>H92+J92-K92</f>
        <v/>
      </c>
      <c r="M92" s="46" t="n">
        <v>3200000</v>
      </c>
      <c r="N92" s="46" t="n">
        <v>0</v>
      </c>
      <c r="O92" s="46">
        <f>MAX(0,M92-N92-L92)</f>
        <v/>
      </c>
      <c r="P92" s="46">
        <f>MAX(0,L92-(M92-N92))</f>
        <v/>
      </c>
      <c r="Q92" s="45" t="inlineStr">
        <is>
          <t>30/09/2025</t>
        </is>
      </c>
      <c r="R92" s="45" t="inlineStr">
        <is>
          <t>PT2025-00089</t>
        </is>
      </c>
      <c r="S92" s="45" t="inlineStr"/>
    </row>
    <row r="93">
      <c r="A93" s="45" t="inlineStr">
        <is>
          <t>251230863</t>
        </is>
      </c>
      <c r="B93" s="45" t="inlineStr">
        <is>
          <t>TRẦN VĂN HIỆU</t>
        </is>
      </c>
      <c r="C93" s="45" t="inlineStr">
        <is>
          <t>Công nghệ thông tin 1 K66</t>
        </is>
      </c>
      <c r="D93" s="45" t="inlineStr">
        <is>
          <t>Năm 2</t>
        </is>
      </c>
      <c r="E93" s="45" t="inlineStr">
        <is>
          <t>2026_2027</t>
        </is>
      </c>
      <c r="F93" s="45" t="n">
        <v>4</v>
      </c>
      <c r="G93" s="46">
        <f>VLOOKUP(D93,'Cấu Hình Học Phí'!$A$8:$B$11,2,FALSE)</f>
        <v/>
      </c>
      <c r="H93" s="46">
        <f>F93*G93</f>
        <v/>
      </c>
      <c r="I93" s="45" t="n">
        <v>0</v>
      </c>
      <c r="J93" s="46">
        <f>I93*'Cấu Hình Học Phí'!$B$5</f>
        <v/>
      </c>
      <c r="K93" s="46" t="n">
        <v>0</v>
      </c>
      <c r="L93" s="46">
        <f>H93+J93-K93</f>
        <v/>
      </c>
      <c r="M93" s="46" t="n">
        <v>2420000</v>
      </c>
      <c r="N93" s="46" t="n">
        <v>0</v>
      </c>
      <c r="O93" s="46">
        <f>MAX(0,M93-N93-L93)</f>
        <v/>
      </c>
      <c r="P93" s="46">
        <f>MAX(0,L93-(M93-N93))</f>
        <v/>
      </c>
      <c r="Q93" s="45" t="inlineStr">
        <is>
          <t>30/09/2026</t>
        </is>
      </c>
      <c r="R93" s="45" t="inlineStr">
        <is>
          <t>PT2026-00090</t>
        </is>
      </c>
      <c r="S93" s="45" t="inlineStr"/>
    </row>
    <row r="94">
      <c r="A94" s="45" t="inlineStr">
        <is>
          <t>251230863</t>
        </is>
      </c>
      <c r="B94" s="45" t="inlineStr">
        <is>
          <t>TRẦN VĂN HIỆU</t>
        </is>
      </c>
      <c r="C94" s="45" t="inlineStr">
        <is>
          <t>Công nghệ thông tin 1 K66</t>
        </is>
      </c>
      <c r="D94" s="45" t="inlineStr">
        <is>
          <t>Năm 3</t>
        </is>
      </c>
      <c r="E94" s="45" t="inlineStr">
        <is>
          <t>2027_2028</t>
        </is>
      </c>
      <c r="F94" s="45" t="n">
        <v>4</v>
      </c>
      <c r="G94" s="46">
        <f>VLOOKUP(D94,'Cấu Hình Học Phí'!$A$8:$B$11,2,FALSE)</f>
        <v/>
      </c>
      <c r="H94" s="46">
        <f>F94*G94</f>
        <v/>
      </c>
      <c r="I94" s="45" t="n">
        <v>1</v>
      </c>
      <c r="J94" s="46">
        <f>I94*'Cấu Hình Học Phí'!$B$5</f>
        <v/>
      </c>
      <c r="K94" s="46" t="n">
        <v>0</v>
      </c>
      <c r="L94" s="46">
        <f>H94+J94-K94</f>
        <v/>
      </c>
      <c r="M94" s="46" t="n">
        <v>3662000</v>
      </c>
      <c r="N94" s="46" t="n">
        <v>0</v>
      </c>
      <c r="O94" s="46">
        <f>MAX(0,M94-N94-L94)</f>
        <v/>
      </c>
      <c r="P94" s="46">
        <f>MAX(0,L94-(M94-N94))</f>
        <v/>
      </c>
      <c r="Q94" s="45" t="inlineStr">
        <is>
          <t>30/09/2027</t>
        </is>
      </c>
      <c r="R94" s="45" t="inlineStr">
        <is>
          <t>PT2027-00091</t>
        </is>
      </c>
      <c r="S94" s="45" t="inlineStr"/>
    </row>
    <row r="95">
      <c r="A95" s="45" t="inlineStr">
        <is>
          <t>251230863</t>
        </is>
      </c>
      <c r="B95" s="45" t="inlineStr">
        <is>
          <t>TRẦN VĂN HIỆU</t>
        </is>
      </c>
      <c r="C95" s="45" t="inlineStr">
        <is>
          <t>Công nghệ thông tin 1 K66</t>
        </is>
      </c>
      <c r="D95" s="45" t="inlineStr">
        <is>
          <t>Năm 4</t>
        </is>
      </c>
      <c r="E95" s="45" t="inlineStr">
        <is>
          <t>2028_2029</t>
        </is>
      </c>
      <c r="F95" s="45" t="n">
        <v>1</v>
      </c>
      <c r="G95" s="46">
        <f>VLOOKUP(D95,'Cấu Hình Học Phí'!$A$8:$B$11,2,FALSE)</f>
        <v/>
      </c>
      <c r="H95" s="46">
        <f>F95*G95</f>
        <v/>
      </c>
      <c r="I95" s="45" t="n">
        <v>0</v>
      </c>
      <c r="J95" s="46">
        <f>I95*'Cấu Hình Học Phí'!$B$5</f>
        <v/>
      </c>
      <c r="K95" s="46" t="n">
        <v>0</v>
      </c>
      <c r="L95" s="46">
        <f>H95+J95-K95</f>
        <v/>
      </c>
      <c r="M95" s="46" t="n">
        <v>732050</v>
      </c>
      <c r="N95" s="46" t="n">
        <v>0</v>
      </c>
      <c r="O95" s="46">
        <f>MAX(0,M95-N95-L95)</f>
        <v/>
      </c>
      <c r="P95" s="46">
        <f>MAX(0,L95-(M95-N95))</f>
        <v/>
      </c>
      <c r="Q95" s="45" t="inlineStr">
        <is>
          <t>30/09/2028</t>
        </is>
      </c>
      <c r="R95" s="45" t="inlineStr">
        <is>
          <t>PT2028-00092</t>
        </is>
      </c>
      <c r="S95" s="45" t="inlineStr"/>
    </row>
    <row r="96">
      <c r="A96" s="45" t="inlineStr">
        <is>
          <t>251210866</t>
        </is>
      </c>
      <c r="B96" s="45" t="inlineStr">
        <is>
          <t>NGUYỄN VIỆT HOÀNG</t>
        </is>
      </c>
      <c r="C96" s="45" t="inlineStr">
        <is>
          <t>Công nghệ thông tin 1 K66</t>
        </is>
      </c>
      <c r="D96" s="45" t="inlineStr">
        <is>
          <t>Năm 1</t>
        </is>
      </c>
      <c r="E96" s="45" t="inlineStr">
        <is>
          <t>2025_2026</t>
        </is>
      </c>
      <c r="F96" s="45" t="n">
        <v>4</v>
      </c>
      <c r="G96" s="46">
        <f>VLOOKUP(D96,'Cấu Hình Học Phí'!$A$8:$B$11,2,FALSE)</f>
        <v/>
      </c>
      <c r="H96" s="46">
        <f>F96*G96</f>
        <v/>
      </c>
      <c r="I96" s="45" t="n">
        <v>1</v>
      </c>
      <c r="J96" s="46">
        <f>I96*'Cấu Hình Học Phí'!$B$5</f>
        <v/>
      </c>
      <c r="K96" s="46" t="n">
        <v>0</v>
      </c>
      <c r="L96" s="46">
        <f>H96+J96-K96</f>
        <v/>
      </c>
      <c r="M96" s="46" t="n">
        <v>3200000</v>
      </c>
      <c r="N96" s="46" t="n">
        <v>0</v>
      </c>
      <c r="O96" s="46">
        <f>MAX(0,M96-N96-L96)</f>
        <v/>
      </c>
      <c r="P96" s="46">
        <f>MAX(0,L96-(M96-N96))</f>
        <v/>
      </c>
      <c r="Q96" s="45" t="inlineStr">
        <is>
          <t>30/09/2025</t>
        </is>
      </c>
      <c r="R96" s="45" t="inlineStr">
        <is>
          <t>PT2025-00093</t>
        </is>
      </c>
      <c r="S96" s="45" t="inlineStr"/>
    </row>
    <row r="97">
      <c r="A97" s="45" t="inlineStr">
        <is>
          <t>251210866</t>
        </is>
      </c>
      <c r="B97" s="45" t="inlineStr">
        <is>
          <t>NGUYỄN VIỆT HOÀNG</t>
        </is>
      </c>
      <c r="C97" s="45" t="inlineStr">
        <is>
          <t>Công nghệ thông tin 1 K66</t>
        </is>
      </c>
      <c r="D97" s="45" t="inlineStr">
        <is>
          <t>Năm 2</t>
        </is>
      </c>
      <c r="E97" s="45" t="inlineStr">
        <is>
          <t>2026_2027</t>
        </is>
      </c>
      <c r="F97" s="45" t="n">
        <v>4</v>
      </c>
      <c r="G97" s="46">
        <f>VLOOKUP(D97,'Cấu Hình Học Phí'!$A$8:$B$11,2,FALSE)</f>
        <v/>
      </c>
      <c r="H97" s="46">
        <f>F97*G97</f>
        <v/>
      </c>
      <c r="I97" s="45" t="n">
        <v>0</v>
      </c>
      <c r="J97" s="46">
        <f>I97*'Cấu Hình Học Phí'!$B$5</f>
        <v/>
      </c>
      <c r="K97" s="46" t="n">
        <v>0</v>
      </c>
      <c r="L97" s="46">
        <f>H97+J97-K97</f>
        <v/>
      </c>
      <c r="M97" s="46" t="n">
        <v>2420000</v>
      </c>
      <c r="N97" s="46" t="n">
        <v>0</v>
      </c>
      <c r="O97" s="46">
        <f>MAX(0,M97-N97-L97)</f>
        <v/>
      </c>
      <c r="P97" s="46">
        <f>MAX(0,L97-(M97-N97))</f>
        <v/>
      </c>
      <c r="Q97" s="45" t="inlineStr">
        <is>
          <t>30/09/2026</t>
        </is>
      </c>
      <c r="R97" s="45" t="inlineStr">
        <is>
          <t>PT2026-00094</t>
        </is>
      </c>
      <c r="S97" s="45" t="inlineStr"/>
    </row>
    <row r="98">
      <c r="A98" s="45" t="inlineStr">
        <is>
          <t>251210866</t>
        </is>
      </c>
      <c r="B98" s="45" t="inlineStr">
        <is>
          <t>NGUYỄN VIỆT HOÀNG</t>
        </is>
      </c>
      <c r="C98" s="45" t="inlineStr">
        <is>
          <t>Công nghệ thông tin 1 K66</t>
        </is>
      </c>
      <c r="D98" s="45" t="inlineStr">
        <is>
          <t>Năm 3</t>
        </is>
      </c>
      <c r="E98" s="45" t="inlineStr">
        <is>
          <t>2027_2028</t>
        </is>
      </c>
      <c r="F98" s="45" t="n">
        <v>4</v>
      </c>
      <c r="G98" s="46">
        <f>VLOOKUP(D98,'Cấu Hình Học Phí'!$A$8:$B$11,2,FALSE)</f>
        <v/>
      </c>
      <c r="H98" s="46">
        <f>F98*G98</f>
        <v/>
      </c>
      <c r="I98" s="45" t="n">
        <v>0</v>
      </c>
      <c r="J98" s="46">
        <f>I98*'Cấu Hình Học Phí'!$B$5</f>
        <v/>
      </c>
      <c r="K98" s="46" t="n">
        <v>0</v>
      </c>
      <c r="L98" s="46">
        <f>H98+J98-K98</f>
        <v/>
      </c>
      <c r="M98" s="46" t="n">
        <v>2662000</v>
      </c>
      <c r="N98" s="46" t="n">
        <v>0</v>
      </c>
      <c r="O98" s="46">
        <f>MAX(0,M98-N98-L98)</f>
        <v/>
      </c>
      <c r="P98" s="46">
        <f>MAX(0,L98-(M98-N98))</f>
        <v/>
      </c>
      <c r="Q98" s="45" t="inlineStr">
        <is>
          <t>30/09/2027</t>
        </is>
      </c>
      <c r="R98" s="45" t="inlineStr">
        <is>
          <t>PT2027-00095</t>
        </is>
      </c>
      <c r="S98" s="45" t="inlineStr"/>
    </row>
    <row r="99">
      <c r="A99" s="45" t="inlineStr">
        <is>
          <t>251210866</t>
        </is>
      </c>
      <c r="B99" s="45" t="inlineStr">
        <is>
          <t>NGUYỄN VIỆT HOÀNG</t>
        </is>
      </c>
      <c r="C99" s="45" t="inlineStr">
        <is>
          <t>Công nghệ thông tin 1 K66</t>
        </is>
      </c>
      <c r="D99" s="45" t="inlineStr">
        <is>
          <t>Năm 4</t>
        </is>
      </c>
      <c r="E99" s="45" t="inlineStr">
        <is>
          <t>2028_2029</t>
        </is>
      </c>
      <c r="F99" s="45" t="n">
        <v>1</v>
      </c>
      <c r="G99" s="46">
        <f>VLOOKUP(D99,'Cấu Hình Học Phí'!$A$8:$B$11,2,FALSE)</f>
        <v/>
      </c>
      <c r="H99" s="46">
        <f>F99*G99</f>
        <v/>
      </c>
      <c r="I99" s="45" t="n">
        <v>0</v>
      </c>
      <c r="J99" s="46">
        <f>I99*'Cấu Hình Học Phí'!$B$5</f>
        <v/>
      </c>
      <c r="K99" s="46" t="n">
        <v>0</v>
      </c>
      <c r="L99" s="46">
        <f>H99+J99-K99</f>
        <v/>
      </c>
      <c r="M99" s="46" t="n">
        <v>732050</v>
      </c>
      <c r="N99" s="46" t="n">
        <v>0</v>
      </c>
      <c r="O99" s="46">
        <f>MAX(0,M99-N99-L99)</f>
        <v/>
      </c>
      <c r="P99" s="46">
        <f>MAX(0,L99-(M99-N99))</f>
        <v/>
      </c>
      <c r="Q99" s="45" t="inlineStr">
        <is>
          <t>30/09/2028</t>
        </is>
      </c>
      <c r="R99" s="45" t="inlineStr">
        <is>
          <t>PT2028-00096</t>
        </is>
      </c>
      <c r="S99" s="45" t="inlineStr"/>
    </row>
    <row r="100">
      <c r="A100" s="45" t="inlineStr">
        <is>
          <t>251210867</t>
        </is>
      </c>
      <c r="B100" s="45" t="inlineStr">
        <is>
          <t>TRẦN VIỆT HOÀNG</t>
        </is>
      </c>
      <c r="C100" s="45" t="inlineStr">
        <is>
          <t>Công nghệ thông tin 1 K66</t>
        </is>
      </c>
      <c r="D100" s="45" t="inlineStr">
        <is>
          <t>Năm 1</t>
        </is>
      </c>
      <c r="E100" s="45" t="inlineStr">
        <is>
          <t>2025_2026</t>
        </is>
      </c>
      <c r="F100" s="45" t="n">
        <v>4</v>
      </c>
      <c r="G100" s="46">
        <f>VLOOKUP(D100,'Cấu Hình Học Phí'!$A$8:$B$11,2,FALSE)</f>
        <v/>
      </c>
      <c r="H100" s="46">
        <f>F100*G100</f>
        <v/>
      </c>
      <c r="I100" s="45" t="n">
        <v>0</v>
      </c>
      <c r="J100" s="46">
        <f>I100*'Cấu Hình Học Phí'!$B$5</f>
        <v/>
      </c>
      <c r="K100" s="46" t="n">
        <v>0</v>
      </c>
      <c r="L100" s="46">
        <f>H100+J100-K100</f>
        <v/>
      </c>
      <c r="M100" s="46" t="n">
        <v>2200000</v>
      </c>
      <c r="N100" s="46" t="n">
        <v>0</v>
      </c>
      <c r="O100" s="46">
        <f>MAX(0,M100-N100-L100)</f>
        <v/>
      </c>
      <c r="P100" s="46">
        <f>MAX(0,L100-(M100-N100))</f>
        <v/>
      </c>
      <c r="Q100" s="45" t="inlineStr">
        <is>
          <t>30/09/2025</t>
        </is>
      </c>
      <c r="R100" s="45" t="inlineStr">
        <is>
          <t>PT2025-00097</t>
        </is>
      </c>
      <c r="S100" s="45" t="inlineStr"/>
    </row>
    <row r="101">
      <c r="A101" s="45" t="inlineStr">
        <is>
          <t>251210867</t>
        </is>
      </c>
      <c r="B101" s="45" t="inlineStr">
        <is>
          <t>TRẦN VIỆT HOÀNG</t>
        </is>
      </c>
      <c r="C101" s="45" t="inlineStr">
        <is>
          <t>Công nghệ thông tin 1 K66</t>
        </is>
      </c>
      <c r="D101" s="45" t="inlineStr">
        <is>
          <t>Năm 2</t>
        </is>
      </c>
      <c r="E101" s="45" t="inlineStr">
        <is>
          <t>2026_2027</t>
        </is>
      </c>
      <c r="F101" s="45" t="n">
        <v>4</v>
      </c>
      <c r="G101" s="46">
        <f>VLOOKUP(D101,'Cấu Hình Học Phí'!$A$8:$B$11,2,FALSE)</f>
        <v/>
      </c>
      <c r="H101" s="46">
        <f>F101*G101</f>
        <v/>
      </c>
      <c r="I101" s="45" t="n">
        <v>0</v>
      </c>
      <c r="J101" s="46">
        <f>I101*'Cấu Hình Học Phí'!$B$5</f>
        <v/>
      </c>
      <c r="K101" s="46" t="n">
        <v>0</v>
      </c>
      <c r="L101" s="46">
        <f>H101+J101-K101</f>
        <v/>
      </c>
      <c r="M101" s="46" t="n">
        <v>2420000</v>
      </c>
      <c r="N101" s="46" t="n">
        <v>0</v>
      </c>
      <c r="O101" s="46">
        <f>MAX(0,M101-N101-L101)</f>
        <v/>
      </c>
      <c r="P101" s="46">
        <f>MAX(0,L101-(M101-N101))</f>
        <v/>
      </c>
      <c r="Q101" s="45" t="inlineStr">
        <is>
          <t>30/09/2026</t>
        </is>
      </c>
      <c r="R101" s="45" t="inlineStr">
        <is>
          <t>PT2026-00098</t>
        </is>
      </c>
      <c r="S101" s="45" t="inlineStr"/>
    </row>
    <row r="102">
      <c r="A102" s="45" t="inlineStr">
        <is>
          <t>251210867</t>
        </is>
      </c>
      <c r="B102" s="45" t="inlineStr">
        <is>
          <t>TRẦN VIỆT HOÀNG</t>
        </is>
      </c>
      <c r="C102" s="45" t="inlineStr">
        <is>
          <t>Công nghệ thông tin 1 K66</t>
        </is>
      </c>
      <c r="D102" s="45" t="inlineStr">
        <is>
          <t>Năm 3</t>
        </is>
      </c>
      <c r="E102" s="45" t="inlineStr">
        <is>
          <t>2027_2028</t>
        </is>
      </c>
      <c r="F102" s="45" t="n">
        <v>4</v>
      </c>
      <c r="G102" s="46">
        <f>VLOOKUP(D102,'Cấu Hình Học Phí'!$A$8:$B$11,2,FALSE)</f>
        <v/>
      </c>
      <c r="H102" s="46">
        <f>F102*G102</f>
        <v/>
      </c>
      <c r="I102" s="45" t="n">
        <v>1</v>
      </c>
      <c r="J102" s="46">
        <f>I102*'Cấu Hình Học Phí'!$B$5</f>
        <v/>
      </c>
      <c r="K102" s="46" t="n">
        <v>0</v>
      </c>
      <c r="L102" s="46">
        <f>H102+J102-K102</f>
        <v/>
      </c>
      <c r="M102" s="46" t="n">
        <v>2662000</v>
      </c>
      <c r="N102" s="46" t="n">
        <v>0</v>
      </c>
      <c r="O102" s="46">
        <f>MAX(0,M102-N102-L102)</f>
        <v/>
      </c>
      <c r="P102" s="46">
        <f>MAX(0,L102-(M102-N102))</f>
        <v/>
      </c>
      <c r="Q102" s="45" t="inlineStr">
        <is>
          <t>30/09/2027</t>
        </is>
      </c>
      <c r="R102" s="45" t="inlineStr">
        <is>
          <t>PT2027-00099</t>
        </is>
      </c>
      <c r="S102" s="45" t="inlineStr">
        <is>
          <t>Chưa nộp phí phụ đạo 1 môn</t>
        </is>
      </c>
    </row>
    <row r="103">
      <c r="A103" s="45" t="inlineStr">
        <is>
          <t>251210867</t>
        </is>
      </c>
      <c r="B103" s="45" t="inlineStr">
        <is>
          <t>TRẦN VIỆT HOÀNG</t>
        </is>
      </c>
      <c r="C103" s="45" t="inlineStr">
        <is>
          <t>Công nghệ thông tin 1 K66</t>
        </is>
      </c>
      <c r="D103" s="45" t="inlineStr">
        <is>
          <t>Năm 4</t>
        </is>
      </c>
      <c r="E103" s="45" t="inlineStr">
        <is>
          <t>2028_2029</t>
        </is>
      </c>
      <c r="F103" s="45" t="n">
        <v>1</v>
      </c>
      <c r="G103" s="46">
        <f>VLOOKUP(D103,'Cấu Hình Học Phí'!$A$8:$B$11,2,FALSE)</f>
        <v/>
      </c>
      <c r="H103" s="46">
        <f>F103*G103</f>
        <v/>
      </c>
      <c r="I103" s="45" t="n">
        <v>0</v>
      </c>
      <c r="J103" s="46">
        <f>I103*'Cấu Hình Học Phí'!$B$5</f>
        <v/>
      </c>
      <c r="K103" s="46" t="n">
        <v>0</v>
      </c>
      <c r="L103" s="46">
        <f>H103+J103-K103</f>
        <v/>
      </c>
      <c r="M103" s="46" t="n">
        <v>732050</v>
      </c>
      <c r="N103" s="46" t="n">
        <v>0</v>
      </c>
      <c r="O103" s="46">
        <f>MAX(0,M103-N103-L103)</f>
        <v/>
      </c>
      <c r="P103" s="46">
        <f>MAX(0,L103-(M103-N103))</f>
        <v/>
      </c>
      <c r="Q103" s="45" t="inlineStr">
        <is>
          <t>30/09/2028</t>
        </is>
      </c>
      <c r="R103" s="45" t="inlineStr">
        <is>
          <t>PT2028-00100</t>
        </is>
      </c>
      <c r="S103" s="45" t="inlineStr"/>
    </row>
    <row r="104">
      <c r="A104" s="45" t="inlineStr">
        <is>
          <t>251210876</t>
        </is>
      </c>
      <c r="B104" s="45" t="inlineStr">
        <is>
          <t>HOÀNG VĨNH HƯNG</t>
        </is>
      </c>
      <c r="C104" s="45" t="inlineStr">
        <is>
          <t>Công nghệ thông tin 1 K66</t>
        </is>
      </c>
      <c r="D104" s="45" t="inlineStr">
        <is>
          <t>Năm 1</t>
        </is>
      </c>
      <c r="E104" s="45" t="inlineStr">
        <is>
          <t>2025_2026</t>
        </is>
      </c>
      <c r="F104" s="45" t="n">
        <v>4</v>
      </c>
      <c r="G104" s="46">
        <f>VLOOKUP(D104,'Cấu Hình Học Phí'!$A$8:$B$11,2,FALSE)</f>
        <v/>
      </c>
      <c r="H104" s="46">
        <f>F104*G104</f>
        <v/>
      </c>
      <c r="I104" s="45" t="n">
        <v>0</v>
      </c>
      <c r="J104" s="46">
        <f>I104*'Cấu Hình Học Phí'!$B$5</f>
        <v/>
      </c>
      <c r="K104" s="46" t="n">
        <v>0</v>
      </c>
      <c r="L104" s="46">
        <f>H104+J104-K104</f>
        <v/>
      </c>
      <c r="M104" s="46" t="n">
        <v>2200000</v>
      </c>
      <c r="N104" s="46" t="n">
        <v>0</v>
      </c>
      <c r="O104" s="46">
        <f>MAX(0,M104-N104-L104)</f>
        <v/>
      </c>
      <c r="P104" s="46">
        <f>MAX(0,L104-(M104-N104))</f>
        <v/>
      </c>
      <c r="Q104" s="45" t="inlineStr">
        <is>
          <t>30/09/2025</t>
        </is>
      </c>
      <c r="R104" s="45" t="inlineStr">
        <is>
          <t>PT2025-00101</t>
        </is>
      </c>
      <c r="S104" s="45" t="inlineStr"/>
    </row>
    <row r="105">
      <c r="A105" s="45" t="inlineStr">
        <is>
          <t>251210876</t>
        </is>
      </c>
      <c r="B105" s="45" t="inlineStr">
        <is>
          <t>HOÀNG VĨNH HƯNG</t>
        </is>
      </c>
      <c r="C105" s="45" t="inlineStr">
        <is>
          <t>Công nghệ thông tin 1 K66</t>
        </is>
      </c>
      <c r="D105" s="45" t="inlineStr">
        <is>
          <t>Năm 2</t>
        </is>
      </c>
      <c r="E105" s="45" t="inlineStr">
        <is>
          <t>2026_2027</t>
        </is>
      </c>
      <c r="F105" s="45" t="n">
        <v>4</v>
      </c>
      <c r="G105" s="46">
        <f>VLOOKUP(D105,'Cấu Hình Học Phí'!$A$8:$B$11,2,FALSE)</f>
        <v/>
      </c>
      <c r="H105" s="46">
        <f>F105*G105</f>
        <v/>
      </c>
      <c r="I105" s="45" t="n">
        <v>0</v>
      </c>
      <c r="J105" s="46">
        <f>I105*'Cấu Hình Học Phí'!$B$5</f>
        <v/>
      </c>
      <c r="K105" s="46" t="n">
        <v>0</v>
      </c>
      <c r="L105" s="46">
        <f>H105+J105-K105</f>
        <v/>
      </c>
      <c r="M105" s="46" t="n">
        <v>2420000</v>
      </c>
      <c r="N105" s="46" t="n">
        <v>0</v>
      </c>
      <c r="O105" s="46">
        <f>MAX(0,M105-N105-L105)</f>
        <v/>
      </c>
      <c r="P105" s="46">
        <f>MAX(0,L105-(M105-N105))</f>
        <v/>
      </c>
      <c r="Q105" s="45" t="inlineStr">
        <is>
          <t>30/09/2026</t>
        </is>
      </c>
      <c r="R105" s="45" t="inlineStr">
        <is>
          <t>PT2026-00102</t>
        </is>
      </c>
      <c r="S105" s="45" t="inlineStr"/>
    </row>
    <row r="106">
      <c r="A106" s="45" t="inlineStr">
        <is>
          <t>251210876</t>
        </is>
      </c>
      <c r="B106" s="45" t="inlineStr">
        <is>
          <t>HOÀNG VĨNH HƯNG</t>
        </is>
      </c>
      <c r="C106" s="45" t="inlineStr">
        <is>
          <t>Công nghệ thông tin 1 K66</t>
        </is>
      </c>
      <c r="D106" s="45" t="inlineStr">
        <is>
          <t>Năm 3</t>
        </is>
      </c>
      <c r="E106" s="45" t="inlineStr">
        <is>
          <t>2027_2028</t>
        </is>
      </c>
      <c r="F106" s="45" t="n">
        <v>4</v>
      </c>
      <c r="G106" s="46">
        <f>VLOOKUP(D106,'Cấu Hình Học Phí'!$A$8:$B$11,2,FALSE)</f>
        <v/>
      </c>
      <c r="H106" s="46">
        <f>F106*G106</f>
        <v/>
      </c>
      <c r="I106" s="45" t="n">
        <v>0</v>
      </c>
      <c r="J106" s="46">
        <f>I106*'Cấu Hình Học Phí'!$B$5</f>
        <v/>
      </c>
      <c r="K106" s="46" t="n">
        <v>0</v>
      </c>
      <c r="L106" s="46">
        <f>H106+J106-K106</f>
        <v/>
      </c>
      <c r="M106" s="46" t="n">
        <v>2662000</v>
      </c>
      <c r="N106" s="46" t="n">
        <v>0</v>
      </c>
      <c r="O106" s="46">
        <f>MAX(0,M106-N106-L106)</f>
        <v/>
      </c>
      <c r="P106" s="46">
        <f>MAX(0,L106-(M106-N106))</f>
        <v/>
      </c>
      <c r="Q106" s="45" t="inlineStr">
        <is>
          <t>30/09/2027</t>
        </is>
      </c>
      <c r="R106" s="45" t="inlineStr">
        <is>
          <t>PT2027-00103</t>
        </is>
      </c>
      <c r="S106" s="45" t="inlineStr"/>
    </row>
    <row r="107">
      <c r="A107" s="45" t="inlineStr">
        <is>
          <t>251210876</t>
        </is>
      </c>
      <c r="B107" s="45" t="inlineStr">
        <is>
          <t>HOÀNG VĨNH HƯNG</t>
        </is>
      </c>
      <c r="C107" s="45" t="inlineStr">
        <is>
          <t>Công nghệ thông tin 1 K66</t>
        </is>
      </c>
      <c r="D107" s="45" t="inlineStr">
        <is>
          <t>Năm 4</t>
        </is>
      </c>
      <c r="E107" s="45" t="inlineStr">
        <is>
          <t>2028_2029</t>
        </is>
      </c>
      <c r="F107" s="45" t="n">
        <v>1</v>
      </c>
      <c r="G107" s="46">
        <f>VLOOKUP(D107,'Cấu Hình Học Phí'!$A$8:$B$11,2,FALSE)</f>
        <v/>
      </c>
      <c r="H107" s="46">
        <f>F107*G107</f>
        <v/>
      </c>
      <c r="I107" s="45" t="n">
        <v>0</v>
      </c>
      <c r="J107" s="46">
        <f>I107*'Cấu Hình Học Phí'!$B$5</f>
        <v/>
      </c>
      <c r="K107" s="46" t="n">
        <v>0</v>
      </c>
      <c r="L107" s="46">
        <f>H107+J107-K107</f>
        <v/>
      </c>
      <c r="M107" s="46" t="n">
        <v>732050</v>
      </c>
      <c r="N107" s="46" t="n">
        <v>0</v>
      </c>
      <c r="O107" s="46">
        <f>MAX(0,M107-N107-L107)</f>
        <v/>
      </c>
      <c r="P107" s="46">
        <f>MAX(0,L107-(M107-N107))</f>
        <v/>
      </c>
      <c r="Q107" s="45" t="inlineStr">
        <is>
          <t>30/09/2028</t>
        </is>
      </c>
      <c r="R107" s="45" t="inlineStr">
        <is>
          <t>PT2028-00104</t>
        </is>
      </c>
      <c r="S107" s="45" t="inlineStr"/>
    </row>
    <row r="108">
      <c r="A108" s="45" t="inlineStr">
        <is>
          <t>251210881</t>
        </is>
      </c>
      <c r="B108" s="45" t="inlineStr">
        <is>
          <t>CHU THỊ HƯƠNG</t>
        </is>
      </c>
      <c r="C108" s="45" t="inlineStr">
        <is>
          <t>Công nghệ thông tin 1 K66</t>
        </is>
      </c>
      <c r="D108" s="45" t="inlineStr">
        <is>
          <t>Năm 1</t>
        </is>
      </c>
      <c r="E108" s="45" t="inlineStr">
        <is>
          <t>2025_2026</t>
        </is>
      </c>
      <c r="F108" s="45" t="n">
        <v>4</v>
      </c>
      <c r="G108" s="46">
        <f>VLOOKUP(D108,'Cấu Hình Học Phí'!$A$8:$B$11,2,FALSE)</f>
        <v/>
      </c>
      <c r="H108" s="46">
        <f>F108*G108</f>
        <v/>
      </c>
      <c r="I108" s="45" t="n">
        <v>1</v>
      </c>
      <c r="J108" s="46">
        <f>I108*'Cấu Hình Học Phí'!$B$5</f>
        <v/>
      </c>
      <c r="K108" s="46" t="n">
        <v>0</v>
      </c>
      <c r="L108" s="46">
        <f>H108+J108-K108</f>
        <v/>
      </c>
      <c r="M108" s="46" t="n">
        <v>3200000</v>
      </c>
      <c r="N108" s="46" t="n">
        <v>0</v>
      </c>
      <c r="O108" s="46">
        <f>MAX(0,M108-N108-L108)</f>
        <v/>
      </c>
      <c r="P108" s="46">
        <f>MAX(0,L108-(M108-N108))</f>
        <v/>
      </c>
      <c r="Q108" s="45" t="inlineStr">
        <is>
          <t>30/09/2025</t>
        </is>
      </c>
      <c r="R108" s="45" t="inlineStr">
        <is>
          <t>PT2025-00105</t>
        </is>
      </c>
      <c r="S108" s="45" t="inlineStr"/>
    </row>
    <row r="109">
      <c r="A109" s="45" t="inlineStr">
        <is>
          <t>251210881</t>
        </is>
      </c>
      <c r="B109" s="45" t="inlineStr">
        <is>
          <t>CHU THỊ HƯƠNG</t>
        </is>
      </c>
      <c r="C109" s="45" t="inlineStr">
        <is>
          <t>Công nghệ thông tin 1 K66</t>
        </is>
      </c>
      <c r="D109" s="45" t="inlineStr">
        <is>
          <t>Năm 2</t>
        </is>
      </c>
      <c r="E109" s="45" t="inlineStr">
        <is>
          <t>2026_2027</t>
        </is>
      </c>
      <c r="F109" s="45" t="n">
        <v>4</v>
      </c>
      <c r="G109" s="46">
        <f>VLOOKUP(D109,'Cấu Hình Học Phí'!$A$8:$B$11,2,FALSE)</f>
        <v/>
      </c>
      <c r="H109" s="46">
        <f>F109*G109</f>
        <v/>
      </c>
      <c r="I109" s="45" t="n">
        <v>1</v>
      </c>
      <c r="J109" s="46">
        <f>I109*'Cấu Hình Học Phí'!$B$5</f>
        <v/>
      </c>
      <c r="K109" s="46" t="n">
        <v>0</v>
      </c>
      <c r="L109" s="46">
        <f>H109+J109-K109</f>
        <v/>
      </c>
      <c r="M109" s="46" t="n">
        <v>2420000</v>
      </c>
      <c r="N109" s="46" t="n">
        <v>0</v>
      </c>
      <c r="O109" s="46">
        <f>MAX(0,M109-N109-L109)</f>
        <v/>
      </c>
      <c r="P109" s="46">
        <f>MAX(0,L109-(M109-N109))</f>
        <v/>
      </c>
      <c r="Q109" s="45" t="inlineStr">
        <is>
          <t>30/09/2026</t>
        </is>
      </c>
      <c r="R109" s="45" t="inlineStr">
        <is>
          <t>PT2026-00106</t>
        </is>
      </c>
      <c r="S109" s="45" t="inlineStr">
        <is>
          <t>Chưa nộp phí phụ đạo 1 môn</t>
        </is>
      </c>
    </row>
    <row r="110">
      <c r="A110" s="45" t="inlineStr">
        <is>
          <t>251210881</t>
        </is>
      </c>
      <c r="B110" s="45" t="inlineStr">
        <is>
          <t>CHU THỊ HƯƠNG</t>
        </is>
      </c>
      <c r="C110" s="45" t="inlineStr">
        <is>
          <t>Công nghệ thông tin 1 K66</t>
        </is>
      </c>
      <c r="D110" s="45" t="inlineStr">
        <is>
          <t>Năm 3</t>
        </is>
      </c>
      <c r="E110" s="45" t="inlineStr">
        <is>
          <t>2027_2028</t>
        </is>
      </c>
      <c r="F110" s="45" t="n">
        <v>4</v>
      </c>
      <c r="G110" s="46">
        <f>VLOOKUP(D110,'Cấu Hình Học Phí'!$A$8:$B$11,2,FALSE)</f>
        <v/>
      </c>
      <c r="H110" s="46">
        <f>F110*G110</f>
        <v/>
      </c>
      <c r="I110" s="45" t="n">
        <v>0</v>
      </c>
      <c r="J110" s="46">
        <f>I110*'Cấu Hình Học Phí'!$B$5</f>
        <v/>
      </c>
      <c r="K110" s="46" t="n">
        <v>0</v>
      </c>
      <c r="L110" s="46">
        <f>H110+J110-K110</f>
        <v/>
      </c>
      <c r="M110" s="46" t="n">
        <v>2662000</v>
      </c>
      <c r="N110" s="46" t="n">
        <v>0</v>
      </c>
      <c r="O110" s="46">
        <f>MAX(0,M110-N110-L110)</f>
        <v/>
      </c>
      <c r="P110" s="46">
        <f>MAX(0,L110-(M110-N110))</f>
        <v/>
      </c>
      <c r="Q110" s="45" t="inlineStr">
        <is>
          <t>30/09/2027</t>
        </is>
      </c>
      <c r="R110" s="45" t="inlineStr">
        <is>
          <t>PT2027-00107</t>
        </is>
      </c>
      <c r="S110" s="45" t="inlineStr"/>
    </row>
    <row r="111">
      <c r="A111" s="45" t="inlineStr">
        <is>
          <t>251210881</t>
        </is>
      </c>
      <c r="B111" s="45" t="inlineStr">
        <is>
          <t>CHU THỊ HƯƠNG</t>
        </is>
      </c>
      <c r="C111" s="45" t="inlineStr">
        <is>
          <t>Công nghệ thông tin 1 K66</t>
        </is>
      </c>
      <c r="D111" s="45" t="inlineStr">
        <is>
          <t>Năm 4</t>
        </is>
      </c>
      <c r="E111" s="45" t="inlineStr">
        <is>
          <t>2028_2029</t>
        </is>
      </c>
      <c r="F111" s="45" t="n">
        <v>1</v>
      </c>
      <c r="G111" s="46">
        <f>VLOOKUP(D111,'Cấu Hình Học Phí'!$A$8:$B$11,2,FALSE)</f>
        <v/>
      </c>
      <c r="H111" s="46">
        <f>F111*G111</f>
        <v/>
      </c>
      <c r="I111" s="45" t="n">
        <v>0</v>
      </c>
      <c r="J111" s="46">
        <f>I111*'Cấu Hình Học Phí'!$B$5</f>
        <v/>
      </c>
      <c r="K111" s="46" t="n">
        <v>0</v>
      </c>
      <c r="L111" s="46">
        <f>H111+J111-K111</f>
        <v/>
      </c>
      <c r="M111" s="46" t="n">
        <v>732050</v>
      </c>
      <c r="N111" s="46" t="n">
        <v>0</v>
      </c>
      <c r="O111" s="46">
        <f>MAX(0,M111-N111-L111)</f>
        <v/>
      </c>
      <c r="P111" s="46">
        <f>MAX(0,L111-(M111-N111))</f>
        <v/>
      </c>
      <c r="Q111" s="45" t="inlineStr">
        <is>
          <t>30/09/2028</t>
        </is>
      </c>
      <c r="R111" s="45" t="inlineStr">
        <is>
          <t>PT2028-00108</t>
        </is>
      </c>
      <c r="S111" s="45" t="inlineStr"/>
    </row>
    <row r="112">
      <c r="A112" s="45" t="inlineStr">
        <is>
          <t>251230871</t>
        </is>
      </c>
      <c r="B112" s="45" t="inlineStr">
        <is>
          <t>NGUYỄN ĐÌNH HUY</t>
        </is>
      </c>
      <c r="C112" s="45" t="inlineStr">
        <is>
          <t>Công nghệ thông tin 1 K66</t>
        </is>
      </c>
      <c r="D112" s="45" t="inlineStr">
        <is>
          <t>Năm 1</t>
        </is>
      </c>
      <c r="E112" s="45" t="inlineStr">
        <is>
          <t>2025_2026</t>
        </is>
      </c>
      <c r="F112" s="45" t="n">
        <v>4</v>
      </c>
      <c r="G112" s="46">
        <f>VLOOKUP(D112,'Cấu Hình Học Phí'!$A$8:$B$11,2,FALSE)</f>
        <v/>
      </c>
      <c r="H112" s="46">
        <f>F112*G112</f>
        <v/>
      </c>
      <c r="I112" s="45" t="n">
        <v>1</v>
      </c>
      <c r="J112" s="46">
        <f>I112*'Cấu Hình Học Phí'!$B$5</f>
        <v/>
      </c>
      <c r="K112" s="46" t="n">
        <v>0</v>
      </c>
      <c r="L112" s="46">
        <f>H112+J112-K112</f>
        <v/>
      </c>
      <c r="M112" s="46" t="n">
        <v>3200000</v>
      </c>
      <c r="N112" s="46" t="n">
        <v>0</v>
      </c>
      <c r="O112" s="46">
        <f>MAX(0,M112-N112-L112)</f>
        <v/>
      </c>
      <c r="P112" s="46">
        <f>MAX(0,L112-(M112-N112))</f>
        <v/>
      </c>
      <c r="Q112" s="45" t="inlineStr">
        <is>
          <t>30/09/2025</t>
        </is>
      </c>
      <c r="R112" s="45" t="inlineStr">
        <is>
          <t>PT2025-00109</t>
        </is>
      </c>
      <c r="S112" s="45" t="inlineStr"/>
    </row>
    <row r="113">
      <c r="A113" s="45" t="inlineStr">
        <is>
          <t>251230871</t>
        </is>
      </c>
      <c r="B113" s="45" t="inlineStr">
        <is>
          <t>NGUYỄN ĐÌNH HUY</t>
        </is>
      </c>
      <c r="C113" s="45" t="inlineStr">
        <is>
          <t>Công nghệ thông tin 1 K66</t>
        </is>
      </c>
      <c r="D113" s="45" t="inlineStr">
        <is>
          <t>Năm 2</t>
        </is>
      </c>
      <c r="E113" s="45" t="inlineStr">
        <is>
          <t>2026_2027</t>
        </is>
      </c>
      <c r="F113" s="45" t="n">
        <v>4</v>
      </c>
      <c r="G113" s="46">
        <f>VLOOKUP(D113,'Cấu Hình Học Phí'!$A$8:$B$11,2,FALSE)</f>
        <v/>
      </c>
      <c r="H113" s="46">
        <f>F113*G113</f>
        <v/>
      </c>
      <c r="I113" s="45" t="n">
        <v>0</v>
      </c>
      <c r="J113" s="46">
        <f>I113*'Cấu Hình Học Phí'!$B$5</f>
        <v/>
      </c>
      <c r="K113" s="46" t="n">
        <v>0</v>
      </c>
      <c r="L113" s="46">
        <f>H113+J113-K113</f>
        <v/>
      </c>
      <c r="M113" s="46" t="n">
        <v>2420000</v>
      </c>
      <c r="N113" s="46" t="n">
        <v>0</v>
      </c>
      <c r="O113" s="46">
        <f>MAX(0,M113-N113-L113)</f>
        <v/>
      </c>
      <c r="P113" s="46">
        <f>MAX(0,L113-(M113-N113))</f>
        <v/>
      </c>
      <c r="Q113" s="45" t="inlineStr">
        <is>
          <t>30/09/2026</t>
        </is>
      </c>
      <c r="R113" s="45" t="inlineStr">
        <is>
          <t>PT2026-00110</t>
        </is>
      </c>
      <c r="S113" s="45" t="inlineStr"/>
    </row>
    <row r="114">
      <c r="A114" s="45" t="inlineStr">
        <is>
          <t>251230871</t>
        </is>
      </c>
      <c r="B114" s="45" t="inlineStr">
        <is>
          <t>NGUYỄN ĐÌNH HUY</t>
        </is>
      </c>
      <c r="C114" s="45" t="inlineStr">
        <is>
          <t>Công nghệ thông tin 1 K66</t>
        </is>
      </c>
      <c r="D114" s="45" t="inlineStr">
        <is>
          <t>Năm 3</t>
        </is>
      </c>
      <c r="E114" s="45" t="inlineStr">
        <is>
          <t>2027_2028</t>
        </is>
      </c>
      <c r="F114" s="45" t="n">
        <v>4</v>
      </c>
      <c r="G114" s="46">
        <f>VLOOKUP(D114,'Cấu Hình Học Phí'!$A$8:$B$11,2,FALSE)</f>
        <v/>
      </c>
      <c r="H114" s="46">
        <f>F114*G114</f>
        <v/>
      </c>
      <c r="I114" s="45" t="n">
        <v>0</v>
      </c>
      <c r="J114" s="46">
        <f>I114*'Cấu Hình Học Phí'!$B$5</f>
        <v/>
      </c>
      <c r="K114" s="46" t="n">
        <v>0</v>
      </c>
      <c r="L114" s="46">
        <f>H114+J114-K114</f>
        <v/>
      </c>
      <c r="M114" s="46" t="n">
        <v>2662000</v>
      </c>
      <c r="N114" s="46" t="n">
        <v>0</v>
      </c>
      <c r="O114" s="46">
        <f>MAX(0,M114-N114-L114)</f>
        <v/>
      </c>
      <c r="P114" s="46">
        <f>MAX(0,L114-(M114-N114))</f>
        <v/>
      </c>
      <c r="Q114" s="45" t="inlineStr">
        <is>
          <t>30/09/2027</t>
        </is>
      </c>
      <c r="R114" s="45" t="inlineStr">
        <is>
          <t>PT2027-00111</t>
        </is>
      </c>
      <c r="S114" s="45" t="inlineStr"/>
    </row>
    <row r="115">
      <c r="A115" s="45" t="inlineStr">
        <is>
          <t>251230871</t>
        </is>
      </c>
      <c r="B115" s="45" t="inlineStr">
        <is>
          <t>NGUYỄN ĐÌNH HUY</t>
        </is>
      </c>
      <c r="C115" s="45" t="inlineStr">
        <is>
          <t>Công nghệ thông tin 1 K66</t>
        </is>
      </c>
      <c r="D115" s="45" t="inlineStr">
        <is>
          <t>Năm 4</t>
        </is>
      </c>
      <c r="E115" s="45" t="inlineStr">
        <is>
          <t>2028_2029</t>
        </is>
      </c>
      <c r="F115" s="45" t="n">
        <v>1</v>
      </c>
      <c r="G115" s="46">
        <f>VLOOKUP(D115,'Cấu Hình Học Phí'!$A$8:$B$11,2,FALSE)</f>
        <v/>
      </c>
      <c r="H115" s="46">
        <f>F115*G115</f>
        <v/>
      </c>
      <c r="I115" s="45" t="n">
        <v>0</v>
      </c>
      <c r="J115" s="46">
        <f>I115*'Cấu Hình Học Phí'!$B$5</f>
        <v/>
      </c>
      <c r="K115" s="46" t="n">
        <v>0</v>
      </c>
      <c r="L115" s="46">
        <f>H115+J115-K115</f>
        <v/>
      </c>
      <c r="M115" s="46" t="n">
        <v>732050</v>
      </c>
      <c r="N115" s="46" t="n">
        <v>0</v>
      </c>
      <c r="O115" s="46">
        <f>MAX(0,M115-N115-L115)</f>
        <v/>
      </c>
      <c r="P115" s="46">
        <f>MAX(0,L115-(M115-N115))</f>
        <v/>
      </c>
      <c r="Q115" s="45" t="inlineStr">
        <is>
          <t>30/09/2028</t>
        </is>
      </c>
      <c r="R115" s="45" t="inlineStr">
        <is>
          <t>PT2028-00112</t>
        </is>
      </c>
      <c r="S115" s="45" t="inlineStr"/>
    </row>
    <row r="116">
      <c r="A116" s="45" t="inlineStr">
        <is>
          <t>251230872</t>
        </is>
      </c>
      <c r="B116" s="45" t="inlineStr">
        <is>
          <t>PHẠM GIA HUY</t>
        </is>
      </c>
      <c r="C116" s="45" t="inlineStr">
        <is>
          <t>Công nghệ thông tin 1 K66</t>
        </is>
      </c>
      <c r="D116" s="45" t="inlineStr">
        <is>
          <t>Năm 1</t>
        </is>
      </c>
      <c r="E116" s="45" t="inlineStr">
        <is>
          <t>2025_2026</t>
        </is>
      </c>
      <c r="F116" s="45" t="n">
        <v>4</v>
      </c>
      <c r="G116" s="46">
        <f>VLOOKUP(D116,'Cấu Hình Học Phí'!$A$8:$B$11,2,FALSE)</f>
        <v/>
      </c>
      <c r="H116" s="46">
        <f>F116*G116</f>
        <v/>
      </c>
      <c r="I116" s="45" t="n">
        <v>0</v>
      </c>
      <c r="J116" s="46">
        <f>I116*'Cấu Hình Học Phí'!$B$5</f>
        <v/>
      </c>
      <c r="K116" s="46" t="n">
        <v>0</v>
      </c>
      <c r="L116" s="46">
        <f>H116+J116-K116</f>
        <v/>
      </c>
      <c r="M116" s="46" t="n">
        <v>2200000</v>
      </c>
      <c r="N116" s="46" t="n">
        <v>0</v>
      </c>
      <c r="O116" s="46">
        <f>MAX(0,M116-N116-L116)</f>
        <v/>
      </c>
      <c r="P116" s="46">
        <f>MAX(0,L116-(M116-N116))</f>
        <v/>
      </c>
      <c r="Q116" s="45" t="inlineStr">
        <is>
          <t>30/09/2025</t>
        </is>
      </c>
      <c r="R116" s="45" t="inlineStr">
        <is>
          <t>PT2025-00113</t>
        </is>
      </c>
      <c r="S116" s="45" t="inlineStr"/>
    </row>
    <row r="117">
      <c r="A117" s="45" t="inlineStr">
        <is>
          <t>251230872</t>
        </is>
      </c>
      <c r="B117" s="45" t="inlineStr">
        <is>
          <t>PHẠM GIA HUY</t>
        </is>
      </c>
      <c r="C117" s="45" t="inlineStr">
        <is>
          <t>Công nghệ thông tin 1 K66</t>
        </is>
      </c>
      <c r="D117" s="45" t="inlineStr">
        <is>
          <t>Năm 2</t>
        </is>
      </c>
      <c r="E117" s="45" t="inlineStr">
        <is>
          <t>2026_2027</t>
        </is>
      </c>
      <c r="F117" s="45" t="n">
        <v>4</v>
      </c>
      <c r="G117" s="46">
        <f>VLOOKUP(D117,'Cấu Hình Học Phí'!$A$8:$B$11,2,FALSE)</f>
        <v/>
      </c>
      <c r="H117" s="46">
        <f>F117*G117</f>
        <v/>
      </c>
      <c r="I117" s="45" t="n">
        <v>0</v>
      </c>
      <c r="J117" s="46">
        <f>I117*'Cấu Hình Học Phí'!$B$5</f>
        <v/>
      </c>
      <c r="K117" s="46" t="n">
        <v>0</v>
      </c>
      <c r="L117" s="46">
        <f>H117+J117-K117</f>
        <v/>
      </c>
      <c r="M117" s="46" t="n">
        <v>2420000</v>
      </c>
      <c r="N117" s="46" t="n">
        <v>0</v>
      </c>
      <c r="O117" s="46">
        <f>MAX(0,M117-N117-L117)</f>
        <v/>
      </c>
      <c r="P117" s="46">
        <f>MAX(0,L117-(M117-N117))</f>
        <v/>
      </c>
      <c r="Q117" s="45" t="inlineStr">
        <is>
          <t>30/09/2026</t>
        </is>
      </c>
      <c r="R117" s="45" t="inlineStr">
        <is>
          <t>PT2026-00114</t>
        </is>
      </c>
      <c r="S117" s="45" t="inlineStr"/>
    </row>
    <row r="118">
      <c r="A118" s="45" t="inlineStr">
        <is>
          <t>251230872</t>
        </is>
      </c>
      <c r="B118" s="45" t="inlineStr">
        <is>
          <t>PHẠM GIA HUY</t>
        </is>
      </c>
      <c r="C118" s="45" t="inlineStr">
        <is>
          <t>Công nghệ thông tin 1 K66</t>
        </is>
      </c>
      <c r="D118" s="45" t="inlineStr">
        <is>
          <t>Năm 3</t>
        </is>
      </c>
      <c r="E118" s="45" t="inlineStr">
        <is>
          <t>2027_2028</t>
        </is>
      </c>
      <c r="F118" s="45" t="n">
        <v>4</v>
      </c>
      <c r="G118" s="46">
        <f>VLOOKUP(D118,'Cấu Hình Học Phí'!$A$8:$B$11,2,FALSE)</f>
        <v/>
      </c>
      <c r="H118" s="46">
        <f>F118*G118</f>
        <v/>
      </c>
      <c r="I118" s="45" t="n">
        <v>0</v>
      </c>
      <c r="J118" s="46">
        <f>I118*'Cấu Hình Học Phí'!$B$5</f>
        <v/>
      </c>
      <c r="K118" s="46" t="n">
        <v>0</v>
      </c>
      <c r="L118" s="46">
        <f>H118+J118-K118</f>
        <v/>
      </c>
      <c r="M118" s="46" t="n">
        <v>2662000</v>
      </c>
      <c r="N118" s="46" t="n">
        <v>0</v>
      </c>
      <c r="O118" s="46">
        <f>MAX(0,M118-N118-L118)</f>
        <v/>
      </c>
      <c r="P118" s="46">
        <f>MAX(0,L118-(M118-N118))</f>
        <v/>
      </c>
      <c r="Q118" s="45" t="inlineStr">
        <is>
          <t>30/09/2027</t>
        </is>
      </c>
      <c r="R118" s="45" t="inlineStr">
        <is>
          <t>PT2027-00115</t>
        </is>
      </c>
      <c r="S118" s="45" t="inlineStr"/>
    </row>
    <row r="119">
      <c r="A119" s="45" t="inlineStr">
        <is>
          <t>251230872</t>
        </is>
      </c>
      <c r="B119" s="45" t="inlineStr">
        <is>
          <t>PHẠM GIA HUY</t>
        </is>
      </c>
      <c r="C119" s="45" t="inlineStr">
        <is>
          <t>Công nghệ thông tin 1 K66</t>
        </is>
      </c>
      <c r="D119" s="45" t="inlineStr">
        <is>
          <t>Năm 4</t>
        </is>
      </c>
      <c r="E119" s="45" t="inlineStr">
        <is>
          <t>2028_2029</t>
        </is>
      </c>
      <c r="F119" s="45" t="n">
        <v>1</v>
      </c>
      <c r="G119" s="46">
        <f>VLOOKUP(D119,'Cấu Hình Học Phí'!$A$8:$B$11,2,FALSE)</f>
        <v/>
      </c>
      <c r="H119" s="46">
        <f>F119*G119</f>
        <v/>
      </c>
      <c r="I119" s="45" t="n">
        <v>0</v>
      </c>
      <c r="J119" s="46">
        <f>I119*'Cấu Hình Học Phí'!$B$5</f>
        <v/>
      </c>
      <c r="K119" s="46" t="n">
        <v>0</v>
      </c>
      <c r="L119" s="46">
        <f>H119+J119-K119</f>
        <v/>
      </c>
      <c r="M119" s="46" t="n">
        <v>732050</v>
      </c>
      <c r="N119" s="46" t="n">
        <v>0</v>
      </c>
      <c r="O119" s="46">
        <f>MAX(0,M119-N119-L119)</f>
        <v/>
      </c>
      <c r="P119" s="46">
        <f>MAX(0,L119-(M119-N119))</f>
        <v/>
      </c>
      <c r="Q119" s="45" t="inlineStr">
        <is>
          <t>30/09/2028</t>
        </is>
      </c>
      <c r="R119" s="45" t="inlineStr">
        <is>
          <t>PT2028-00116</t>
        </is>
      </c>
      <c r="S119" s="45" t="inlineStr"/>
    </row>
    <row r="120">
      <c r="A120" s="45" t="inlineStr">
        <is>
          <t>251230874</t>
        </is>
      </c>
      <c r="B120" s="45" t="inlineStr">
        <is>
          <t>VŨ TĂNG GIA HUY</t>
        </is>
      </c>
      <c r="C120" s="45" t="inlineStr">
        <is>
          <t>Công nghệ thông tin 1 K66</t>
        </is>
      </c>
      <c r="D120" s="45" t="inlineStr">
        <is>
          <t>Năm 1</t>
        </is>
      </c>
      <c r="E120" s="45" t="inlineStr">
        <is>
          <t>2025_2026</t>
        </is>
      </c>
      <c r="F120" s="45" t="n">
        <v>4</v>
      </c>
      <c r="G120" s="46">
        <f>VLOOKUP(D120,'Cấu Hình Học Phí'!$A$8:$B$11,2,FALSE)</f>
        <v/>
      </c>
      <c r="H120" s="46">
        <f>F120*G120</f>
        <v/>
      </c>
      <c r="I120" s="45" t="n">
        <v>1</v>
      </c>
      <c r="J120" s="46">
        <f>I120*'Cấu Hình Học Phí'!$B$5</f>
        <v/>
      </c>
      <c r="K120" s="46" t="n">
        <v>0</v>
      </c>
      <c r="L120" s="46">
        <f>H120+J120-K120</f>
        <v/>
      </c>
      <c r="M120" s="46" t="n">
        <v>3200000</v>
      </c>
      <c r="N120" s="46" t="n">
        <v>0</v>
      </c>
      <c r="O120" s="46">
        <f>MAX(0,M120-N120-L120)</f>
        <v/>
      </c>
      <c r="P120" s="46">
        <f>MAX(0,L120-(M120-N120))</f>
        <v/>
      </c>
      <c r="Q120" s="45" t="inlineStr">
        <is>
          <t>30/09/2025</t>
        </is>
      </c>
      <c r="R120" s="45" t="inlineStr">
        <is>
          <t>PT2025-00117</t>
        </is>
      </c>
      <c r="S120" s="45" t="inlineStr"/>
    </row>
    <row r="121">
      <c r="A121" s="45" t="inlineStr">
        <is>
          <t>251230874</t>
        </is>
      </c>
      <c r="B121" s="45" t="inlineStr">
        <is>
          <t>VŨ TĂNG GIA HUY</t>
        </is>
      </c>
      <c r="C121" s="45" t="inlineStr">
        <is>
          <t>Công nghệ thông tin 1 K66</t>
        </is>
      </c>
      <c r="D121" s="45" t="inlineStr">
        <is>
          <t>Năm 2</t>
        </is>
      </c>
      <c r="E121" s="45" t="inlineStr">
        <is>
          <t>2026_2027</t>
        </is>
      </c>
      <c r="F121" s="45" t="n">
        <v>4</v>
      </c>
      <c r="G121" s="46">
        <f>VLOOKUP(D121,'Cấu Hình Học Phí'!$A$8:$B$11,2,FALSE)</f>
        <v/>
      </c>
      <c r="H121" s="46">
        <f>F121*G121</f>
        <v/>
      </c>
      <c r="I121" s="45" t="n">
        <v>1</v>
      </c>
      <c r="J121" s="46">
        <f>I121*'Cấu Hình Học Phí'!$B$5</f>
        <v/>
      </c>
      <c r="K121" s="46" t="n">
        <v>0</v>
      </c>
      <c r="L121" s="46">
        <f>H121+J121-K121</f>
        <v/>
      </c>
      <c r="M121" s="46" t="n">
        <v>3420000</v>
      </c>
      <c r="N121" s="46" t="n">
        <v>0</v>
      </c>
      <c r="O121" s="46">
        <f>MAX(0,M121-N121-L121)</f>
        <v/>
      </c>
      <c r="P121" s="46">
        <f>MAX(0,L121-(M121-N121))</f>
        <v/>
      </c>
      <c r="Q121" s="45" t="inlineStr">
        <is>
          <t>30/09/2026</t>
        </is>
      </c>
      <c r="R121" s="45" t="inlineStr">
        <is>
          <t>PT2026-00118</t>
        </is>
      </c>
      <c r="S121" s="45" t="inlineStr"/>
    </row>
    <row r="122">
      <c r="A122" s="45" t="inlineStr">
        <is>
          <t>251230874</t>
        </is>
      </c>
      <c r="B122" s="45" t="inlineStr">
        <is>
          <t>VŨ TĂNG GIA HUY</t>
        </is>
      </c>
      <c r="C122" s="45" t="inlineStr">
        <is>
          <t>Công nghệ thông tin 1 K66</t>
        </is>
      </c>
      <c r="D122" s="45" t="inlineStr">
        <is>
          <t>Năm 3</t>
        </is>
      </c>
      <c r="E122" s="45" t="inlineStr">
        <is>
          <t>2027_2028</t>
        </is>
      </c>
      <c r="F122" s="45" t="n">
        <v>4</v>
      </c>
      <c r="G122" s="46">
        <f>VLOOKUP(D122,'Cấu Hình Học Phí'!$A$8:$B$11,2,FALSE)</f>
        <v/>
      </c>
      <c r="H122" s="46">
        <f>F122*G122</f>
        <v/>
      </c>
      <c r="I122" s="45" t="n">
        <v>0</v>
      </c>
      <c r="J122" s="46">
        <f>I122*'Cấu Hình Học Phí'!$B$5</f>
        <v/>
      </c>
      <c r="K122" s="46" t="n">
        <v>0</v>
      </c>
      <c r="L122" s="46">
        <f>H122+J122-K122</f>
        <v/>
      </c>
      <c r="M122" s="46" t="n">
        <v>2662000</v>
      </c>
      <c r="N122" s="46" t="n">
        <v>0</v>
      </c>
      <c r="O122" s="46">
        <f>MAX(0,M122-N122-L122)</f>
        <v/>
      </c>
      <c r="P122" s="46">
        <f>MAX(0,L122-(M122-N122))</f>
        <v/>
      </c>
      <c r="Q122" s="45" t="inlineStr">
        <is>
          <t>30/09/2027</t>
        </is>
      </c>
      <c r="R122" s="45" t="inlineStr">
        <is>
          <t>PT2027-00119</t>
        </is>
      </c>
      <c r="S122" s="45" t="inlineStr"/>
    </row>
    <row r="123">
      <c r="A123" s="45" t="inlineStr">
        <is>
          <t>251230874</t>
        </is>
      </c>
      <c r="B123" s="45" t="inlineStr">
        <is>
          <t>VŨ TĂNG GIA HUY</t>
        </is>
      </c>
      <c r="C123" s="45" t="inlineStr">
        <is>
          <t>Công nghệ thông tin 1 K66</t>
        </is>
      </c>
      <c r="D123" s="45" t="inlineStr">
        <is>
          <t>Năm 4</t>
        </is>
      </c>
      <c r="E123" s="45" t="inlineStr">
        <is>
          <t>2028_2029</t>
        </is>
      </c>
      <c r="F123" s="45" t="n">
        <v>1</v>
      </c>
      <c r="G123" s="46">
        <f>VLOOKUP(D123,'Cấu Hình Học Phí'!$A$8:$B$11,2,FALSE)</f>
        <v/>
      </c>
      <c r="H123" s="46">
        <f>F123*G123</f>
        <v/>
      </c>
      <c r="I123" s="45" t="n">
        <v>0</v>
      </c>
      <c r="J123" s="46">
        <f>I123*'Cấu Hình Học Phí'!$B$5</f>
        <v/>
      </c>
      <c r="K123" s="46" t="n">
        <v>0</v>
      </c>
      <c r="L123" s="46">
        <f>H123+J123-K123</f>
        <v/>
      </c>
      <c r="M123" s="46" t="n">
        <v>732050</v>
      </c>
      <c r="N123" s="46" t="n">
        <v>0</v>
      </c>
      <c r="O123" s="46">
        <f>MAX(0,M123-N123-L123)</f>
        <v/>
      </c>
      <c r="P123" s="46">
        <f>MAX(0,L123-(M123-N123))</f>
        <v/>
      </c>
      <c r="Q123" s="45" t="inlineStr">
        <is>
          <t>30/09/2028</t>
        </is>
      </c>
      <c r="R123" s="45" t="inlineStr">
        <is>
          <t>PT2028-00120</t>
        </is>
      </c>
      <c r="S123" s="45" t="inlineStr"/>
    </row>
    <row r="124">
      <c r="A124" s="45" t="inlineStr">
        <is>
          <t>251230883</t>
        </is>
      </c>
      <c r="B124" s="45" t="inlineStr">
        <is>
          <t>TRẦN QUANG KHẢI</t>
        </is>
      </c>
      <c r="C124" s="45" t="inlineStr">
        <is>
          <t>Công nghệ thông tin 1 K66</t>
        </is>
      </c>
      <c r="D124" s="45" t="inlineStr">
        <is>
          <t>Năm 1</t>
        </is>
      </c>
      <c r="E124" s="45" t="inlineStr">
        <is>
          <t>2025_2026</t>
        </is>
      </c>
      <c r="F124" s="45" t="n">
        <v>4</v>
      </c>
      <c r="G124" s="46">
        <f>VLOOKUP(D124,'Cấu Hình Học Phí'!$A$8:$B$11,2,FALSE)</f>
        <v/>
      </c>
      <c r="H124" s="46">
        <f>F124*G124</f>
        <v/>
      </c>
      <c r="I124" s="45" t="n">
        <v>2</v>
      </c>
      <c r="J124" s="46">
        <f>I124*'Cấu Hình Học Phí'!$B$5</f>
        <v/>
      </c>
      <c r="K124" s="46" t="n">
        <v>0</v>
      </c>
      <c r="L124" s="46">
        <f>H124+J124-K124</f>
        <v/>
      </c>
      <c r="M124" s="46" t="n">
        <v>4200000</v>
      </c>
      <c r="N124" s="46" t="n">
        <v>0</v>
      </c>
      <c r="O124" s="46">
        <f>MAX(0,M124-N124-L124)</f>
        <v/>
      </c>
      <c r="P124" s="46">
        <f>MAX(0,L124-(M124-N124))</f>
        <v/>
      </c>
      <c r="Q124" s="45" t="inlineStr">
        <is>
          <t>30/09/2025</t>
        </is>
      </c>
      <c r="R124" s="45" t="inlineStr">
        <is>
          <t>PT2025-00121</t>
        </is>
      </c>
      <c r="S124" s="45" t="inlineStr"/>
    </row>
    <row r="125">
      <c r="A125" s="45" t="inlineStr">
        <is>
          <t>251230883</t>
        </is>
      </c>
      <c r="B125" s="45" t="inlineStr">
        <is>
          <t>TRẦN QUANG KHẢI</t>
        </is>
      </c>
      <c r="C125" s="45" t="inlineStr">
        <is>
          <t>Công nghệ thông tin 1 K66</t>
        </is>
      </c>
      <c r="D125" s="45" t="inlineStr">
        <is>
          <t>Năm 2</t>
        </is>
      </c>
      <c r="E125" s="45" t="inlineStr">
        <is>
          <t>2026_2027</t>
        </is>
      </c>
      <c r="F125" s="45" t="n">
        <v>4</v>
      </c>
      <c r="G125" s="46">
        <f>VLOOKUP(D125,'Cấu Hình Học Phí'!$A$8:$B$11,2,FALSE)</f>
        <v/>
      </c>
      <c r="H125" s="46">
        <f>F125*G125</f>
        <v/>
      </c>
      <c r="I125" s="45" t="n">
        <v>1</v>
      </c>
      <c r="J125" s="46">
        <f>I125*'Cấu Hình Học Phí'!$B$5</f>
        <v/>
      </c>
      <c r="K125" s="46" t="n">
        <v>0</v>
      </c>
      <c r="L125" s="46">
        <f>H125+J125-K125</f>
        <v/>
      </c>
      <c r="M125" s="46" t="n">
        <v>3420000</v>
      </c>
      <c r="N125" s="46" t="n">
        <v>0</v>
      </c>
      <c r="O125" s="46">
        <f>MAX(0,M125-N125-L125)</f>
        <v/>
      </c>
      <c r="P125" s="46">
        <f>MAX(0,L125-(M125-N125))</f>
        <v/>
      </c>
      <c r="Q125" s="45" t="inlineStr">
        <is>
          <t>30/09/2026</t>
        </is>
      </c>
      <c r="R125" s="45" t="inlineStr">
        <is>
          <t>PT2026-00122</t>
        </is>
      </c>
      <c r="S125" s="45" t="inlineStr"/>
    </row>
    <row r="126">
      <c r="A126" s="45" t="inlineStr">
        <is>
          <t>251230883</t>
        </is>
      </c>
      <c r="B126" s="45" t="inlineStr">
        <is>
          <t>TRẦN QUANG KHẢI</t>
        </is>
      </c>
      <c r="C126" s="45" t="inlineStr">
        <is>
          <t>Công nghệ thông tin 1 K66</t>
        </is>
      </c>
      <c r="D126" s="45" t="inlineStr">
        <is>
          <t>Năm 3</t>
        </is>
      </c>
      <c r="E126" s="45" t="inlineStr">
        <is>
          <t>2027_2028</t>
        </is>
      </c>
      <c r="F126" s="45" t="n">
        <v>4</v>
      </c>
      <c r="G126" s="46">
        <f>VLOOKUP(D126,'Cấu Hình Học Phí'!$A$8:$B$11,2,FALSE)</f>
        <v/>
      </c>
      <c r="H126" s="46">
        <f>F126*G126</f>
        <v/>
      </c>
      <c r="I126" s="45" t="n">
        <v>1</v>
      </c>
      <c r="J126" s="46">
        <f>I126*'Cấu Hình Học Phí'!$B$5</f>
        <v/>
      </c>
      <c r="K126" s="46" t="n">
        <v>0</v>
      </c>
      <c r="L126" s="46">
        <f>H126+J126-K126</f>
        <v/>
      </c>
      <c r="M126" s="46" t="n">
        <v>3662000</v>
      </c>
      <c r="N126" s="46" t="n">
        <v>0</v>
      </c>
      <c r="O126" s="46">
        <f>MAX(0,M126-N126-L126)</f>
        <v/>
      </c>
      <c r="P126" s="46">
        <f>MAX(0,L126-(M126-N126))</f>
        <v/>
      </c>
      <c r="Q126" s="45" t="inlineStr">
        <is>
          <t>30/09/2027</t>
        </is>
      </c>
      <c r="R126" s="45" t="inlineStr">
        <is>
          <t>PT2027-00123</t>
        </is>
      </c>
      <c r="S126" s="45" t="inlineStr"/>
    </row>
    <row r="127">
      <c r="A127" s="45" t="inlineStr">
        <is>
          <t>251230883</t>
        </is>
      </c>
      <c r="B127" s="45" t="inlineStr">
        <is>
          <t>TRẦN QUANG KHẢI</t>
        </is>
      </c>
      <c r="C127" s="45" t="inlineStr">
        <is>
          <t>Công nghệ thông tin 1 K66</t>
        </is>
      </c>
      <c r="D127" s="45" t="inlineStr">
        <is>
          <t>Năm 4</t>
        </is>
      </c>
      <c r="E127" s="45" t="inlineStr">
        <is>
          <t>2028_2029</t>
        </is>
      </c>
      <c r="F127" s="45" t="n">
        <v>1</v>
      </c>
      <c r="G127" s="46">
        <f>VLOOKUP(D127,'Cấu Hình Học Phí'!$A$8:$B$11,2,FALSE)</f>
        <v/>
      </c>
      <c r="H127" s="46">
        <f>F127*G127</f>
        <v/>
      </c>
      <c r="I127" s="45" t="n">
        <v>1</v>
      </c>
      <c r="J127" s="46">
        <f>I127*'Cấu Hình Học Phí'!$B$5</f>
        <v/>
      </c>
      <c r="K127" s="46" t="n">
        <v>0</v>
      </c>
      <c r="L127" s="46">
        <f>H127+J127-K127</f>
        <v/>
      </c>
      <c r="M127" s="46" t="n">
        <v>1732050</v>
      </c>
      <c r="N127" s="46" t="n">
        <v>0</v>
      </c>
      <c r="O127" s="46">
        <f>MAX(0,M127-N127-L127)</f>
        <v/>
      </c>
      <c r="P127" s="46">
        <f>MAX(0,L127-(M127-N127))</f>
        <v/>
      </c>
      <c r="Q127" s="45" t="inlineStr">
        <is>
          <t>30/09/2028</t>
        </is>
      </c>
      <c r="R127" s="45" t="inlineStr">
        <is>
          <t>PT2028-00124</t>
        </is>
      </c>
      <c r="S127" s="45" t="inlineStr"/>
    </row>
    <row r="128">
      <c r="A128" s="45" t="inlineStr">
        <is>
          <t>251230886</t>
        </is>
      </c>
      <c r="B128" s="45" t="inlineStr">
        <is>
          <t>NGUYỄN LƯU GIA KHÁNH</t>
        </is>
      </c>
      <c r="C128" s="45" t="inlineStr">
        <is>
          <t>Công nghệ thông tin 1 K66</t>
        </is>
      </c>
      <c r="D128" s="45" t="inlineStr">
        <is>
          <t>Năm 1</t>
        </is>
      </c>
      <c r="E128" s="45" t="inlineStr">
        <is>
          <t>2025_2026</t>
        </is>
      </c>
      <c r="F128" s="45" t="n">
        <v>4</v>
      </c>
      <c r="G128" s="46">
        <f>VLOOKUP(D128,'Cấu Hình Học Phí'!$A$8:$B$11,2,FALSE)</f>
        <v/>
      </c>
      <c r="H128" s="46">
        <f>F128*G128</f>
        <v/>
      </c>
      <c r="I128" s="45" t="n">
        <v>1</v>
      </c>
      <c r="J128" s="46">
        <f>I128*'Cấu Hình Học Phí'!$B$5</f>
        <v/>
      </c>
      <c r="K128" s="46" t="n">
        <v>0</v>
      </c>
      <c r="L128" s="46">
        <f>H128+J128-K128</f>
        <v/>
      </c>
      <c r="M128" s="46" t="n">
        <v>3200000</v>
      </c>
      <c r="N128" s="46" t="n">
        <v>0</v>
      </c>
      <c r="O128" s="46">
        <f>MAX(0,M128-N128-L128)</f>
        <v/>
      </c>
      <c r="P128" s="46">
        <f>MAX(0,L128-(M128-N128))</f>
        <v/>
      </c>
      <c r="Q128" s="45" t="inlineStr">
        <is>
          <t>30/09/2025</t>
        </is>
      </c>
      <c r="R128" s="45" t="inlineStr">
        <is>
          <t>PT2025-00125</t>
        </is>
      </c>
      <c r="S128" s="45" t="inlineStr"/>
    </row>
    <row r="129">
      <c r="A129" s="45" t="inlineStr">
        <is>
          <t>251230886</t>
        </is>
      </c>
      <c r="B129" s="45" t="inlineStr">
        <is>
          <t>NGUYỄN LƯU GIA KHÁNH</t>
        </is>
      </c>
      <c r="C129" s="45" t="inlineStr">
        <is>
          <t>Công nghệ thông tin 1 K66</t>
        </is>
      </c>
      <c r="D129" s="45" t="inlineStr">
        <is>
          <t>Năm 2</t>
        </is>
      </c>
      <c r="E129" s="45" t="inlineStr">
        <is>
          <t>2026_2027</t>
        </is>
      </c>
      <c r="F129" s="45" t="n">
        <v>4</v>
      </c>
      <c r="G129" s="46">
        <f>VLOOKUP(D129,'Cấu Hình Học Phí'!$A$8:$B$11,2,FALSE)</f>
        <v/>
      </c>
      <c r="H129" s="46">
        <f>F129*G129</f>
        <v/>
      </c>
      <c r="I129" s="45" t="n">
        <v>0</v>
      </c>
      <c r="J129" s="46">
        <f>I129*'Cấu Hình Học Phí'!$B$5</f>
        <v/>
      </c>
      <c r="K129" s="46" t="n">
        <v>0</v>
      </c>
      <c r="L129" s="46">
        <f>H129+J129-K129</f>
        <v/>
      </c>
      <c r="M129" s="46" t="n">
        <v>2420000</v>
      </c>
      <c r="N129" s="46" t="n">
        <v>0</v>
      </c>
      <c r="O129" s="46">
        <f>MAX(0,M129-N129-L129)</f>
        <v/>
      </c>
      <c r="P129" s="46">
        <f>MAX(0,L129-(M129-N129))</f>
        <v/>
      </c>
      <c r="Q129" s="45" t="inlineStr">
        <is>
          <t>30/09/2026</t>
        </is>
      </c>
      <c r="R129" s="45" t="inlineStr">
        <is>
          <t>PT2026-00126</t>
        </is>
      </c>
      <c r="S129" s="45" t="inlineStr"/>
    </row>
    <row r="130">
      <c r="A130" s="45" t="inlineStr">
        <is>
          <t>251230886</t>
        </is>
      </c>
      <c r="B130" s="45" t="inlineStr">
        <is>
          <t>NGUYỄN LƯU GIA KHÁNH</t>
        </is>
      </c>
      <c r="C130" s="45" t="inlineStr">
        <is>
          <t>Công nghệ thông tin 1 K66</t>
        </is>
      </c>
      <c r="D130" s="45" t="inlineStr">
        <is>
          <t>Năm 3</t>
        </is>
      </c>
      <c r="E130" s="45" t="inlineStr">
        <is>
          <t>2027_2028</t>
        </is>
      </c>
      <c r="F130" s="45" t="n">
        <v>4</v>
      </c>
      <c r="G130" s="46">
        <f>VLOOKUP(D130,'Cấu Hình Học Phí'!$A$8:$B$11,2,FALSE)</f>
        <v/>
      </c>
      <c r="H130" s="46">
        <f>F130*G130</f>
        <v/>
      </c>
      <c r="I130" s="45" t="n">
        <v>1</v>
      </c>
      <c r="J130" s="46">
        <f>I130*'Cấu Hình Học Phí'!$B$5</f>
        <v/>
      </c>
      <c r="K130" s="46" t="n">
        <v>0</v>
      </c>
      <c r="L130" s="46">
        <f>H130+J130-K130</f>
        <v/>
      </c>
      <c r="M130" s="46" t="n">
        <v>3662000</v>
      </c>
      <c r="N130" s="46" t="n">
        <v>0</v>
      </c>
      <c r="O130" s="46">
        <f>MAX(0,M130-N130-L130)</f>
        <v/>
      </c>
      <c r="P130" s="46">
        <f>MAX(0,L130-(M130-N130))</f>
        <v/>
      </c>
      <c r="Q130" s="45" t="inlineStr">
        <is>
          <t>30/09/2027</t>
        </is>
      </c>
      <c r="R130" s="45" t="inlineStr">
        <is>
          <t>PT2027-00127</t>
        </is>
      </c>
      <c r="S130" s="45" t="inlineStr"/>
    </row>
    <row r="131">
      <c r="A131" s="45" t="inlineStr">
        <is>
          <t>251230886</t>
        </is>
      </c>
      <c r="B131" s="45" t="inlineStr">
        <is>
          <t>NGUYỄN LƯU GIA KHÁNH</t>
        </is>
      </c>
      <c r="C131" s="45" t="inlineStr">
        <is>
          <t>Công nghệ thông tin 1 K66</t>
        </is>
      </c>
      <c r="D131" s="45" t="inlineStr">
        <is>
          <t>Năm 4</t>
        </is>
      </c>
      <c r="E131" s="45" t="inlineStr">
        <is>
          <t>2028_2029</t>
        </is>
      </c>
      <c r="F131" s="45" t="n">
        <v>1</v>
      </c>
      <c r="G131" s="46">
        <f>VLOOKUP(D131,'Cấu Hình Học Phí'!$A$8:$B$11,2,FALSE)</f>
        <v/>
      </c>
      <c r="H131" s="46">
        <f>F131*G131</f>
        <v/>
      </c>
      <c r="I131" s="45" t="n">
        <v>0</v>
      </c>
      <c r="J131" s="46">
        <f>I131*'Cấu Hình Học Phí'!$B$5</f>
        <v/>
      </c>
      <c r="K131" s="46" t="n">
        <v>0</v>
      </c>
      <c r="L131" s="46">
        <f>H131+J131-K131</f>
        <v/>
      </c>
      <c r="M131" s="46" t="n">
        <v>732050</v>
      </c>
      <c r="N131" s="46" t="n">
        <v>0</v>
      </c>
      <c r="O131" s="46">
        <f>MAX(0,M131-N131-L131)</f>
        <v/>
      </c>
      <c r="P131" s="46">
        <f>MAX(0,L131-(M131-N131))</f>
        <v/>
      </c>
      <c r="Q131" s="45" t="inlineStr">
        <is>
          <t>30/09/2028</t>
        </is>
      </c>
      <c r="R131" s="45" t="inlineStr">
        <is>
          <t>PT2028-00128</t>
        </is>
      </c>
      <c r="S131" s="45" t="inlineStr"/>
    </row>
    <row r="132">
      <c r="A132" s="45" t="inlineStr">
        <is>
          <t>251230889</t>
        </is>
      </c>
      <c r="B132" s="45" t="inlineStr">
        <is>
          <t>PHẠM GIA KHÁNH</t>
        </is>
      </c>
      <c r="C132" s="45" t="inlineStr">
        <is>
          <t>Công nghệ thông tin 1 K66</t>
        </is>
      </c>
      <c r="D132" s="45" t="inlineStr">
        <is>
          <t>Năm 1</t>
        </is>
      </c>
      <c r="E132" s="45" t="inlineStr">
        <is>
          <t>2025_2026</t>
        </is>
      </c>
      <c r="F132" s="45" t="n">
        <v>4</v>
      </c>
      <c r="G132" s="46">
        <f>VLOOKUP(D132,'Cấu Hình Học Phí'!$A$8:$B$11,2,FALSE)</f>
        <v/>
      </c>
      <c r="H132" s="46">
        <f>F132*G132</f>
        <v/>
      </c>
      <c r="I132" s="45" t="n">
        <v>1</v>
      </c>
      <c r="J132" s="46">
        <f>I132*'Cấu Hình Học Phí'!$B$5</f>
        <v/>
      </c>
      <c r="K132" s="46" t="n">
        <v>0</v>
      </c>
      <c r="L132" s="46">
        <f>H132+J132-K132</f>
        <v/>
      </c>
      <c r="M132" s="46" t="n">
        <v>3200000</v>
      </c>
      <c r="N132" s="46" t="n">
        <v>0</v>
      </c>
      <c r="O132" s="46">
        <f>MAX(0,M132-N132-L132)</f>
        <v/>
      </c>
      <c r="P132" s="46">
        <f>MAX(0,L132-(M132-N132))</f>
        <v/>
      </c>
      <c r="Q132" s="45" t="inlineStr">
        <is>
          <t>30/09/2025</t>
        </is>
      </c>
      <c r="R132" s="45" t="inlineStr">
        <is>
          <t>PT2025-00129</t>
        </is>
      </c>
      <c r="S132" s="45" t="inlineStr"/>
    </row>
    <row r="133">
      <c r="A133" s="45" t="inlineStr">
        <is>
          <t>251230889</t>
        </is>
      </c>
      <c r="B133" s="45" t="inlineStr">
        <is>
          <t>PHẠM GIA KHÁNH</t>
        </is>
      </c>
      <c r="C133" s="45" t="inlineStr">
        <is>
          <t>Công nghệ thông tin 1 K66</t>
        </is>
      </c>
      <c r="D133" s="45" t="inlineStr">
        <is>
          <t>Năm 2</t>
        </is>
      </c>
      <c r="E133" s="45" t="inlineStr">
        <is>
          <t>2026_2027</t>
        </is>
      </c>
      <c r="F133" s="45" t="n">
        <v>4</v>
      </c>
      <c r="G133" s="46">
        <f>VLOOKUP(D133,'Cấu Hình Học Phí'!$A$8:$B$11,2,FALSE)</f>
        <v/>
      </c>
      <c r="H133" s="46">
        <f>F133*G133</f>
        <v/>
      </c>
      <c r="I133" s="45" t="n">
        <v>0</v>
      </c>
      <c r="J133" s="46">
        <f>I133*'Cấu Hình Học Phí'!$B$5</f>
        <v/>
      </c>
      <c r="K133" s="46" t="n">
        <v>0</v>
      </c>
      <c r="L133" s="46">
        <f>H133+J133-K133</f>
        <v/>
      </c>
      <c r="M133" s="46" t="n">
        <v>2420000</v>
      </c>
      <c r="N133" s="46" t="n">
        <v>0</v>
      </c>
      <c r="O133" s="46">
        <f>MAX(0,M133-N133-L133)</f>
        <v/>
      </c>
      <c r="P133" s="46">
        <f>MAX(0,L133-(M133-N133))</f>
        <v/>
      </c>
      <c r="Q133" s="45" t="inlineStr">
        <is>
          <t>30/09/2026</t>
        </is>
      </c>
      <c r="R133" s="45" t="inlineStr">
        <is>
          <t>PT2026-00130</t>
        </is>
      </c>
      <c r="S133" s="45" t="inlineStr"/>
    </row>
    <row r="134">
      <c r="A134" s="45" t="inlineStr">
        <is>
          <t>251230889</t>
        </is>
      </c>
      <c r="B134" s="45" t="inlineStr">
        <is>
          <t>PHẠM GIA KHÁNH</t>
        </is>
      </c>
      <c r="C134" s="45" t="inlineStr">
        <is>
          <t>Công nghệ thông tin 1 K66</t>
        </is>
      </c>
      <c r="D134" s="45" t="inlineStr">
        <is>
          <t>Năm 3</t>
        </is>
      </c>
      <c r="E134" s="45" t="inlineStr">
        <is>
          <t>2027_2028</t>
        </is>
      </c>
      <c r="F134" s="45" t="n">
        <v>4</v>
      </c>
      <c r="G134" s="46">
        <f>VLOOKUP(D134,'Cấu Hình Học Phí'!$A$8:$B$11,2,FALSE)</f>
        <v/>
      </c>
      <c r="H134" s="46">
        <f>F134*G134</f>
        <v/>
      </c>
      <c r="I134" s="45" t="n">
        <v>0</v>
      </c>
      <c r="J134" s="46">
        <f>I134*'Cấu Hình Học Phí'!$B$5</f>
        <v/>
      </c>
      <c r="K134" s="46" t="n">
        <v>0</v>
      </c>
      <c r="L134" s="46">
        <f>H134+J134-K134</f>
        <v/>
      </c>
      <c r="M134" s="46" t="n">
        <v>2662000</v>
      </c>
      <c r="N134" s="46" t="n">
        <v>0</v>
      </c>
      <c r="O134" s="46">
        <f>MAX(0,M134-N134-L134)</f>
        <v/>
      </c>
      <c r="P134" s="46">
        <f>MAX(0,L134-(M134-N134))</f>
        <v/>
      </c>
      <c r="Q134" s="45" t="inlineStr">
        <is>
          <t>30/09/2027</t>
        </is>
      </c>
      <c r="R134" s="45" t="inlineStr">
        <is>
          <t>PT2027-00131</t>
        </is>
      </c>
      <c r="S134" s="45" t="inlineStr"/>
    </row>
    <row r="135">
      <c r="A135" s="45" t="inlineStr">
        <is>
          <t>251230889</t>
        </is>
      </c>
      <c r="B135" s="45" t="inlineStr">
        <is>
          <t>PHẠM GIA KHÁNH</t>
        </is>
      </c>
      <c r="C135" s="45" t="inlineStr">
        <is>
          <t>Công nghệ thông tin 1 K66</t>
        </is>
      </c>
      <c r="D135" s="45" t="inlineStr">
        <is>
          <t>Năm 4</t>
        </is>
      </c>
      <c r="E135" s="45" t="inlineStr">
        <is>
          <t>2028_2029</t>
        </is>
      </c>
      <c r="F135" s="45" t="n">
        <v>1</v>
      </c>
      <c r="G135" s="46">
        <f>VLOOKUP(D135,'Cấu Hình Học Phí'!$A$8:$B$11,2,FALSE)</f>
        <v/>
      </c>
      <c r="H135" s="46">
        <f>F135*G135</f>
        <v/>
      </c>
      <c r="I135" s="45" t="n">
        <v>0</v>
      </c>
      <c r="J135" s="46">
        <f>I135*'Cấu Hình Học Phí'!$B$5</f>
        <v/>
      </c>
      <c r="K135" s="46" t="n">
        <v>0</v>
      </c>
      <c r="L135" s="46">
        <f>H135+J135-K135</f>
        <v/>
      </c>
      <c r="M135" s="46" t="n">
        <v>732050</v>
      </c>
      <c r="N135" s="46" t="n">
        <v>0</v>
      </c>
      <c r="O135" s="46">
        <f>MAX(0,M135-N135-L135)</f>
        <v/>
      </c>
      <c r="P135" s="46">
        <f>MAX(0,L135-(M135-N135))</f>
        <v/>
      </c>
      <c r="Q135" s="45" t="inlineStr">
        <is>
          <t>30/09/2028</t>
        </is>
      </c>
      <c r="R135" s="45" t="inlineStr">
        <is>
          <t>PT2028-00132</t>
        </is>
      </c>
      <c r="S135" s="45" t="inlineStr"/>
    </row>
    <row r="136">
      <c r="A136" s="45" t="inlineStr">
        <is>
          <t>251230891</t>
        </is>
      </c>
      <c r="B136" s="45" t="inlineStr">
        <is>
          <t>TRẦN DUY KHÁNH</t>
        </is>
      </c>
      <c r="C136" s="45" t="inlineStr">
        <is>
          <t>Công nghệ thông tin 1 K66</t>
        </is>
      </c>
      <c r="D136" s="45" t="inlineStr">
        <is>
          <t>Năm 1</t>
        </is>
      </c>
      <c r="E136" s="45" t="inlineStr">
        <is>
          <t>2025_2026</t>
        </is>
      </c>
      <c r="F136" s="45" t="n">
        <v>4</v>
      </c>
      <c r="G136" s="46">
        <f>VLOOKUP(D136,'Cấu Hình Học Phí'!$A$8:$B$11,2,FALSE)</f>
        <v/>
      </c>
      <c r="H136" s="46">
        <f>F136*G136</f>
        <v/>
      </c>
      <c r="I136" s="45" t="n">
        <v>0</v>
      </c>
      <c r="J136" s="46">
        <f>I136*'Cấu Hình Học Phí'!$B$5</f>
        <v/>
      </c>
      <c r="K136" s="46" t="n">
        <v>0</v>
      </c>
      <c r="L136" s="46">
        <f>H136+J136-K136</f>
        <v/>
      </c>
      <c r="M136" s="46" t="n">
        <v>2200000</v>
      </c>
      <c r="N136" s="46" t="n">
        <v>0</v>
      </c>
      <c r="O136" s="46">
        <f>MAX(0,M136-N136-L136)</f>
        <v/>
      </c>
      <c r="P136" s="46">
        <f>MAX(0,L136-(M136-N136))</f>
        <v/>
      </c>
      <c r="Q136" s="45" t="inlineStr">
        <is>
          <t>30/09/2025</t>
        </is>
      </c>
      <c r="R136" s="45" t="inlineStr">
        <is>
          <t>PT2025-00133</t>
        </is>
      </c>
      <c r="S136" s="45" t="inlineStr"/>
    </row>
    <row r="137">
      <c r="A137" s="45" t="inlineStr">
        <is>
          <t>251230891</t>
        </is>
      </c>
      <c r="B137" s="45" t="inlineStr">
        <is>
          <t>TRẦN DUY KHÁNH</t>
        </is>
      </c>
      <c r="C137" s="45" t="inlineStr">
        <is>
          <t>Công nghệ thông tin 1 K66</t>
        </is>
      </c>
      <c r="D137" s="45" t="inlineStr">
        <is>
          <t>Năm 2</t>
        </is>
      </c>
      <c r="E137" s="45" t="inlineStr">
        <is>
          <t>2026_2027</t>
        </is>
      </c>
      <c r="F137" s="45" t="n">
        <v>4</v>
      </c>
      <c r="G137" s="46">
        <f>VLOOKUP(D137,'Cấu Hình Học Phí'!$A$8:$B$11,2,FALSE)</f>
        <v/>
      </c>
      <c r="H137" s="46">
        <f>F137*G137</f>
        <v/>
      </c>
      <c r="I137" s="45" t="n">
        <v>0</v>
      </c>
      <c r="J137" s="46">
        <f>I137*'Cấu Hình Học Phí'!$B$5</f>
        <v/>
      </c>
      <c r="K137" s="46" t="n">
        <v>0</v>
      </c>
      <c r="L137" s="46">
        <f>H137+J137-K137</f>
        <v/>
      </c>
      <c r="M137" s="46" t="n">
        <v>2420000</v>
      </c>
      <c r="N137" s="46" t="n">
        <v>0</v>
      </c>
      <c r="O137" s="46">
        <f>MAX(0,M137-N137-L137)</f>
        <v/>
      </c>
      <c r="P137" s="46">
        <f>MAX(0,L137-(M137-N137))</f>
        <v/>
      </c>
      <c r="Q137" s="45" t="inlineStr">
        <is>
          <t>30/09/2026</t>
        </is>
      </c>
      <c r="R137" s="45" t="inlineStr">
        <is>
          <t>PT2026-00134</t>
        </is>
      </c>
      <c r="S137" s="45" t="inlineStr"/>
    </row>
    <row r="138">
      <c r="A138" s="45" t="inlineStr">
        <is>
          <t>251230891</t>
        </is>
      </c>
      <c r="B138" s="45" t="inlineStr">
        <is>
          <t>TRẦN DUY KHÁNH</t>
        </is>
      </c>
      <c r="C138" s="45" t="inlineStr">
        <is>
          <t>Công nghệ thông tin 1 K66</t>
        </is>
      </c>
      <c r="D138" s="45" t="inlineStr">
        <is>
          <t>Năm 3</t>
        </is>
      </c>
      <c r="E138" s="45" t="inlineStr">
        <is>
          <t>2027_2028</t>
        </is>
      </c>
      <c r="F138" s="45" t="n">
        <v>4</v>
      </c>
      <c r="G138" s="46">
        <f>VLOOKUP(D138,'Cấu Hình Học Phí'!$A$8:$B$11,2,FALSE)</f>
        <v/>
      </c>
      <c r="H138" s="46">
        <f>F138*G138</f>
        <v/>
      </c>
      <c r="I138" s="45" t="n">
        <v>0</v>
      </c>
      <c r="J138" s="46">
        <f>I138*'Cấu Hình Học Phí'!$B$5</f>
        <v/>
      </c>
      <c r="K138" s="46" t="n">
        <v>0</v>
      </c>
      <c r="L138" s="46">
        <f>H138+J138-K138</f>
        <v/>
      </c>
      <c r="M138" s="46" t="n">
        <v>2662000</v>
      </c>
      <c r="N138" s="46" t="n">
        <v>0</v>
      </c>
      <c r="O138" s="46">
        <f>MAX(0,M138-N138-L138)</f>
        <v/>
      </c>
      <c r="P138" s="46">
        <f>MAX(0,L138-(M138-N138))</f>
        <v/>
      </c>
      <c r="Q138" s="45" t="inlineStr">
        <is>
          <t>30/09/2027</t>
        </is>
      </c>
      <c r="R138" s="45" t="inlineStr">
        <is>
          <t>PT2027-00135</t>
        </is>
      </c>
      <c r="S138" s="45" t="inlineStr"/>
    </row>
    <row r="139">
      <c r="A139" s="45" t="inlineStr">
        <is>
          <t>251230891</t>
        </is>
      </c>
      <c r="B139" s="45" t="inlineStr">
        <is>
          <t>TRẦN DUY KHÁNH</t>
        </is>
      </c>
      <c r="C139" s="45" t="inlineStr">
        <is>
          <t>Công nghệ thông tin 1 K66</t>
        </is>
      </c>
      <c r="D139" s="45" t="inlineStr">
        <is>
          <t>Năm 4</t>
        </is>
      </c>
      <c r="E139" s="45" t="inlineStr">
        <is>
          <t>2028_2029</t>
        </is>
      </c>
      <c r="F139" s="45" t="n">
        <v>1</v>
      </c>
      <c r="G139" s="46">
        <f>VLOOKUP(D139,'Cấu Hình Học Phí'!$A$8:$B$11,2,FALSE)</f>
        <v/>
      </c>
      <c r="H139" s="46">
        <f>F139*G139</f>
        <v/>
      </c>
      <c r="I139" s="45" t="n">
        <v>0</v>
      </c>
      <c r="J139" s="46">
        <f>I139*'Cấu Hình Học Phí'!$B$5</f>
        <v/>
      </c>
      <c r="K139" s="46" t="n">
        <v>0</v>
      </c>
      <c r="L139" s="46">
        <f>H139+J139-K139</f>
        <v/>
      </c>
      <c r="M139" s="46" t="n">
        <v>732050</v>
      </c>
      <c r="N139" s="46" t="n">
        <v>0</v>
      </c>
      <c r="O139" s="46">
        <f>MAX(0,M139-N139-L139)</f>
        <v/>
      </c>
      <c r="P139" s="46">
        <f>MAX(0,L139-(M139-N139))</f>
        <v/>
      </c>
      <c r="Q139" s="45" t="inlineStr">
        <is>
          <t>30/09/2028</t>
        </is>
      </c>
      <c r="R139" s="45" t="inlineStr">
        <is>
          <t>PT2028-00136</t>
        </is>
      </c>
      <c r="S139" s="45" t="inlineStr"/>
    </row>
    <row r="140">
      <c r="A140" s="45" t="inlineStr">
        <is>
          <t>251230898</t>
        </is>
      </c>
      <c r="B140" s="45" t="inlineStr">
        <is>
          <t>NGUYỄN THANH LÂM</t>
        </is>
      </c>
      <c r="C140" s="45" t="inlineStr">
        <is>
          <t>Công nghệ thông tin 1 K66</t>
        </is>
      </c>
      <c r="D140" s="45" t="inlineStr">
        <is>
          <t>Năm 1</t>
        </is>
      </c>
      <c r="E140" s="45" t="inlineStr">
        <is>
          <t>2025_2026</t>
        </is>
      </c>
      <c r="F140" s="45" t="n">
        <v>4</v>
      </c>
      <c r="G140" s="46">
        <f>VLOOKUP(D140,'Cấu Hình Học Phí'!$A$8:$B$11,2,FALSE)</f>
        <v/>
      </c>
      <c r="H140" s="46">
        <f>F140*G140</f>
        <v/>
      </c>
      <c r="I140" s="45" t="n">
        <v>0</v>
      </c>
      <c r="J140" s="46">
        <f>I140*'Cấu Hình Học Phí'!$B$5</f>
        <v/>
      </c>
      <c r="K140" s="46" t="n">
        <v>0</v>
      </c>
      <c r="L140" s="46">
        <f>H140+J140-K140</f>
        <v/>
      </c>
      <c r="M140" s="46" t="n">
        <v>2200000</v>
      </c>
      <c r="N140" s="46" t="n">
        <v>0</v>
      </c>
      <c r="O140" s="46">
        <f>MAX(0,M140-N140-L140)</f>
        <v/>
      </c>
      <c r="P140" s="46">
        <f>MAX(0,L140-(M140-N140))</f>
        <v/>
      </c>
      <c r="Q140" s="45" t="inlineStr">
        <is>
          <t>30/09/2025</t>
        </is>
      </c>
      <c r="R140" s="45" t="inlineStr">
        <is>
          <t>PT2025-00137</t>
        </is>
      </c>
      <c r="S140" s="45" t="inlineStr"/>
    </row>
    <row r="141">
      <c r="A141" s="45" t="inlineStr">
        <is>
          <t>251230898</t>
        </is>
      </c>
      <c r="B141" s="45" t="inlineStr">
        <is>
          <t>NGUYỄN THANH LÂM</t>
        </is>
      </c>
      <c r="C141" s="45" t="inlineStr">
        <is>
          <t>Công nghệ thông tin 1 K66</t>
        </is>
      </c>
      <c r="D141" s="45" t="inlineStr">
        <is>
          <t>Năm 2</t>
        </is>
      </c>
      <c r="E141" s="45" t="inlineStr">
        <is>
          <t>2026_2027</t>
        </is>
      </c>
      <c r="F141" s="45" t="n">
        <v>4</v>
      </c>
      <c r="G141" s="46">
        <f>VLOOKUP(D141,'Cấu Hình Học Phí'!$A$8:$B$11,2,FALSE)</f>
        <v/>
      </c>
      <c r="H141" s="46">
        <f>F141*G141</f>
        <v/>
      </c>
      <c r="I141" s="45" t="n">
        <v>0</v>
      </c>
      <c r="J141" s="46">
        <f>I141*'Cấu Hình Học Phí'!$B$5</f>
        <v/>
      </c>
      <c r="K141" s="46" t="n">
        <v>0</v>
      </c>
      <c r="L141" s="46">
        <f>H141+J141-K141</f>
        <v/>
      </c>
      <c r="M141" s="46" t="n">
        <v>2420000</v>
      </c>
      <c r="N141" s="46" t="n">
        <v>0</v>
      </c>
      <c r="O141" s="46">
        <f>MAX(0,M141-N141-L141)</f>
        <v/>
      </c>
      <c r="P141" s="46">
        <f>MAX(0,L141-(M141-N141))</f>
        <v/>
      </c>
      <c r="Q141" s="45" t="inlineStr">
        <is>
          <t>30/09/2026</t>
        </is>
      </c>
      <c r="R141" s="45" t="inlineStr">
        <is>
          <t>PT2026-00138</t>
        </is>
      </c>
      <c r="S141" s="45" t="inlineStr"/>
    </row>
    <row r="142">
      <c r="A142" s="45" t="inlineStr">
        <is>
          <t>251230898</t>
        </is>
      </c>
      <c r="B142" s="45" t="inlineStr">
        <is>
          <t>NGUYỄN THANH LÂM</t>
        </is>
      </c>
      <c r="C142" s="45" t="inlineStr">
        <is>
          <t>Công nghệ thông tin 1 K66</t>
        </is>
      </c>
      <c r="D142" s="45" t="inlineStr">
        <is>
          <t>Năm 3</t>
        </is>
      </c>
      <c r="E142" s="45" t="inlineStr">
        <is>
          <t>2027_2028</t>
        </is>
      </c>
      <c r="F142" s="45" t="n">
        <v>4</v>
      </c>
      <c r="G142" s="46">
        <f>VLOOKUP(D142,'Cấu Hình Học Phí'!$A$8:$B$11,2,FALSE)</f>
        <v/>
      </c>
      <c r="H142" s="46">
        <f>F142*G142</f>
        <v/>
      </c>
      <c r="I142" s="45" t="n">
        <v>0</v>
      </c>
      <c r="J142" s="46">
        <f>I142*'Cấu Hình Học Phí'!$B$5</f>
        <v/>
      </c>
      <c r="K142" s="46" t="n">
        <v>0</v>
      </c>
      <c r="L142" s="46">
        <f>H142+J142-K142</f>
        <v/>
      </c>
      <c r="M142" s="46" t="n">
        <v>2662000</v>
      </c>
      <c r="N142" s="46" t="n">
        <v>0</v>
      </c>
      <c r="O142" s="46">
        <f>MAX(0,M142-N142-L142)</f>
        <v/>
      </c>
      <c r="P142" s="46">
        <f>MAX(0,L142-(M142-N142))</f>
        <v/>
      </c>
      <c r="Q142" s="45" t="inlineStr">
        <is>
          <t>30/09/2027</t>
        </is>
      </c>
      <c r="R142" s="45" t="inlineStr">
        <is>
          <t>PT2027-00139</t>
        </is>
      </c>
      <c r="S142" s="45" t="inlineStr"/>
    </row>
    <row r="143">
      <c r="A143" s="45" t="inlineStr">
        <is>
          <t>251230898</t>
        </is>
      </c>
      <c r="B143" s="45" t="inlineStr">
        <is>
          <t>NGUYỄN THANH LÂM</t>
        </is>
      </c>
      <c r="C143" s="45" t="inlineStr">
        <is>
          <t>Công nghệ thông tin 1 K66</t>
        </is>
      </c>
      <c r="D143" s="45" t="inlineStr">
        <is>
          <t>Năm 4</t>
        </is>
      </c>
      <c r="E143" s="45" t="inlineStr">
        <is>
          <t>2028_2029</t>
        </is>
      </c>
      <c r="F143" s="45" t="n">
        <v>1</v>
      </c>
      <c r="G143" s="46">
        <f>VLOOKUP(D143,'Cấu Hình Học Phí'!$A$8:$B$11,2,FALSE)</f>
        <v/>
      </c>
      <c r="H143" s="46">
        <f>F143*G143</f>
        <v/>
      </c>
      <c r="I143" s="45" t="n">
        <v>0</v>
      </c>
      <c r="J143" s="46">
        <f>I143*'Cấu Hình Học Phí'!$B$5</f>
        <v/>
      </c>
      <c r="K143" s="46" t="n">
        <v>0</v>
      </c>
      <c r="L143" s="46">
        <f>H143+J143-K143</f>
        <v/>
      </c>
      <c r="M143" s="46" t="n">
        <v>732050</v>
      </c>
      <c r="N143" s="46" t="n">
        <v>0</v>
      </c>
      <c r="O143" s="46">
        <f>MAX(0,M143-N143-L143)</f>
        <v/>
      </c>
      <c r="P143" s="46">
        <f>MAX(0,L143-(M143-N143))</f>
        <v/>
      </c>
      <c r="Q143" s="45" t="inlineStr">
        <is>
          <t>30/09/2028</t>
        </is>
      </c>
      <c r="R143" s="45" t="inlineStr">
        <is>
          <t>PT2028-00140</t>
        </is>
      </c>
      <c r="S143" s="45" t="inlineStr"/>
    </row>
    <row r="144">
      <c r="A144" s="45" t="inlineStr">
        <is>
          <t>251210899</t>
        </is>
      </c>
      <c r="B144" s="45" t="inlineStr">
        <is>
          <t>NGUYỄN TÙNG LÂM</t>
        </is>
      </c>
      <c r="C144" s="45" t="inlineStr">
        <is>
          <t>Công nghệ thông tin 1 K66</t>
        </is>
      </c>
      <c r="D144" s="45" t="inlineStr">
        <is>
          <t>Năm 1</t>
        </is>
      </c>
      <c r="E144" s="45" t="inlineStr">
        <is>
          <t>2025_2026</t>
        </is>
      </c>
      <c r="F144" s="45" t="n">
        <v>4</v>
      </c>
      <c r="G144" s="46">
        <f>VLOOKUP(D144,'Cấu Hình Học Phí'!$A$8:$B$11,2,FALSE)</f>
        <v/>
      </c>
      <c r="H144" s="46">
        <f>F144*G144</f>
        <v/>
      </c>
      <c r="I144" s="45" t="n">
        <v>0</v>
      </c>
      <c r="J144" s="46">
        <f>I144*'Cấu Hình Học Phí'!$B$5</f>
        <v/>
      </c>
      <c r="K144" s="46" t="n">
        <v>0</v>
      </c>
      <c r="L144" s="46">
        <f>H144+J144-K144</f>
        <v/>
      </c>
      <c r="M144" s="46" t="n">
        <v>2200000</v>
      </c>
      <c r="N144" s="46" t="n">
        <v>0</v>
      </c>
      <c r="O144" s="46">
        <f>MAX(0,M144-N144-L144)</f>
        <v/>
      </c>
      <c r="P144" s="46">
        <f>MAX(0,L144-(M144-N144))</f>
        <v/>
      </c>
      <c r="Q144" s="45" t="inlineStr">
        <is>
          <t>30/09/2025</t>
        </is>
      </c>
      <c r="R144" s="45" t="inlineStr">
        <is>
          <t>PT2025-00141</t>
        </is>
      </c>
      <c r="S144" s="45" t="inlineStr"/>
    </row>
    <row r="145">
      <c r="A145" s="45" t="inlineStr">
        <is>
          <t>251210899</t>
        </is>
      </c>
      <c r="B145" s="45" t="inlineStr">
        <is>
          <t>NGUYỄN TÙNG LÂM</t>
        </is>
      </c>
      <c r="C145" s="45" t="inlineStr">
        <is>
          <t>Công nghệ thông tin 1 K66</t>
        </is>
      </c>
      <c r="D145" s="45" t="inlineStr">
        <is>
          <t>Năm 2</t>
        </is>
      </c>
      <c r="E145" s="45" t="inlineStr">
        <is>
          <t>2026_2027</t>
        </is>
      </c>
      <c r="F145" s="45" t="n">
        <v>4</v>
      </c>
      <c r="G145" s="46">
        <f>VLOOKUP(D145,'Cấu Hình Học Phí'!$A$8:$B$11,2,FALSE)</f>
        <v/>
      </c>
      <c r="H145" s="46">
        <f>F145*G145</f>
        <v/>
      </c>
      <c r="I145" s="45" t="n">
        <v>0</v>
      </c>
      <c r="J145" s="46">
        <f>I145*'Cấu Hình Học Phí'!$B$5</f>
        <v/>
      </c>
      <c r="K145" s="46" t="n">
        <v>0</v>
      </c>
      <c r="L145" s="46">
        <f>H145+J145-K145</f>
        <v/>
      </c>
      <c r="M145" s="46" t="n">
        <v>2420000</v>
      </c>
      <c r="N145" s="46" t="n">
        <v>0</v>
      </c>
      <c r="O145" s="46">
        <f>MAX(0,M145-N145-L145)</f>
        <v/>
      </c>
      <c r="P145" s="46">
        <f>MAX(0,L145-(M145-N145))</f>
        <v/>
      </c>
      <c r="Q145" s="45" t="inlineStr">
        <is>
          <t>30/09/2026</t>
        </is>
      </c>
      <c r="R145" s="45" t="inlineStr">
        <is>
          <t>PT2026-00142</t>
        </is>
      </c>
      <c r="S145" s="45" t="inlineStr"/>
    </row>
    <row r="146">
      <c r="A146" s="45" t="inlineStr">
        <is>
          <t>251210899</t>
        </is>
      </c>
      <c r="B146" s="45" t="inlineStr">
        <is>
          <t>NGUYỄN TÙNG LÂM</t>
        </is>
      </c>
      <c r="C146" s="45" t="inlineStr">
        <is>
          <t>Công nghệ thông tin 1 K66</t>
        </is>
      </c>
      <c r="D146" s="45" t="inlineStr">
        <is>
          <t>Năm 3</t>
        </is>
      </c>
      <c r="E146" s="45" t="inlineStr">
        <is>
          <t>2027_2028</t>
        </is>
      </c>
      <c r="F146" s="45" t="n">
        <v>4</v>
      </c>
      <c r="G146" s="46">
        <f>VLOOKUP(D146,'Cấu Hình Học Phí'!$A$8:$B$11,2,FALSE)</f>
        <v/>
      </c>
      <c r="H146" s="46">
        <f>F146*G146</f>
        <v/>
      </c>
      <c r="I146" s="45" t="n">
        <v>0</v>
      </c>
      <c r="J146" s="46">
        <f>I146*'Cấu Hình Học Phí'!$B$5</f>
        <v/>
      </c>
      <c r="K146" s="46" t="n">
        <v>0</v>
      </c>
      <c r="L146" s="46">
        <f>H146+J146-K146</f>
        <v/>
      </c>
      <c r="M146" s="46" t="n">
        <v>2662000</v>
      </c>
      <c r="N146" s="46" t="n">
        <v>0</v>
      </c>
      <c r="O146" s="46">
        <f>MAX(0,M146-N146-L146)</f>
        <v/>
      </c>
      <c r="P146" s="46">
        <f>MAX(0,L146-(M146-N146))</f>
        <v/>
      </c>
      <c r="Q146" s="45" t="inlineStr">
        <is>
          <t>30/09/2027</t>
        </is>
      </c>
      <c r="R146" s="45" t="inlineStr">
        <is>
          <t>PT2027-00143</t>
        </is>
      </c>
      <c r="S146" s="45" t="inlineStr"/>
    </row>
    <row r="147">
      <c r="A147" s="45" t="inlineStr">
        <is>
          <t>251210899</t>
        </is>
      </c>
      <c r="B147" s="45" t="inlineStr">
        <is>
          <t>NGUYỄN TÙNG LÂM</t>
        </is>
      </c>
      <c r="C147" s="45" t="inlineStr">
        <is>
          <t>Công nghệ thông tin 1 K66</t>
        </is>
      </c>
      <c r="D147" s="45" t="inlineStr">
        <is>
          <t>Năm 4</t>
        </is>
      </c>
      <c r="E147" s="45" t="inlineStr">
        <is>
          <t>2028_2029</t>
        </is>
      </c>
      <c r="F147" s="45" t="n">
        <v>1</v>
      </c>
      <c r="G147" s="46">
        <f>VLOOKUP(D147,'Cấu Hình Học Phí'!$A$8:$B$11,2,FALSE)</f>
        <v/>
      </c>
      <c r="H147" s="46">
        <f>F147*G147</f>
        <v/>
      </c>
      <c r="I147" s="45" t="n">
        <v>0</v>
      </c>
      <c r="J147" s="46">
        <f>I147*'Cấu Hình Học Phí'!$B$5</f>
        <v/>
      </c>
      <c r="K147" s="46" t="n">
        <v>0</v>
      </c>
      <c r="L147" s="46">
        <f>H147+J147-K147</f>
        <v/>
      </c>
      <c r="M147" s="46" t="n">
        <v>732050</v>
      </c>
      <c r="N147" s="46" t="n">
        <v>0</v>
      </c>
      <c r="O147" s="46">
        <f>MAX(0,M147-N147-L147)</f>
        <v/>
      </c>
      <c r="P147" s="46">
        <f>MAX(0,L147-(M147-N147))</f>
        <v/>
      </c>
      <c r="Q147" s="45" t="inlineStr">
        <is>
          <t>30/09/2028</t>
        </is>
      </c>
      <c r="R147" s="45" t="inlineStr">
        <is>
          <t>PT2028-00144</t>
        </is>
      </c>
      <c r="S147" s="45" t="inlineStr"/>
    </row>
    <row r="148">
      <c r="A148" s="45" t="inlineStr">
        <is>
          <t>251230901</t>
        </is>
      </c>
      <c r="B148" s="45" t="inlineStr">
        <is>
          <t>NGUYỄN VŨ LÂM</t>
        </is>
      </c>
      <c r="C148" s="45" t="inlineStr">
        <is>
          <t>Công nghệ thông tin 1 K66</t>
        </is>
      </c>
      <c r="D148" s="45" t="inlineStr">
        <is>
          <t>Năm 1</t>
        </is>
      </c>
      <c r="E148" s="45" t="inlineStr">
        <is>
          <t>2025_2026</t>
        </is>
      </c>
      <c r="F148" s="45" t="n">
        <v>4</v>
      </c>
      <c r="G148" s="46">
        <f>VLOOKUP(D148,'Cấu Hình Học Phí'!$A$8:$B$11,2,FALSE)</f>
        <v/>
      </c>
      <c r="H148" s="46">
        <f>F148*G148</f>
        <v/>
      </c>
      <c r="I148" s="45" t="n">
        <v>1</v>
      </c>
      <c r="J148" s="46">
        <f>I148*'Cấu Hình Học Phí'!$B$5</f>
        <v/>
      </c>
      <c r="K148" s="46" t="n">
        <v>0</v>
      </c>
      <c r="L148" s="46">
        <f>H148+J148-K148</f>
        <v/>
      </c>
      <c r="M148" s="46" t="n">
        <v>2200000</v>
      </c>
      <c r="N148" s="46" t="n">
        <v>0</v>
      </c>
      <c r="O148" s="46">
        <f>MAX(0,M148-N148-L148)</f>
        <v/>
      </c>
      <c r="P148" s="46">
        <f>MAX(0,L148-(M148-N148))</f>
        <v/>
      </c>
      <c r="Q148" s="45" t="inlineStr">
        <is>
          <t>30/09/2025</t>
        </is>
      </c>
      <c r="R148" s="45" t="inlineStr">
        <is>
          <t>PT2025-00145</t>
        </is>
      </c>
      <c r="S148" s="45" t="inlineStr">
        <is>
          <t>Chưa nộp phí phụ đạo 1 môn</t>
        </is>
      </c>
    </row>
    <row r="149">
      <c r="A149" s="45" t="inlineStr">
        <is>
          <t>251230901</t>
        </is>
      </c>
      <c r="B149" s="45" t="inlineStr">
        <is>
          <t>NGUYỄN VŨ LÂM</t>
        </is>
      </c>
      <c r="C149" s="45" t="inlineStr">
        <is>
          <t>Công nghệ thông tin 1 K66</t>
        </is>
      </c>
      <c r="D149" s="45" t="inlineStr">
        <is>
          <t>Năm 2</t>
        </is>
      </c>
      <c r="E149" s="45" t="inlineStr">
        <is>
          <t>2026_2027</t>
        </is>
      </c>
      <c r="F149" s="45" t="n">
        <v>4</v>
      </c>
      <c r="G149" s="46">
        <f>VLOOKUP(D149,'Cấu Hình Học Phí'!$A$8:$B$11,2,FALSE)</f>
        <v/>
      </c>
      <c r="H149" s="46">
        <f>F149*G149</f>
        <v/>
      </c>
      <c r="I149" s="45" t="n">
        <v>0</v>
      </c>
      <c r="J149" s="46">
        <f>I149*'Cấu Hình Học Phí'!$B$5</f>
        <v/>
      </c>
      <c r="K149" s="46" t="n">
        <v>0</v>
      </c>
      <c r="L149" s="46">
        <f>H149+J149-K149</f>
        <v/>
      </c>
      <c r="M149" s="46" t="n">
        <v>2420000</v>
      </c>
      <c r="N149" s="46" t="n">
        <v>0</v>
      </c>
      <c r="O149" s="46">
        <f>MAX(0,M149-N149-L149)</f>
        <v/>
      </c>
      <c r="P149" s="46">
        <f>MAX(0,L149-(M149-N149))</f>
        <v/>
      </c>
      <c r="Q149" s="45" t="inlineStr">
        <is>
          <t>30/09/2026</t>
        </is>
      </c>
      <c r="R149" s="45" t="inlineStr">
        <is>
          <t>PT2026-00146</t>
        </is>
      </c>
      <c r="S149" s="45" t="inlineStr"/>
    </row>
    <row r="150">
      <c r="A150" s="45" t="inlineStr">
        <is>
          <t>251230901</t>
        </is>
      </c>
      <c r="B150" s="45" t="inlineStr">
        <is>
          <t>NGUYỄN VŨ LÂM</t>
        </is>
      </c>
      <c r="C150" s="45" t="inlineStr">
        <is>
          <t>Công nghệ thông tin 1 K66</t>
        </is>
      </c>
      <c r="D150" s="45" t="inlineStr">
        <is>
          <t>Năm 3</t>
        </is>
      </c>
      <c r="E150" s="45" t="inlineStr">
        <is>
          <t>2027_2028</t>
        </is>
      </c>
      <c r="F150" s="45" t="n">
        <v>4</v>
      </c>
      <c r="G150" s="46">
        <f>VLOOKUP(D150,'Cấu Hình Học Phí'!$A$8:$B$11,2,FALSE)</f>
        <v/>
      </c>
      <c r="H150" s="46">
        <f>F150*G150</f>
        <v/>
      </c>
      <c r="I150" s="45" t="n">
        <v>0</v>
      </c>
      <c r="J150" s="46">
        <f>I150*'Cấu Hình Học Phí'!$B$5</f>
        <v/>
      </c>
      <c r="K150" s="46" t="n">
        <v>0</v>
      </c>
      <c r="L150" s="46">
        <f>H150+J150-K150</f>
        <v/>
      </c>
      <c r="M150" s="46" t="n">
        <v>2662000</v>
      </c>
      <c r="N150" s="46" t="n">
        <v>0</v>
      </c>
      <c r="O150" s="46">
        <f>MAX(0,M150-N150-L150)</f>
        <v/>
      </c>
      <c r="P150" s="46">
        <f>MAX(0,L150-(M150-N150))</f>
        <v/>
      </c>
      <c r="Q150" s="45" t="inlineStr">
        <is>
          <t>30/09/2027</t>
        </is>
      </c>
      <c r="R150" s="45" t="inlineStr">
        <is>
          <t>PT2027-00147</t>
        </is>
      </c>
      <c r="S150" s="45" t="inlineStr"/>
    </row>
    <row r="151">
      <c r="A151" s="45" t="inlineStr">
        <is>
          <t>251230901</t>
        </is>
      </c>
      <c r="B151" s="45" t="inlineStr">
        <is>
          <t>NGUYỄN VŨ LÂM</t>
        </is>
      </c>
      <c r="C151" s="45" t="inlineStr">
        <is>
          <t>Công nghệ thông tin 1 K66</t>
        </is>
      </c>
      <c r="D151" s="45" t="inlineStr">
        <is>
          <t>Năm 4</t>
        </is>
      </c>
      <c r="E151" s="45" t="inlineStr">
        <is>
          <t>2028_2029</t>
        </is>
      </c>
      <c r="F151" s="45" t="n">
        <v>1</v>
      </c>
      <c r="G151" s="46">
        <f>VLOOKUP(D151,'Cấu Hình Học Phí'!$A$8:$B$11,2,FALSE)</f>
        <v/>
      </c>
      <c r="H151" s="46">
        <f>F151*G151</f>
        <v/>
      </c>
      <c r="I151" s="45" t="n">
        <v>0</v>
      </c>
      <c r="J151" s="46">
        <f>I151*'Cấu Hình Học Phí'!$B$5</f>
        <v/>
      </c>
      <c r="K151" s="46" t="n">
        <v>0</v>
      </c>
      <c r="L151" s="46">
        <f>H151+J151-K151</f>
        <v/>
      </c>
      <c r="M151" s="46" t="n">
        <v>732050</v>
      </c>
      <c r="N151" s="46" t="n">
        <v>0</v>
      </c>
      <c r="O151" s="46">
        <f>MAX(0,M151-N151-L151)</f>
        <v/>
      </c>
      <c r="P151" s="46">
        <f>MAX(0,L151-(M151-N151))</f>
        <v/>
      </c>
      <c r="Q151" s="45" t="inlineStr">
        <is>
          <t>30/09/2028</t>
        </is>
      </c>
      <c r="R151" s="45" t="inlineStr">
        <is>
          <t>PT2028-00148</t>
        </is>
      </c>
      <c r="S151" s="45" t="inlineStr"/>
    </row>
    <row r="152">
      <c r="A152" s="45" t="inlineStr">
        <is>
          <t>251230911</t>
        </is>
      </c>
      <c r="B152" s="45" t="inlineStr">
        <is>
          <t>BÙI CHÍ LỘC</t>
        </is>
      </c>
      <c r="C152" s="45" t="inlineStr">
        <is>
          <t>Công nghệ thông tin 1 K66</t>
        </is>
      </c>
      <c r="D152" s="45" t="inlineStr">
        <is>
          <t>Năm 1</t>
        </is>
      </c>
      <c r="E152" s="45" t="inlineStr">
        <is>
          <t>2025_2026</t>
        </is>
      </c>
      <c r="F152" s="45" t="n">
        <v>4</v>
      </c>
      <c r="G152" s="46">
        <f>VLOOKUP(D152,'Cấu Hình Học Phí'!$A$8:$B$11,2,FALSE)</f>
        <v/>
      </c>
      <c r="H152" s="46">
        <f>F152*G152</f>
        <v/>
      </c>
      <c r="I152" s="45" t="n">
        <v>0</v>
      </c>
      <c r="J152" s="46">
        <f>I152*'Cấu Hình Học Phí'!$B$5</f>
        <v/>
      </c>
      <c r="K152" s="46" t="n">
        <v>0</v>
      </c>
      <c r="L152" s="46">
        <f>H152+J152-K152</f>
        <v/>
      </c>
      <c r="M152" s="46" t="n">
        <v>2200000</v>
      </c>
      <c r="N152" s="46" t="n">
        <v>0</v>
      </c>
      <c r="O152" s="46">
        <f>MAX(0,M152-N152-L152)</f>
        <v/>
      </c>
      <c r="P152" s="46">
        <f>MAX(0,L152-(M152-N152))</f>
        <v/>
      </c>
      <c r="Q152" s="45" t="inlineStr">
        <is>
          <t>30/09/2025</t>
        </is>
      </c>
      <c r="R152" s="45" t="inlineStr">
        <is>
          <t>PT2025-00149</t>
        </is>
      </c>
      <c r="S152" s="45" t="inlineStr"/>
    </row>
    <row r="153">
      <c r="A153" s="45" t="inlineStr">
        <is>
          <t>251230911</t>
        </is>
      </c>
      <c r="B153" s="45" t="inlineStr">
        <is>
          <t>BÙI CHÍ LỘC</t>
        </is>
      </c>
      <c r="C153" s="45" t="inlineStr">
        <is>
          <t>Công nghệ thông tin 1 K66</t>
        </is>
      </c>
      <c r="D153" s="45" t="inlineStr">
        <is>
          <t>Năm 2</t>
        </is>
      </c>
      <c r="E153" s="45" t="inlineStr">
        <is>
          <t>2026_2027</t>
        </is>
      </c>
      <c r="F153" s="45" t="n">
        <v>4</v>
      </c>
      <c r="G153" s="46">
        <f>VLOOKUP(D153,'Cấu Hình Học Phí'!$A$8:$B$11,2,FALSE)</f>
        <v/>
      </c>
      <c r="H153" s="46">
        <f>F153*G153</f>
        <v/>
      </c>
      <c r="I153" s="45" t="n">
        <v>0</v>
      </c>
      <c r="J153" s="46">
        <f>I153*'Cấu Hình Học Phí'!$B$5</f>
        <v/>
      </c>
      <c r="K153" s="46" t="n">
        <v>0</v>
      </c>
      <c r="L153" s="46">
        <f>H153+J153-K153</f>
        <v/>
      </c>
      <c r="M153" s="46" t="n">
        <v>2420000</v>
      </c>
      <c r="N153" s="46" t="n">
        <v>0</v>
      </c>
      <c r="O153" s="46">
        <f>MAX(0,M153-N153-L153)</f>
        <v/>
      </c>
      <c r="P153" s="46">
        <f>MAX(0,L153-(M153-N153))</f>
        <v/>
      </c>
      <c r="Q153" s="45" t="inlineStr">
        <is>
          <t>30/09/2026</t>
        </is>
      </c>
      <c r="R153" s="45" t="inlineStr">
        <is>
          <t>PT2026-00150</t>
        </is>
      </c>
      <c r="S153" s="45" t="inlineStr"/>
    </row>
    <row r="154">
      <c r="A154" s="45" t="inlineStr">
        <is>
          <t>251230911</t>
        </is>
      </c>
      <c r="B154" s="45" t="inlineStr">
        <is>
          <t>BÙI CHÍ LỘC</t>
        </is>
      </c>
      <c r="C154" s="45" t="inlineStr">
        <is>
          <t>Công nghệ thông tin 1 K66</t>
        </is>
      </c>
      <c r="D154" s="45" t="inlineStr">
        <is>
          <t>Năm 3</t>
        </is>
      </c>
      <c r="E154" s="45" t="inlineStr">
        <is>
          <t>2027_2028</t>
        </is>
      </c>
      <c r="F154" s="45" t="n">
        <v>4</v>
      </c>
      <c r="G154" s="46">
        <f>VLOOKUP(D154,'Cấu Hình Học Phí'!$A$8:$B$11,2,FALSE)</f>
        <v/>
      </c>
      <c r="H154" s="46">
        <f>F154*G154</f>
        <v/>
      </c>
      <c r="I154" s="45" t="n">
        <v>0</v>
      </c>
      <c r="J154" s="46">
        <f>I154*'Cấu Hình Học Phí'!$B$5</f>
        <v/>
      </c>
      <c r="K154" s="46" t="n">
        <v>0</v>
      </c>
      <c r="L154" s="46">
        <f>H154+J154-K154</f>
        <v/>
      </c>
      <c r="M154" s="46" t="n">
        <v>2662000</v>
      </c>
      <c r="N154" s="46" t="n">
        <v>0</v>
      </c>
      <c r="O154" s="46">
        <f>MAX(0,M154-N154-L154)</f>
        <v/>
      </c>
      <c r="P154" s="46">
        <f>MAX(0,L154-(M154-N154))</f>
        <v/>
      </c>
      <c r="Q154" s="45" t="inlineStr">
        <is>
          <t>30/09/2027</t>
        </is>
      </c>
      <c r="R154" s="45" t="inlineStr">
        <is>
          <t>PT2027-00151</t>
        </is>
      </c>
      <c r="S154" s="45" t="inlineStr"/>
    </row>
    <row r="155">
      <c r="A155" s="45" t="inlineStr">
        <is>
          <t>251230911</t>
        </is>
      </c>
      <c r="B155" s="45" t="inlineStr">
        <is>
          <t>BÙI CHÍ LỘC</t>
        </is>
      </c>
      <c r="C155" s="45" t="inlineStr">
        <is>
          <t>Công nghệ thông tin 1 K66</t>
        </is>
      </c>
      <c r="D155" s="45" t="inlineStr">
        <is>
          <t>Năm 4</t>
        </is>
      </c>
      <c r="E155" s="45" t="inlineStr">
        <is>
          <t>2028_2029</t>
        </is>
      </c>
      <c r="F155" s="45" t="n">
        <v>1</v>
      </c>
      <c r="G155" s="46">
        <f>VLOOKUP(D155,'Cấu Hình Học Phí'!$A$8:$B$11,2,FALSE)</f>
        <v/>
      </c>
      <c r="H155" s="46">
        <f>F155*G155</f>
        <v/>
      </c>
      <c r="I155" s="45" t="n">
        <v>0</v>
      </c>
      <c r="J155" s="46">
        <f>I155*'Cấu Hình Học Phí'!$B$5</f>
        <v/>
      </c>
      <c r="K155" s="46" t="n">
        <v>0</v>
      </c>
      <c r="L155" s="46">
        <f>H155+J155-K155</f>
        <v/>
      </c>
      <c r="M155" s="46" t="n">
        <v>732050</v>
      </c>
      <c r="N155" s="46" t="n">
        <v>0</v>
      </c>
      <c r="O155" s="46">
        <f>MAX(0,M155-N155-L155)</f>
        <v/>
      </c>
      <c r="P155" s="46">
        <f>MAX(0,L155-(M155-N155))</f>
        <v/>
      </c>
      <c r="Q155" s="45" t="inlineStr">
        <is>
          <t>30/09/2028</t>
        </is>
      </c>
      <c r="R155" s="45" t="inlineStr">
        <is>
          <t>PT2028-00152</t>
        </is>
      </c>
      <c r="S155" s="45" t="inlineStr"/>
    </row>
    <row r="156">
      <c r="A156" s="45" t="inlineStr">
        <is>
          <t>251230910</t>
        </is>
      </c>
      <c r="B156" s="45" t="inlineStr">
        <is>
          <t>TRẦN ĐỨC LONG</t>
        </is>
      </c>
      <c r="C156" s="45" t="inlineStr">
        <is>
          <t>Công nghệ thông tin 1 K66</t>
        </is>
      </c>
      <c r="D156" s="45" t="inlineStr">
        <is>
          <t>Năm 1</t>
        </is>
      </c>
      <c r="E156" s="45" t="inlineStr">
        <is>
          <t>2025_2026</t>
        </is>
      </c>
      <c r="F156" s="45" t="n">
        <v>4</v>
      </c>
      <c r="G156" s="46">
        <f>VLOOKUP(D156,'Cấu Hình Học Phí'!$A$8:$B$11,2,FALSE)</f>
        <v/>
      </c>
      <c r="H156" s="46">
        <f>F156*G156</f>
        <v/>
      </c>
      <c r="I156" s="45" t="n">
        <v>0</v>
      </c>
      <c r="J156" s="46">
        <f>I156*'Cấu Hình Học Phí'!$B$5</f>
        <v/>
      </c>
      <c r="K156" s="46" t="n">
        <v>0</v>
      </c>
      <c r="L156" s="46">
        <f>H156+J156-K156</f>
        <v/>
      </c>
      <c r="M156" s="46" t="n">
        <v>2200000</v>
      </c>
      <c r="N156" s="46" t="n">
        <v>0</v>
      </c>
      <c r="O156" s="46">
        <f>MAX(0,M156-N156-L156)</f>
        <v/>
      </c>
      <c r="P156" s="46">
        <f>MAX(0,L156-(M156-N156))</f>
        <v/>
      </c>
      <c r="Q156" s="45" t="inlineStr">
        <is>
          <t>30/09/2025</t>
        </is>
      </c>
      <c r="R156" s="45" t="inlineStr">
        <is>
          <t>PT2025-00153</t>
        </is>
      </c>
      <c r="S156" s="45" t="inlineStr"/>
    </row>
    <row r="157">
      <c r="A157" s="45" t="inlineStr">
        <is>
          <t>251230910</t>
        </is>
      </c>
      <c r="B157" s="45" t="inlineStr">
        <is>
          <t>TRẦN ĐỨC LONG</t>
        </is>
      </c>
      <c r="C157" s="45" t="inlineStr">
        <is>
          <t>Công nghệ thông tin 1 K66</t>
        </is>
      </c>
      <c r="D157" s="45" t="inlineStr">
        <is>
          <t>Năm 2</t>
        </is>
      </c>
      <c r="E157" s="45" t="inlineStr">
        <is>
          <t>2026_2027</t>
        </is>
      </c>
      <c r="F157" s="45" t="n">
        <v>4</v>
      </c>
      <c r="G157" s="46">
        <f>VLOOKUP(D157,'Cấu Hình Học Phí'!$A$8:$B$11,2,FALSE)</f>
        <v/>
      </c>
      <c r="H157" s="46">
        <f>F157*G157</f>
        <v/>
      </c>
      <c r="I157" s="45" t="n">
        <v>0</v>
      </c>
      <c r="J157" s="46">
        <f>I157*'Cấu Hình Học Phí'!$B$5</f>
        <v/>
      </c>
      <c r="K157" s="46" t="n">
        <v>0</v>
      </c>
      <c r="L157" s="46">
        <f>H157+J157-K157</f>
        <v/>
      </c>
      <c r="M157" s="46" t="n">
        <v>2420000</v>
      </c>
      <c r="N157" s="46" t="n">
        <v>0</v>
      </c>
      <c r="O157" s="46">
        <f>MAX(0,M157-N157-L157)</f>
        <v/>
      </c>
      <c r="P157" s="46">
        <f>MAX(0,L157-(M157-N157))</f>
        <v/>
      </c>
      <c r="Q157" s="45" t="inlineStr">
        <is>
          <t>30/09/2026</t>
        </is>
      </c>
      <c r="R157" s="45" t="inlineStr">
        <is>
          <t>PT2026-00154</t>
        </is>
      </c>
      <c r="S157" s="45" t="inlineStr"/>
    </row>
    <row r="158">
      <c r="A158" s="45" t="inlineStr">
        <is>
          <t>251230910</t>
        </is>
      </c>
      <c r="B158" s="45" t="inlineStr">
        <is>
          <t>TRẦN ĐỨC LONG</t>
        </is>
      </c>
      <c r="C158" s="45" t="inlineStr">
        <is>
          <t>Công nghệ thông tin 1 K66</t>
        </is>
      </c>
      <c r="D158" s="45" t="inlineStr">
        <is>
          <t>Năm 3</t>
        </is>
      </c>
      <c r="E158" s="45" t="inlineStr">
        <is>
          <t>2027_2028</t>
        </is>
      </c>
      <c r="F158" s="45" t="n">
        <v>4</v>
      </c>
      <c r="G158" s="46">
        <f>VLOOKUP(D158,'Cấu Hình Học Phí'!$A$8:$B$11,2,FALSE)</f>
        <v/>
      </c>
      <c r="H158" s="46">
        <f>F158*G158</f>
        <v/>
      </c>
      <c r="I158" s="45" t="n">
        <v>0</v>
      </c>
      <c r="J158" s="46">
        <f>I158*'Cấu Hình Học Phí'!$B$5</f>
        <v/>
      </c>
      <c r="K158" s="46" t="n">
        <v>0</v>
      </c>
      <c r="L158" s="46">
        <f>H158+J158-K158</f>
        <v/>
      </c>
      <c r="M158" s="46" t="n">
        <v>2662000</v>
      </c>
      <c r="N158" s="46" t="n">
        <v>0</v>
      </c>
      <c r="O158" s="46">
        <f>MAX(0,M158-N158-L158)</f>
        <v/>
      </c>
      <c r="P158" s="46">
        <f>MAX(0,L158-(M158-N158))</f>
        <v/>
      </c>
      <c r="Q158" s="45" t="inlineStr">
        <is>
          <t>30/09/2027</t>
        </is>
      </c>
      <c r="R158" s="45" t="inlineStr">
        <is>
          <t>PT2027-00155</t>
        </is>
      </c>
      <c r="S158" s="45" t="inlineStr"/>
    </row>
    <row r="159">
      <c r="A159" s="45" t="inlineStr">
        <is>
          <t>251230910</t>
        </is>
      </c>
      <c r="B159" s="45" t="inlineStr">
        <is>
          <t>TRẦN ĐỨC LONG</t>
        </is>
      </c>
      <c r="C159" s="45" t="inlineStr">
        <is>
          <t>Công nghệ thông tin 1 K66</t>
        </is>
      </c>
      <c r="D159" s="45" t="inlineStr">
        <is>
          <t>Năm 4</t>
        </is>
      </c>
      <c r="E159" s="45" t="inlineStr">
        <is>
          <t>2028_2029</t>
        </is>
      </c>
      <c r="F159" s="45" t="n">
        <v>1</v>
      </c>
      <c r="G159" s="46">
        <f>VLOOKUP(D159,'Cấu Hình Học Phí'!$A$8:$B$11,2,FALSE)</f>
        <v/>
      </c>
      <c r="H159" s="46">
        <f>F159*G159</f>
        <v/>
      </c>
      <c r="I159" s="45" t="n">
        <v>0</v>
      </c>
      <c r="J159" s="46">
        <f>I159*'Cấu Hình Học Phí'!$B$5</f>
        <v/>
      </c>
      <c r="K159" s="46" t="n">
        <v>0</v>
      </c>
      <c r="L159" s="46">
        <f>H159+J159-K159</f>
        <v/>
      </c>
      <c r="M159" s="46" t="n">
        <v>732050</v>
      </c>
      <c r="N159" s="46" t="n">
        <v>0</v>
      </c>
      <c r="O159" s="46">
        <f>MAX(0,M159-N159-L159)</f>
        <v/>
      </c>
      <c r="P159" s="46">
        <f>MAX(0,L159-(M159-N159))</f>
        <v/>
      </c>
      <c r="Q159" s="45" t="inlineStr">
        <is>
          <t>30/09/2028</t>
        </is>
      </c>
      <c r="R159" s="45" t="inlineStr">
        <is>
          <t>PT2028-00156</t>
        </is>
      </c>
      <c r="S159" s="45" t="inlineStr"/>
    </row>
    <row r="160">
      <c r="A160" s="45" t="inlineStr">
        <is>
          <t>251230913</t>
        </is>
      </c>
      <c r="B160" s="45" t="inlineStr">
        <is>
          <t>ĐỖ DUY MẠNH</t>
        </is>
      </c>
      <c r="C160" s="45" t="inlineStr">
        <is>
          <t>Công nghệ thông tin 1 K66</t>
        </is>
      </c>
      <c r="D160" s="45" t="inlineStr">
        <is>
          <t>Năm 1</t>
        </is>
      </c>
      <c r="E160" s="45" t="inlineStr">
        <is>
          <t>2025_2026</t>
        </is>
      </c>
      <c r="F160" s="45" t="n">
        <v>4</v>
      </c>
      <c r="G160" s="46">
        <f>VLOOKUP(D160,'Cấu Hình Học Phí'!$A$8:$B$11,2,FALSE)</f>
        <v/>
      </c>
      <c r="H160" s="46">
        <f>F160*G160</f>
        <v/>
      </c>
      <c r="I160" s="45" t="n">
        <v>0</v>
      </c>
      <c r="J160" s="46">
        <f>I160*'Cấu Hình Học Phí'!$B$5</f>
        <v/>
      </c>
      <c r="K160" s="46" t="n">
        <v>0</v>
      </c>
      <c r="L160" s="46">
        <f>H160+J160-K160</f>
        <v/>
      </c>
      <c r="M160" s="46" t="n">
        <v>2200000</v>
      </c>
      <c r="N160" s="46" t="n">
        <v>0</v>
      </c>
      <c r="O160" s="46">
        <f>MAX(0,M160-N160-L160)</f>
        <v/>
      </c>
      <c r="P160" s="46">
        <f>MAX(0,L160-(M160-N160))</f>
        <v/>
      </c>
      <c r="Q160" s="45" t="inlineStr">
        <is>
          <t>30/09/2025</t>
        </is>
      </c>
      <c r="R160" s="45" t="inlineStr">
        <is>
          <t>PT2025-00157</t>
        </is>
      </c>
      <c r="S160" s="45" t="inlineStr"/>
    </row>
    <row r="161">
      <c r="A161" s="45" t="inlineStr">
        <is>
          <t>251230913</t>
        </is>
      </c>
      <c r="B161" s="45" t="inlineStr">
        <is>
          <t>ĐỖ DUY MẠNH</t>
        </is>
      </c>
      <c r="C161" s="45" t="inlineStr">
        <is>
          <t>Công nghệ thông tin 1 K66</t>
        </is>
      </c>
      <c r="D161" s="45" t="inlineStr">
        <is>
          <t>Năm 2</t>
        </is>
      </c>
      <c r="E161" s="45" t="inlineStr">
        <is>
          <t>2026_2027</t>
        </is>
      </c>
      <c r="F161" s="45" t="n">
        <v>4</v>
      </c>
      <c r="G161" s="46">
        <f>VLOOKUP(D161,'Cấu Hình Học Phí'!$A$8:$B$11,2,FALSE)</f>
        <v/>
      </c>
      <c r="H161" s="46">
        <f>F161*G161</f>
        <v/>
      </c>
      <c r="I161" s="45" t="n">
        <v>0</v>
      </c>
      <c r="J161" s="46">
        <f>I161*'Cấu Hình Học Phí'!$B$5</f>
        <v/>
      </c>
      <c r="K161" s="46" t="n">
        <v>0</v>
      </c>
      <c r="L161" s="46">
        <f>H161+J161-K161</f>
        <v/>
      </c>
      <c r="M161" s="46" t="n">
        <v>2420000</v>
      </c>
      <c r="N161" s="46" t="n">
        <v>0</v>
      </c>
      <c r="O161" s="46">
        <f>MAX(0,M161-N161-L161)</f>
        <v/>
      </c>
      <c r="P161" s="46">
        <f>MAX(0,L161-(M161-N161))</f>
        <v/>
      </c>
      <c r="Q161" s="45" t="inlineStr">
        <is>
          <t>30/09/2026</t>
        </is>
      </c>
      <c r="R161" s="45" t="inlineStr">
        <is>
          <t>PT2026-00158</t>
        </is>
      </c>
      <c r="S161" s="45" t="inlineStr"/>
    </row>
    <row r="162">
      <c r="A162" s="45" t="inlineStr">
        <is>
          <t>251230913</t>
        </is>
      </c>
      <c r="B162" s="45" t="inlineStr">
        <is>
          <t>ĐỖ DUY MẠNH</t>
        </is>
      </c>
      <c r="C162" s="45" t="inlineStr">
        <is>
          <t>Công nghệ thông tin 1 K66</t>
        </is>
      </c>
      <c r="D162" s="45" t="inlineStr">
        <is>
          <t>Năm 3</t>
        </is>
      </c>
      <c r="E162" s="45" t="inlineStr">
        <is>
          <t>2027_2028</t>
        </is>
      </c>
      <c r="F162" s="45" t="n">
        <v>4</v>
      </c>
      <c r="G162" s="46">
        <f>VLOOKUP(D162,'Cấu Hình Học Phí'!$A$8:$B$11,2,FALSE)</f>
        <v/>
      </c>
      <c r="H162" s="46">
        <f>F162*G162</f>
        <v/>
      </c>
      <c r="I162" s="45" t="n">
        <v>0</v>
      </c>
      <c r="J162" s="46">
        <f>I162*'Cấu Hình Học Phí'!$B$5</f>
        <v/>
      </c>
      <c r="K162" s="46" t="n">
        <v>0</v>
      </c>
      <c r="L162" s="46">
        <f>H162+J162-K162</f>
        <v/>
      </c>
      <c r="M162" s="46" t="n">
        <v>2662000</v>
      </c>
      <c r="N162" s="46" t="n">
        <v>0</v>
      </c>
      <c r="O162" s="46">
        <f>MAX(0,M162-N162-L162)</f>
        <v/>
      </c>
      <c r="P162" s="46">
        <f>MAX(0,L162-(M162-N162))</f>
        <v/>
      </c>
      <c r="Q162" s="45" t="inlineStr">
        <is>
          <t>30/09/2027</t>
        </is>
      </c>
      <c r="R162" s="45" t="inlineStr">
        <is>
          <t>PT2027-00159</t>
        </is>
      </c>
      <c r="S162" s="45" t="inlineStr"/>
    </row>
    <row r="163">
      <c r="A163" s="45" t="inlineStr">
        <is>
          <t>251230913</t>
        </is>
      </c>
      <c r="B163" s="45" t="inlineStr">
        <is>
          <t>ĐỖ DUY MẠNH</t>
        </is>
      </c>
      <c r="C163" s="45" t="inlineStr">
        <is>
          <t>Công nghệ thông tin 1 K66</t>
        </is>
      </c>
      <c r="D163" s="45" t="inlineStr">
        <is>
          <t>Năm 4</t>
        </is>
      </c>
      <c r="E163" s="45" t="inlineStr">
        <is>
          <t>2028_2029</t>
        </is>
      </c>
      <c r="F163" s="45" t="n">
        <v>1</v>
      </c>
      <c r="G163" s="46">
        <f>VLOOKUP(D163,'Cấu Hình Học Phí'!$A$8:$B$11,2,FALSE)</f>
        <v/>
      </c>
      <c r="H163" s="46">
        <f>F163*G163</f>
        <v/>
      </c>
      <c r="I163" s="45" t="n">
        <v>0</v>
      </c>
      <c r="J163" s="46">
        <f>I163*'Cấu Hình Học Phí'!$B$5</f>
        <v/>
      </c>
      <c r="K163" s="46" t="n">
        <v>0</v>
      </c>
      <c r="L163" s="46">
        <f>H163+J163-K163</f>
        <v/>
      </c>
      <c r="M163" s="46" t="n">
        <v>732050</v>
      </c>
      <c r="N163" s="46" t="n">
        <v>0</v>
      </c>
      <c r="O163" s="46">
        <f>MAX(0,M163-N163-L163)</f>
        <v/>
      </c>
      <c r="P163" s="46">
        <f>MAX(0,L163-(M163-N163))</f>
        <v/>
      </c>
      <c r="Q163" s="45" t="inlineStr">
        <is>
          <t>30/09/2028</t>
        </is>
      </c>
      <c r="R163" s="45" t="inlineStr">
        <is>
          <t>PT2028-00160</t>
        </is>
      </c>
      <c r="S163" s="45" t="inlineStr"/>
    </row>
    <row r="164">
      <c r="A164" s="45" t="inlineStr">
        <is>
          <t>251230918</t>
        </is>
      </c>
      <c r="B164" s="45" t="inlineStr">
        <is>
          <t>TRẦN XUÂN MẠNH</t>
        </is>
      </c>
      <c r="C164" s="45" t="inlineStr">
        <is>
          <t>Công nghệ thông tin 1 K66</t>
        </is>
      </c>
      <c r="D164" s="45" t="inlineStr">
        <is>
          <t>Năm 1</t>
        </is>
      </c>
      <c r="E164" s="45" t="inlineStr">
        <is>
          <t>2025_2026</t>
        </is>
      </c>
      <c r="F164" s="45" t="n">
        <v>4</v>
      </c>
      <c r="G164" s="46">
        <f>VLOOKUP(D164,'Cấu Hình Học Phí'!$A$8:$B$11,2,FALSE)</f>
        <v/>
      </c>
      <c r="H164" s="46">
        <f>F164*G164</f>
        <v/>
      </c>
      <c r="I164" s="45" t="n">
        <v>0</v>
      </c>
      <c r="J164" s="46">
        <f>I164*'Cấu Hình Học Phí'!$B$5</f>
        <v/>
      </c>
      <c r="K164" s="46" t="n">
        <v>0</v>
      </c>
      <c r="L164" s="46">
        <f>H164+J164-K164</f>
        <v/>
      </c>
      <c r="M164" s="46" t="n">
        <v>2200000</v>
      </c>
      <c r="N164" s="46" t="n">
        <v>0</v>
      </c>
      <c r="O164" s="46">
        <f>MAX(0,M164-N164-L164)</f>
        <v/>
      </c>
      <c r="P164" s="46">
        <f>MAX(0,L164-(M164-N164))</f>
        <v/>
      </c>
      <c r="Q164" s="45" t="inlineStr">
        <is>
          <t>30/09/2025</t>
        </is>
      </c>
      <c r="R164" s="45" t="inlineStr">
        <is>
          <t>PT2025-00161</t>
        </is>
      </c>
      <c r="S164" s="45" t="inlineStr"/>
    </row>
    <row r="165">
      <c r="A165" s="45" t="inlineStr">
        <is>
          <t>251230918</t>
        </is>
      </c>
      <c r="B165" s="45" t="inlineStr">
        <is>
          <t>TRẦN XUÂN MẠNH</t>
        </is>
      </c>
      <c r="C165" s="45" t="inlineStr">
        <is>
          <t>Công nghệ thông tin 1 K66</t>
        </is>
      </c>
      <c r="D165" s="45" t="inlineStr">
        <is>
          <t>Năm 2</t>
        </is>
      </c>
      <c r="E165" s="45" t="inlineStr">
        <is>
          <t>2026_2027</t>
        </is>
      </c>
      <c r="F165" s="45" t="n">
        <v>4</v>
      </c>
      <c r="G165" s="46">
        <f>VLOOKUP(D165,'Cấu Hình Học Phí'!$A$8:$B$11,2,FALSE)</f>
        <v/>
      </c>
      <c r="H165" s="46">
        <f>F165*G165</f>
        <v/>
      </c>
      <c r="I165" s="45" t="n">
        <v>1</v>
      </c>
      <c r="J165" s="46">
        <f>I165*'Cấu Hình Học Phí'!$B$5</f>
        <v/>
      </c>
      <c r="K165" s="46" t="n">
        <v>0</v>
      </c>
      <c r="L165" s="46">
        <f>H165+J165-K165</f>
        <v/>
      </c>
      <c r="M165" s="46" t="n">
        <v>3420000</v>
      </c>
      <c r="N165" s="46" t="n">
        <v>0</v>
      </c>
      <c r="O165" s="46">
        <f>MAX(0,M165-N165-L165)</f>
        <v/>
      </c>
      <c r="P165" s="46">
        <f>MAX(0,L165-(M165-N165))</f>
        <v/>
      </c>
      <c r="Q165" s="45" t="inlineStr">
        <is>
          <t>30/09/2026</t>
        </is>
      </c>
      <c r="R165" s="45" t="inlineStr">
        <is>
          <t>PT2026-00162</t>
        </is>
      </c>
      <c r="S165" s="45" t="inlineStr"/>
    </row>
    <row r="166">
      <c r="A166" s="45" t="inlineStr">
        <is>
          <t>251230918</t>
        </is>
      </c>
      <c r="B166" s="45" t="inlineStr">
        <is>
          <t>TRẦN XUÂN MẠNH</t>
        </is>
      </c>
      <c r="C166" s="45" t="inlineStr">
        <is>
          <t>Công nghệ thông tin 1 K66</t>
        </is>
      </c>
      <c r="D166" s="45" t="inlineStr">
        <is>
          <t>Năm 3</t>
        </is>
      </c>
      <c r="E166" s="45" t="inlineStr">
        <is>
          <t>2027_2028</t>
        </is>
      </c>
      <c r="F166" s="45" t="n">
        <v>4</v>
      </c>
      <c r="G166" s="46">
        <f>VLOOKUP(D166,'Cấu Hình Học Phí'!$A$8:$B$11,2,FALSE)</f>
        <v/>
      </c>
      <c r="H166" s="46">
        <f>F166*G166</f>
        <v/>
      </c>
      <c r="I166" s="45" t="n">
        <v>1</v>
      </c>
      <c r="J166" s="46">
        <f>I166*'Cấu Hình Học Phí'!$B$5</f>
        <v/>
      </c>
      <c r="K166" s="46" t="n">
        <v>0</v>
      </c>
      <c r="L166" s="46">
        <f>H166+J166-K166</f>
        <v/>
      </c>
      <c r="M166" s="46" t="n">
        <v>3662000</v>
      </c>
      <c r="N166" s="46" t="n">
        <v>0</v>
      </c>
      <c r="O166" s="46">
        <f>MAX(0,M166-N166-L166)</f>
        <v/>
      </c>
      <c r="P166" s="46">
        <f>MAX(0,L166-(M166-N166))</f>
        <v/>
      </c>
      <c r="Q166" s="45" t="inlineStr">
        <is>
          <t>30/09/2027</t>
        </is>
      </c>
      <c r="R166" s="45" t="inlineStr">
        <is>
          <t>PT2027-00163</t>
        </is>
      </c>
      <c r="S166" s="45" t="inlineStr"/>
    </row>
    <row r="167">
      <c r="A167" s="45" t="inlineStr">
        <is>
          <t>251230918</t>
        </is>
      </c>
      <c r="B167" s="45" t="inlineStr">
        <is>
          <t>TRẦN XUÂN MẠNH</t>
        </is>
      </c>
      <c r="C167" s="45" t="inlineStr">
        <is>
          <t>Công nghệ thông tin 1 K66</t>
        </is>
      </c>
      <c r="D167" s="45" t="inlineStr">
        <is>
          <t>Năm 4</t>
        </is>
      </c>
      <c r="E167" s="45" t="inlineStr">
        <is>
          <t>2028_2029</t>
        </is>
      </c>
      <c r="F167" s="45" t="n">
        <v>1</v>
      </c>
      <c r="G167" s="46">
        <f>VLOOKUP(D167,'Cấu Hình Học Phí'!$A$8:$B$11,2,FALSE)</f>
        <v/>
      </c>
      <c r="H167" s="46">
        <f>F167*G167</f>
        <v/>
      </c>
      <c r="I167" s="45" t="n">
        <v>0</v>
      </c>
      <c r="J167" s="46">
        <f>I167*'Cấu Hình Học Phí'!$B$5</f>
        <v/>
      </c>
      <c r="K167" s="46" t="n">
        <v>0</v>
      </c>
      <c r="L167" s="46">
        <f>H167+J167-K167</f>
        <v/>
      </c>
      <c r="M167" s="46" t="n">
        <v>732050</v>
      </c>
      <c r="N167" s="46" t="n">
        <v>0</v>
      </c>
      <c r="O167" s="46">
        <f>MAX(0,M167-N167-L167)</f>
        <v/>
      </c>
      <c r="P167" s="46">
        <f>MAX(0,L167-(M167-N167))</f>
        <v/>
      </c>
      <c r="Q167" s="45" t="inlineStr">
        <is>
          <t>30/09/2028</t>
        </is>
      </c>
      <c r="R167" s="45" t="inlineStr">
        <is>
          <t>PT2028-00164</t>
        </is>
      </c>
      <c r="S167" s="45" t="inlineStr"/>
    </row>
    <row r="168">
      <c r="A168" s="45" t="inlineStr">
        <is>
          <t>251230925</t>
        </is>
      </c>
      <c r="B168" s="45" t="inlineStr">
        <is>
          <t>TRẦN THỊ MƠ</t>
        </is>
      </c>
      <c r="C168" s="45" t="inlineStr">
        <is>
          <t>Công nghệ thông tin 1 K66</t>
        </is>
      </c>
      <c r="D168" s="45" t="inlineStr">
        <is>
          <t>Năm 1</t>
        </is>
      </c>
      <c r="E168" s="45" t="inlineStr">
        <is>
          <t>2025_2026</t>
        </is>
      </c>
      <c r="F168" s="45" t="n">
        <v>4</v>
      </c>
      <c r="G168" s="46">
        <f>VLOOKUP(D168,'Cấu Hình Học Phí'!$A$8:$B$11,2,FALSE)</f>
        <v/>
      </c>
      <c r="H168" s="46">
        <f>F168*G168</f>
        <v/>
      </c>
      <c r="I168" s="45" t="n">
        <v>1</v>
      </c>
      <c r="J168" s="46">
        <f>I168*'Cấu Hình Học Phí'!$B$5</f>
        <v/>
      </c>
      <c r="K168" s="46" t="n">
        <v>0</v>
      </c>
      <c r="L168" s="46">
        <f>H168+J168-K168</f>
        <v/>
      </c>
      <c r="M168" s="46" t="n">
        <v>3200000</v>
      </c>
      <c r="N168" s="46" t="n">
        <v>0</v>
      </c>
      <c r="O168" s="46">
        <f>MAX(0,M168-N168-L168)</f>
        <v/>
      </c>
      <c r="P168" s="46">
        <f>MAX(0,L168-(M168-N168))</f>
        <v/>
      </c>
      <c r="Q168" s="45" t="inlineStr">
        <is>
          <t>30/09/2025</t>
        </is>
      </c>
      <c r="R168" s="45" t="inlineStr">
        <is>
          <t>PT2025-00165</t>
        </is>
      </c>
      <c r="S168" s="45" t="inlineStr"/>
    </row>
    <row r="169">
      <c r="A169" s="45" t="inlineStr">
        <is>
          <t>251230925</t>
        </is>
      </c>
      <c r="B169" s="45" t="inlineStr">
        <is>
          <t>TRẦN THỊ MƠ</t>
        </is>
      </c>
      <c r="C169" s="45" t="inlineStr">
        <is>
          <t>Công nghệ thông tin 1 K66</t>
        </is>
      </c>
      <c r="D169" s="45" t="inlineStr">
        <is>
          <t>Năm 2</t>
        </is>
      </c>
      <c r="E169" s="45" t="inlineStr">
        <is>
          <t>2026_2027</t>
        </is>
      </c>
      <c r="F169" s="45" t="n">
        <v>4</v>
      </c>
      <c r="G169" s="46">
        <f>VLOOKUP(D169,'Cấu Hình Học Phí'!$A$8:$B$11,2,FALSE)</f>
        <v/>
      </c>
      <c r="H169" s="46">
        <f>F169*G169</f>
        <v/>
      </c>
      <c r="I169" s="45" t="n">
        <v>1</v>
      </c>
      <c r="J169" s="46">
        <f>I169*'Cấu Hình Học Phí'!$B$5</f>
        <v/>
      </c>
      <c r="K169" s="46" t="n">
        <v>0</v>
      </c>
      <c r="L169" s="46">
        <f>H169+J169-K169</f>
        <v/>
      </c>
      <c r="M169" s="46" t="n">
        <v>3420000</v>
      </c>
      <c r="N169" s="46" t="n">
        <v>0</v>
      </c>
      <c r="O169" s="46">
        <f>MAX(0,M169-N169-L169)</f>
        <v/>
      </c>
      <c r="P169" s="46">
        <f>MAX(0,L169-(M169-N169))</f>
        <v/>
      </c>
      <c r="Q169" s="45" t="inlineStr">
        <is>
          <t>30/09/2026</t>
        </is>
      </c>
      <c r="R169" s="45" t="inlineStr">
        <is>
          <t>PT2026-00166</t>
        </is>
      </c>
      <c r="S169" s="45" t="inlineStr"/>
    </row>
    <row r="170">
      <c r="A170" s="45" t="inlineStr">
        <is>
          <t>251230925</t>
        </is>
      </c>
      <c r="B170" s="45" t="inlineStr">
        <is>
          <t>TRẦN THỊ MƠ</t>
        </is>
      </c>
      <c r="C170" s="45" t="inlineStr">
        <is>
          <t>Công nghệ thông tin 1 K66</t>
        </is>
      </c>
      <c r="D170" s="45" t="inlineStr">
        <is>
          <t>Năm 3</t>
        </is>
      </c>
      <c r="E170" s="45" t="inlineStr">
        <is>
          <t>2027_2028</t>
        </is>
      </c>
      <c r="F170" s="45" t="n">
        <v>4</v>
      </c>
      <c r="G170" s="46">
        <f>VLOOKUP(D170,'Cấu Hình Học Phí'!$A$8:$B$11,2,FALSE)</f>
        <v/>
      </c>
      <c r="H170" s="46">
        <f>F170*G170</f>
        <v/>
      </c>
      <c r="I170" s="45" t="n">
        <v>0</v>
      </c>
      <c r="J170" s="46">
        <f>I170*'Cấu Hình Học Phí'!$B$5</f>
        <v/>
      </c>
      <c r="K170" s="46" t="n">
        <v>0</v>
      </c>
      <c r="L170" s="46">
        <f>H170+J170-K170</f>
        <v/>
      </c>
      <c r="M170" s="46" t="n">
        <v>2662000</v>
      </c>
      <c r="N170" s="46" t="n">
        <v>0</v>
      </c>
      <c r="O170" s="46">
        <f>MAX(0,M170-N170-L170)</f>
        <v/>
      </c>
      <c r="P170" s="46">
        <f>MAX(0,L170-(M170-N170))</f>
        <v/>
      </c>
      <c r="Q170" s="45" t="inlineStr">
        <is>
          <t>30/09/2027</t>
        </is>
      </c>
      <c r="R170" s="45" t="inlineStr">
        <is>
          <t>PT2027-00167</t>
        </is>
      </c>
      <c r="S170" s="45" t="inlineStr"/>
    </row>
    <row r="171">
      <c r="A171" s="45" t="inlineStr">
        <is>
          <t>251230925</t>
        </is>
      </c>
      <c r="B171" s="45" t="inlineStr">
        <is>
          <t>TRẦN THỊ MƠ</t>
        </is>
      </c>
      <c r="C171" s="45" t="inlineStr">
        <is>
          <t>Công nghệ thông tin 1 K66</t>
        </is>
      </c>
      <c r="D171" s="45" t="inlineStr">
        <is>
          <t>Năm 4</t>
        </is>
      </c>
      <c r="E171" s="45" t="inlineStr">
        <is>
          <t>2028_2029</t>
        </is>
      </c>
      <c r="F171" s="45" t="n">
        <v>1</v>
      </c>
      <c r="G171" s="46">
        <f>VLOOKUP(D171,'Cấu Hình Học Phí'!$A$8:$B$11,2,FALSE)</f>
        <v/>
      </c>
      <c r="H171" s="46">
        <f>F171*G171</f>
        <v/>
      </c>
      <c r="I171" s="45" t="n">
        <v>1</v>
      </c>
      <c r="J171" s="46">
        <f>I171*'Cấu Hình Học Phí'!$B$5</f>
        <v/>
      </c>
      <c r="K171" s="46" t="n">
        <v>0</v>
      </c>
      <c r="L171" s="46">
        <f>H171+J171-K171</f>
        <v/>
      </c>
      <c r="M171" s="46" t="n">
        <v>1732050</v>
      </c>
      <c r="N171" s="46" t="n">
        <v>0</v>
      </c>
      <c r="O171" s="46">
        <f>MAX(0,M171-N171-L171)</f>
        <v/>
      </c>
      <c r="P171" s="46">
        <f>MAX(0,L171-(M171-N171))</f>
        <v/>
      </c>
      <c r="Q171" s="45" t="inlineStr">
        <is>
          <t>30/09/2028</t>
        </is>
      </c>
      <c r="R171" s="45" t="inlineStr">
        <is>
          <t>PT2028-00168</t>
        </is>
      </c>
      <c r="S171" s="45" t="inlineStr"/>
    </row>
    <row r="172">
      <c r="A172" s="45" t="inlineStr">
        <is>
          <t>251230938</t>
        </is>
      </c>
      <c r="B172" s="45" t="inlineStr">
        <is>
          <t>BÙI HUY PHONG</t>
        </is>
      </c>
      <c r="C172" s="45" t="inlineStr">
        <is>
          <t>Công nghệ thông tin 1 K66</t>
        </is>
      </c>
      <c r="D172" s="45" t="inlineStr">
        <is>
          <t>Năm 1</t>
        </is>
      </c>
      <c r="E172" s="45" t="inlineStr">
        <is>
          <t>2025_2026</t>
        </is>
      </c>
      <c r="F172" s="45" t="n">
        <v>4</v>
      </c>
      <c r="G172" s="46">
        <f>VLOOKUP(D172,'Cấu Hình Học Phí'!$A$8:$B$11,2,FALSE)</f>
        <v/>
      </c>
      <c r="H172" s="46">
        <f>F172*G172</f>
        <v/>
      </c>
      <c r="I172" s="45" t="n">
        <v>1</v>
      </c>
      <c r="J172" s="46">
        <f>I172*'Cấu Hình Học Phí'!$B$5</f>
        <v/>
      </c>
      <c r="K172" s="46" t="n">
        <v>0</v>
      </c>
      <c r="L172" s="46">
        <f>H172+J172-K172</f>
        <v/>
      </c>
      <c r="M172" s="46" t="n">
        <v>2200000</v>
      </c>
      <c r="N172" s="46" t="n">
        <v>0</v>
      </c>
      <c r="O172" s="46">
        <f>MAX(0,M172-N172-L172)</f>
        <v/>
      </c>
      <c r="P172" s="46">
        <f>MAX(0,L172-(M172-N172))</f>
        <v/>
      </c>
      <c r="Q172" s="45" t="inlineStr">
        <is>
          <t>30/09/2025</t>
        </is>
      </c>
      <c r="R172" s="45" t="inlineStr">
        <is>
          <t>PT2025-00169</t>
        </is>
      </c>
      <c r="S172" s="45" t="inlineStr">
        <is>
          <t>Chưa nộp phí phụ đạo 1 môn</t>
        </is>
      </c>
    </row>
    <row r="173">
      <c r="A173" s="45" t="inlineStr">
        <is>
          <t>251230938</t>
        </is>
      </c>
      <c r="B173" s="45" t="inlineStr">
        <is>
          <t>BÙI HUY PHONG</t>
        </is>
      </c>
      <c r="C173" s="45" t="inlineStr">
        <is>
          <t>Công nghệ thông tin 1 K66</t>
        </is>
      </c>
      <c r="D173" s="45" t="inlineStr">
        <is>
          <t>Năm 2</t>
        </is>
      </c>
      <c r="E173" s="45" t="inlineStr">
        <is>
          <t>2026_2027</t>
        </is>
      </c>
      <c r="F173" s="45" t="n">
        <v>4</v>
      </c>
      <c r="G173" s="46">
        <f>VLOOKUP(D173,'Cấu Hình Học Phí'!$A$8:$B$11,2,FALSE)</f>
        <v/>
      </c>
      <c r="H173" s="46">
        <f>F173*G173</f>
        <v/>
      </c>
      <c r="I173" s="45" t="n">
        <v>0</v>
      </c>
      <c r="J173" s="46">
        <f>I173*'Cấu Hình Học Phí'!$B$5</f>
        <v/>
      </c>
      <c r="K173" s="46" t="n">
        <v>0</v>
      </c>
      <c r="L173" s="46">
        <f>H173+J173-K173</f>
        <v/>
      </c>
      <c r="M173" s="46" t="n">
        <v>2420000</v>
      </c>
      <c r="N173" s="46" t="n">
        <v>0</v>
      </c>
      <c r="O173" s="46">
        <f>MAX(0,M173-N173-L173)</f>
        <v/>
      </c>
      <c r="P173" s="46">
        <f>MAX(0,L173-(M173-N173))</f>
        <v/>
      </c>
      <c r="Q173" s="45" t="inlineStr">
        <is>
          <t>30/09/2026</t>
        </is>
      </c>
      <c r="R173" s="45" t="inlineStr">
        <is>
          <t>PT2026-00170</t>
        </is>
      </c>
      <c r="S173" s="45" t="inlineStr"/>
    </row>
    <row r="174">
      <c r="A174" s="45" t="inlineStr">
        <is>
          <t>251230938</t>
        </is>
      </c>
      <c r="B174" s="45" t="inlineStr">
        <is>
          <t>BÙI HUY PHONG</t>
        </is>
      </c>
      <c r="C174" s="45" t="inlineStr">
        <is>
          <t>Công nghệ thông tin 1 K66</t>
        </is>
      </c>
      <c r="D174" s="45" t="inlineStr">
        <is>
          <t>Năm 3</t>
        </is>
      </c>
      <c r="E174" s="45" t="inlineStr">
        <is>
          <t>2027_2028</t>
        </is>
      </c>
      <c r="F174" s="45" t="n">
        <v>4</v>
      </c>
      <c r="G174" s="46">
        <f>VLOOKUP(D174,'Cấu Hình Học Phí'!$A$8:$B$11,2,FALSE)</f>
        <v/>
      </c>
      <c r="H174" s="46">
        <f>F174*G174</f>
        <v/>
      </c>
      <c r="I174" s="45" t="n">
        <v>0</v>
      </c>
      <c r="J174" s="46">
        <f>I174*'Cấu Hình Học Phí'!$B$5</f>
        <v/>
      </c>
      <c r="K174" s="46" t="n">
        <v>0</v>
      </c>
      <c r="L174" s="46">
        <f>H174+J174-K174</f>
        <v/>
      </c>
      <c r="M174" s="46" t="n">
        <v>2662000</v>
      </c>
      <c r="N174" s="46" t="n">
        <v>0</v>
      </c>
      <c r="O174" s="46">
        <f>MAX(0,M174-N174-L174)</f>
        <v/>
      </c>
      <c r="P174" s="46">
        <f>MAX(0,L174-(M174-N174))</f>
        <v/>
      </c>
      <c r="Q174" s="45" t="inlineStr">
        <is>
          <t>30/09/2027</t>
        </is>
      </c>
      <c r="R174" s="45" t="inlineStr">
        <is>
          <t>PT2027-00171</t>
        </is>
      </c>
      <c r="S174" s="45" t="inlineStr"/>
    </row>
    <row r="175">
      <c r="A175" s="45" t="inlineStr">
        <is>
          <t>251230938</t>
        </is>
      </c>
      <c r="B175" s="45" t="inlineStr">
        <is>
          <t>BÙI HUY PHONG</t>
        </is>
      </c>
      <c r="C175" s="45" t="inlineStr">
        <is>
          <t>Công nghệ thông tin 1 K66</t>
        </is>
      </c>
      <c r="D175" s="45" t="inlineStr">
        <is>
          <t>Năm 4</t>
        </is>
      </c>
      <c r="E175" s="45" t="inlineStr">
        <is>
          <t>2028_2029</t>
        </is>
      </c>
      <c r="F175" s="45" t="n">
        <v>1</v>
      </c>
      <c r="G175" s="46">
        <f>VLOOKUP(D175,'Cấu Hình Học Phí'!$A$8:$B$11,2,FALSE)</f>
        <v/>
      </c>
      <c r="H175" s="46">
        <f>F175*G175</f>
        <v/>
      </c>
      <c r="I175" s="45" t="n">
        <v>1</v>
      </c>
      <c r="J175" s="46">
        <f>I175*'Cấu Hình Học Phí'!$B$5</f>
        <v/>
      </c>
      <c r="K175" s="46" t="n">
        <v>0</v>
      </c>
      <c r="L175" s="46">
        <f>H175+J175-K175</f>
        <v/>
      </c>
      <c r="M175" s="46" t="n">
        <v>1732050</v>
      </c>
      <c r="N175" s="46" t="n">
        <v>0</v>
      </c>
      <c r="O175" s="46">
        <f>MAX(0,M175-N175-L175)</f>
        <v/>
      </c>
      <c r="P175" s="46">
        <f>MAX(0,L175-(M175-N175))</f>
        <v/>
      </c>
      <c r="Q175" s="45" t="inlineStr">
        <is>
          <t>30/09/2028</t>
        </is>
      </c>
      <c r="R175" s="45" t="inlineStr">
        <is>
          <t>PT2028-00172</t>
        </is>
      </c>
      <c r="S175" s="45" t="inlineStr"/>
    </row>
    <row r="176">
      <c r="A176" s="45" t="inlineStr">
        <is>
          <t>251230940</t>
        </is>
      </c>
      <c r="B176" s="45" t="inlineStr">
        <is>
          <t>LÊ TUẤN PHONG</t>
        </is>
      </c>
      <c r="C176" s="45" t="inlineStr">
        <is>
          <t>Công nghệ thông tin 1 K66</t>
        </is>
      </c>
      <c r="D176" s="45" t="inlineStr">
        <is>
          <t>Năm 1</t>
        </is>
      </c>
      <c r="E176" s="45" t="inlineStr">
        <is>
          <t>2025_2026</t>
        </is>
      </c>
      <c r="F176" s="45" t="n">
        <v>4</v>
      </c>
      <c r="G176" s="46">
        <f>VLOOKUP(D176,'Cấu Hình Học Phí'!$A$8:$B$11,2,FALSE)</f>
        <v/>
      </c>
      <c r="H176" s="46">
        <f>F176*G176</f>
        <v/>
      </c>
      <c r="I176" s="45" t="n">
        <v>1</v>
      </c>
      <c r="J176" s="46">
        <f>I176*'Cấu Hình Học Phí'!$B$5</f>
        <v/>
      </c>
      <c r="K176" s="46" t="n">
        <v>0</v>
      </c>
      <c r="L176" s="46">
        <f>H176+J176-K176</f>
        <v/>
      </c>
      <c r="M176" s="46" t="n">
        <v>3200000</v>
      </c>
      <c r="N176" s="46" t="n">
        <v>0</v>
      </c>
      <c r="O176" s="46">
        <f>MAX(0,M176-N176-L176)</f>
        <v/>
      </c>
      <c r="P176" s="46">
        <f>MAX(0,L176-(M176-N176))</f>
        <v/>
      </c>
      <c r="Q176" s="45" t="inlineStr">
        <is>
          <t>30/09/2025</t>
        </is>
      </c>
      <c r="R176" s="45" t="inlineStr">
        <is>
          <t>PT2025-00173</t>
        </is>
      </c>
      <c r="S176" s="45" t="inlineStr"/>
    </row>
    <row r="177">
      <c r="A177" s="45" t="inlineStr">
        <is>
          <t>251230940</t>
        </is>
      </c>
      <c r="B177" s="45" t="inlineStr">
        <is>
          <t>LÊ TUẤN PHONG</t>
        </is>
      </c>
      <c r="C177" s="45" t="inlineStr">
        <is>
          <t>Công nghệ thông tin 1 K66</t>
        </is>
      </c>
      <c r="D177" s="45" t="inlineStr">
        <is>
          <t>Năm 2</t>
        </is>
      </c>
      <c r="E177" s="45" t="inlineStr">
        <is>
          <t>2026_2027</t>
        </is>
      </c>
      <c r="F177" s="45" t="n">
        <v>4</v>
      </c>
      <c r="G177" s="46">
        <f>VLOOKUP(D177,'Cấu Hình Học Phí'!$A$8:$B$11,2,FALSE)</f>
        <v/>
      </c>
      <c r="H177" s="46">
        <f>F177*G177</f>
        <v/>
      </c>
      <c r="I177" s="45" t="n">
        <v>0</v>
      </c>
      <c r="J177" s="46">
        <f>I177*'Cấu Hình Học Phí'!$B$5</f>
        <v/>
      </c>
      <c r="K177" s="46" t="n">
        <v>0</v>
      </c>
      <c r="L177" s="46">
        <f>H177+J177-K177</f>
        <v/>
      </c>
      <c r="M177" s="46" t="n">
        <v>2420000</v>
      </c>
      <c r="N177" s="46" t="n">
        <v>0</v>
      </c>
      <c r="O177" s="46">
        <f>MAX(0,M177-N177-L177)</f>
        <v/>
      </c>
      <c r="P177" s="46">
        <f>MAX(0,L177-(M177-N177))</f>
        <v/>
      </c>
      <c r="Q177" s="45" t="inlineStr">
        <is>
          <t>30/09/2026</t>
        </is>
      </c>
      <c r="R177" s="45" t="inlineStr">
        <is>
          <t>PT2026-00174</t>
        </is>
      </c>
      <c r="S177" s="45" t="inlineStr"/>
    </row>
    <row r="178">
      <c r="A178" s="45" t="inlineStr">
        <is>
          <t>251230940</t>
        </is>
      </c>
      <c r="B178" s="45" t="inlineStr">
        <is>
          <t>LÊ TUẤN PHONG</t>
        </is>
      </c>
      <c r="C178" s="45" t="inlineStr">
        <is>
          <t>Công nghệ thông tin 1 K66</t>
        </is>
      </c>
      <c r="D178" s="45" t="inlineStr">
        <is>
          <t>Năm 3</t>
        </is>
      </c>
      <c r="E178" s="45" t="inlineStr">
        <is>
          <t>2027_2028</t>
        </is>
      </c>
      <c r="F178" s="45" t="n">
        <v>4</v>
      </c>
      <c r="G178" s="46">
        <f>VLOOKUP(D178,'Cấu Hình Học Phí'!$A$8:$B$11,2,FALSE)</f>
        <v/>
      </c>
      <c r="H178" s="46">
        <f>F178*G178</f>
        <v/>
      </c>
      <c r="I178" s="45" t="n">
        <v>0</v>
      </c>
      <c r="J178" s="46">
        <f>I178*'Cấu Hình Học Phí'!$B$5</f>
        <v/>
      </c>
      <c r="K178" s="46" t="n">
        <v>0</v>
      </c>
      <c r="L178" s="46">
        <f>H178+J178-K178</f>
        <v/>
      </c>
      <c r="M178" s="46" t="n">
        <v>2662000</v>
      </c>
      <c r="N178" s="46" t="n">
        <v>0</v>
      </c>
      <c r="O178" s="46">
        <f>MAX(0,M178-N178-L178)</f>
        <v/>
      </c>
      <c r="P178" s="46">
        <f>MAX(0,L178-(M178-N178))</f>
        <v/>
      </c>
      <c r="Q178" s="45" t="inlineStr">
        <is>
          <t>30/09/2027</t>
        </is>
      </c>
      <c r="R178" s="45" t="inlineStr">
        <is>
          <t>PT2027-00175</t>
        </is>
      </c>
      <c r="S178" s="45" t="inlineStr"/>
    </row>
    <row r="179">
      <c r="A179" s="45" t="inlineStr">
        <is>
          <t>251230940</t>
        </is>
      </c>
      <c r="B179" s="45" t="inlineStr">
        <is>
          <t>LÊ TUẤN PHONG</t>
        </is>
      </c>
      <c r="C179" s="45" t="inlineStr">
        <is>
          <t>Công nghệ thông tin 1 K66</t>
        </is>
      </c>
      <c r="D179" s="45" t="inlineStr">
        <is>
          <t>Năm 4</t>
        </is>
      </c>
      <c r="E179" s="45" t="inlineStr">
        <is>
          <t>2028_2029</t>
        </is>
      </c>
      <c r="F179" s="45" t="n">
        <v>1</v>
      </c>
      <c r="G179" s="46">
        <f>VLOOKUP(D179,'Cấu Hình Học Phí'!$A$8:$B$11,2,FALSE)</f>
        <v/>
      </c>
      <c r="H179" s="46">
        <f>F179*G179</f>
        <v/>
      </c>
      <c r="I179" s="45" t="n">
        <v>0</v>
      </c>
      <c r="J179" s="46">
        <f>I179*'Cấu Hình Học Phí'!$B$5</f>
        <v/>
      </c>
      <c r="K179" s="46" t="n">
        <v>0</v>
      </c>
      <c r="L179" s="46">
        <f>H179+J179-K179</f>
        <v/>
      </c>
      <c r="M179" s="46" t="n">
        <v>732050</v>
      </c>
      <c r="N179" s="46" t="n">
        <v>0</v>
      </c>
      <c r="O179" s="46">
        <f>MAX(0,M179-N179-L179)</f>
        <v/>
      </c>
      <c r="P179" s="46">
        <f>MAX(0,L179-(M179-N179))</f>
        <v/>
      </c>
      <c r="Q179" s="45" t="inlineStr">
        <is>
          <t>30/09/2028</t>
        </is>
      </c>
      <c r="R179" s="45" t="inlineStr">
        <is>
          <t>PT2028-00176</t>
        </is>
      </c>
      <c r="S179" s="45" t="inlineStr"/>
    </row>
    <row r="180">
      <c r="A180" s="45" t="inlineStr">
        <is>
          <t>251230947</t>
        </is>
      </c>
      <c r="B180" s="45" t="inlineStr">
        <is>
          <t>NGUYỄN VINH QUANG</t>
        </is>
      </c>
      <c r="C180" s="45" t="inlineStr">
        <is>
          <t>Công nghệ thông tin 1 K66</t>
        </is>
      </c>
      <c r="D180" s="45" t="inlineStr">
        <is>
          <t>Năm 1</t>
        </is>
      </c>
      <c r="E180" s="45" t="inlineStr">
        <is>
          <t>2025_2026</t>
        </is>
      </c>
      <c r="F180" s="45" t="n">
        <v>4</v>
      </c>
      <c r="G180" s="46">
        <f>VLOOKUP(D180,'Cấu Hình Học Phí'!$A$8:$B$11,2,FALSE)</f>
        <v/>
      </c>
      <c r="H180" s="46">
        <f>F180*G180</f>
        <v/>
      </c>
      <c r="I180" s="45" t="n">
        <v>1</v>
      </c>
      <c r="J180" s="46">
        <f>I180*'Cấu Hình Học Phí'!$B$5</f>
        <v/>
      </c>
      <c r="K180" s="46" t="n">
        <v>0</v>
      </c>
      <c r="L180" s="46">
        <f>H180+J180-K180</f>
        <v/>
      </c>
      <c r="M180" s="46" t="n">
        <v>2200000</v>
      </c>
      <c r="N180" s="46" t="n">
        <v>0</v>
      </c>
      <c r="O180" s="46">
        <f>MAX(0,M180-N180-L180)</f>
        <v/>
      </c>
      <c r="P180" s="46">
        <f>MAX(0,L180-(M180-N180))</f>
        <v/>
      </c>
      <c r="Q180" s="45" t="inlineStr">
        <is>
          <t>30/09/2025</t>
        </is>
      </c>
      <c r="R180" s="45" t="inlineStr">
        <is>
          <t>PT2025-00177</t>
        </is>
      </c>
      <c r="S180" s="45" t="inlineStr">
        <is>
          <t>Chưa nộp phí phụ đạo 1 môn</t>
        </is>
      </c>
    </row>
    <row r="181">
      <c r="A181" s="45" t="inlineStr">
        <is>
          <t>251230947</t>
        </is>
      </c>
      <c r="B181" s="45" t="inlineStr">
        <is>
          <t>NGUYỄN VINH QUANG</t>
        </is>
      </c>
      <c r="C181" s="45" t="inlineStr">
        <is>
          <t>Công nghệ thông tin 1 K66</t>
        </is>
      </c>
      <c r="D181" s="45" t="inlineStr">
        <is>
          <t>Năm 2</t>
        </is>
      </c>
      <c r="E181" s="45" t="inlineStr">
        <is>
          <t>2026_2027</t>
        </is>
      </c>
      <c r="F181" s="45" t="n">
        <v>4</v>
      </c>
      <c r="G181" s="46">
        <f>VLOOKUP(D181,'Cấu Hình Học Phí'!$A$8:$B$11,2,FALSE)</f>
        <v/>
      </c>
      <c r="H181" s="46">
        <f>F181*G181</f>
        <v/>
      </c>
      <c r="I181" s="45" t="n">
        <v>1</v>
      </c>
      <c r="J181" s="46">
        <f>I181*'Cấu Hình Học Phí'!$B$5</f>
        <v/>
      </c>
      <c r="K181" s="46" t="n">
        <v>0</v>
      </c>
      <c r="L181" s="46">
        <f>H181+J181-K181</f>
        <v/>
      </c>
      <c r="M181" s="46" t="n">
        <v>2420000</v>
      </c>
      <c r="N181" s="46" t="n">
        <v>0</v>
      </c>
      <c r="O181" s="46">
        <f>MAX(0,M181-N181-L181)</f>
        <v/>
      </c>
      <c r="P181" s="46">
        <f>MAX(0,L181-(M181-N181))</f>
        <v/>
      </c>
      <c r="Q181" s="45" t="inlineStr">
        <is>
          <t>30/09/2026</t>
        </is>
      </c>
      <c r="R181" s="45" t="inlineStr">
        <is>
          <t>PT2026-00178</t>
        </is>
      </c>
      <c r="S181" s="45" t="inlineStr">
        <is>
          <t>Chưa nộp phí phụ đạo 1 môn</t>
        </is>
      </c>
    </row>
    <row r="182">
      <c r="A182" s="45" t="inlineStr">
        <is>
          <t>251230947</t>
        </is>
      </c>
      <c r="B182" s="45" t="inlineStr">
        <is>
          <t>NGUYỄN VINH QUANG</t>
        </is>
      </c>
      <c r="C182" s="45" t="inlineStr">
        <is>
          <t>Công nghệ thông tin 1 K66</t>
        </is>
      </c>
      <c r="D182" s="45" t="inlineStr">
        <is>
          <t>Năm 3</t>
        </is>
      </c>
      <c r="E182" s="45" t="inlineStr">
        <is>
          <t>2027_2028</t>
        </is>
      </c>
      <c r="F182" s="45" t="n">
        <v>4</v>
      </c>
      <c r="G182" s="46">
        <f>VLOOKUP(D182,'Cấu Hình Học Phí'!$A$8:$B$11,2,FALSE)</f>
        <v/>
      </c>
      <c r="H182" s="46">
        <f>F182*G182</f>
        <v/>
      </c>
      <c r="I182" s="45" t="n">
        <v>0</v>
      </c>
      <c r="J182" s="46">
        <f>I182*'Cấu Hình Học Phí'!$B$5</f>
        <v/>
      </c>
      <c r="K182" s="46" t="n">
        <v>0</v>
      </c>
      <c r="L182" s="46">
        <f>H182+J182-K182</f>
        <v/>
      </c>
      <c r="M182" s="46" t="n">
        <v>2662000</v>
      </c>
      <c r="N182" s="46" t="n">
        <v>0</v>
      </c>
      <c r="O182" s="46">
        <f>MAX(0,M182-N182-L182)</f>
        <v/>
      </c>
      <c r="P182" s="46">
        <f>MAX(0,L182-(M182-N182))</f>
        <v/>
      </c>
      <c r="Q182" s="45" t="inlineStr">
        <is>
          <t>30/09/2027</t>
        </is>
      </c>
      <c r="R182" s="45" t="inlineStr">
        <is>
          <t>PT2027-00179</t>
        </is>
      </c>
      <c r="S182" s="45" t="inlineStr"/>
    </row>
    <row r="183">
      <c r="A183" s="45" t="inlineStr">
        <is>
          <t>251230947</t>
        </is>
      </c>
      <c r="B183" s="45" t="inlineStr">
        <is>
          <t>NGUYỄN VINH QUANG</t>
        </is>
      </c>
      <c r="C183" s="45" t="inlineStr">
        <is>
          <t>Công nghệ thông tin 1 K66</t>
        </is>
      </c>
      <c r="D183" s="45" t="inlineStr">
        <is>
          <t>Năm 4</t>
        </is>
      </c>
      <c r="E183" s="45" t="inlineStr">
        <is>
          <t>2028_2029</t>
        </is>
      </c>
      <c r="F183" s="45" t="n">
        <v>1</v>
      </c>
      <c r="G183" s="46">
        <f>VLOOKUP(D183,'Cấu Hình Học Phí'!$A$8:$B$11,2,FALSE)</f>
        <v/>
      </c>
      <c r="H183" s="46">
        <f>F183*G183</f>
        <v/>
      </c>
      <c r="I183" s="45" t="n">
        <v>0</v>
      </c>
      <c r="J183" s="46">
        <f>I183*'Cấu Hình Học Phí'!$B$5</f>
        <v/>
      </c>
      <c r="K183" s="46" t="n">
        <v>0</v>
      </c>
      <c r="L183" s="46">
        <f>H183+J183-K183</f>
        <v/>
      </c>
      <c r="M183" s="46" t="n">
        <v>732050</v>
      </c>
      <c r="N183" s="46" t="n">
        <v>0</v>
      </c>
      <c r="O183" s="46">
        <f>MAX(0,M183-N183-L183)</f>
        <v/>
      </c>
      <c r="P183" s="46">
        <f>MAX(0,L183-(M183-N183))</f>
        <v/>
      </c>
      <c r="Q183" s="45" t="inlineStr">
        <is>
          <t>30/09/2028</t>
        </is>
      </c>
      <c r="R183" s="45" t="inlineStr">
        <is>
          <t>PT2028-00180</t>
        </is>
      </c>
      <c r="S183" s="45" t="inlineStr"/>
    </row>
    <row r="184">
      <c r="A184" s="45" t="inlineStr">
        <is>
          <t>251230948</t>
        </is>
      </c>
      <c r="B184" s="45" t="inlineStr">
        <is>
          <t>PHAN ĐỨC NHẬT QUANG</t>
        </is>
      </c>
      <c r="C184" s="45" t="inlineStr">
        <is>
          <t>Công nghệ thông tin 1 K66</t>
        </is>
      </c>
      <c r="D184" s="45" t="inlineStr">
        <is>
          <t>Năm 1</t>
        </is>
      </c>
      <c r="E184" s="45" t="inlineStr">
        <is>
          <t>2025_2026</t>
        </is>
      </c>
      <c r="F184" s="45" t="n">
        <v>4</v>
      </c>
      <c r="G184" s="46">
        <f>VLOOKUP(D184,'Cấu Hình Học Phí'!$A$8:$B$11,2,FALSE)</f>
        <v/>
      </c>
      <c r="H184" s="46">
        <f>F184*G184</f>
        <v/>
      </c>
      <c r="I184" s="45" t="n">
        <v>1</v>
      </c>
      <c r="J184" s="46">
        <f>I184*'Cấu Hình Học Phí'!$B$5</f>
        <v/>
      </c>
      <c r="K184" s="46" t="n">
        <v>0</v>
      </c>
      <c r="L184" s="46">
        <f>H184+J184-K184</f>
        <v/>
      </c>
      <c r="M184" s="46" t="n">
        <v>3200000</v>
      </c>
      <c r="N184" s="46" t="n">
        <v>0</v>
      </c>
      <c r="O184" s="46">
        <f>MAX(0,M184-N184-L184)</f>
        <v/>
      </c>
      <c r="P184" s="46">
        <f>MAX(0,L184-(M184-N184))</f>
        <v/>
      </c>
      <c r="Q184" s="45" t="inlineStr">
        <is>
          <t>30/09/2025</t>
        </is>
      </c>
      <c r="R184" s="45" t="inlineStr">
        <is>
          <t>PT2025-00181</t>
        </is>
      </c>
      <c r="S184" s="45" t="inlineStr"/>
    </row>
    <row r="185">
      <c r="A185" s="45" t="inlineStr">
        <is>
          <t>251230948</t>
        </is>
      </c>
      <c r="B185" s="45" t="inlineStr">
        <is>
          <t>PHAN ĐỨC NHẬT QUANG</t>
        </is>
      </c>
      <c r="C185" s="45" t="inlineStr">
        <is>
          <t>Công nghệ thông tin 1 K66</t>
        </is>
      </c>
      <c r="D185" s="45" t="inlineStr">
        <is>
          <t>Năm 2</t>
        </is>
      </c>
      <c r="E185" s="45" t="inlineStr">
        <is>
          <t>2026_2027</t>
        </is>
      </c>
      <c r="F185" s="45" t="n">
        <v>4</v>
      </c>
      <c r="G185" s="46">
        <f>VLOOKUP(D185,'Cấu Hình Học Phí'!$A$8:$B$11,2,FALSE)</f>
        <v/>
      </c>
      <c r="H185" s="46">
        <f>F185*G185</f>
        <v/>
      </c>
      <c r="I185" s="45" t="n">
        <v>1</v>
      </c>
      <c r="J185" s="46">
        <f>I185*'Cấu Hình Học Phí'!$B$5</f>
        <v/>
      </c>
      <c r="K185" s="46" t="n">
        <v>0</v>
      </c>
      <c r="L185" s="46">
        <f>H185+J185-K185</f>
        <v/>
      </c>
      <c r="M185" s="46" t="n">
        <v>2420000</v>
      </c>
      <c r="N185" s="46" t="n">
        <v>0</v>
      </c>
      <c r="O185" s="46">
        <f>MAX(0,M185-N185-L185)</f>
        <v/>
      </c>
      <c r="P185" s="46">
        <f>MAX(0,L185-(M185-N185))</f>
        <v/>
      </c>
      <c r="Q185" s="45" t="inlineStr">
        <is>
          <t>30/09/2026</t>
        </is>
      </c>
      <c r="R185" s="45" t="inlineStr">
        <is>
          <t>PT2026-00182</t>
        </is>
      </c>
      <c r="S185" s="45" t="inlineStr">
        <is>
          <t>Chưa nộp phí phụ đạo 1 môn</t>
        </is>
      </c>
    </row>
    <row r="186">
      <c r="A186" s="45" t="inlineStr">
        <is>
          <t>251230948</t>
        </is>
      </c>
      <c r="B186" s="45" t="inlineStr">
        <is>
          <t>PHAN ĐỨC NHẬT QUANG</t>
        </is>
      </c>
      <c r="C186" s="45" t="inlineStr">
        <is>
          <t>Công nghệ thông tin 1 K66</t>
        </is>
      </c>
      <c r="D186" s="45" t="inlineStr">
        <is>
          <t>Năm 3</t>
        </is>
      </c>
      <c r="E186" s="45" t="inlineStr">
        <is>
          <t>2027_2028</t>
        </is>
      </c>
      <c r="F186" s="45" t="n">
        <v>4</v>
      </c>
      <c r="G186" s="46">
        <f>VLOOKUP(D186,'Cấu Hình Học Phí'!$A$8:$B$11,2,FALSE)</f>
        <v/>
      </c>
      <c r="H186" s="46">
        <f>F186*G186</f>
        <v/>
      </c>
      <c r="I186" s="45" t="n">
        <v>0</v>
      </c>
      <c r="J186" s="46">
        <f>I186*'Cấu Hình Học Phí'!$B$5</f>
        <v/>
      </c>
      <c r="K186" s="46" t="n">
        <v>0</v>
      </c>
      <c r="L186" s="46">
        <f>H186+J186-K186</f>
        <v/>
      </c>
      <c r="M186" s="46" t="n">
        <v>2662000</v>
      </c>
      <c r="N186" s="46" t="n">
        <v>0</v>
      </c>
      <c r="O186" s="46">
        <f>MAX(0,M186-N186-L186)</f>
        <v/>
      </c>
      <c r="P186" s="46">
        <f>MAX(0,L186-(M186-N186))</f>
        <v/>
      </c>
      <c r="Q186" s="45" t="inlineStr">
        <is>
          <t>30/09/2027</t>
        </is>
      </c>
      <c r="R186" s="45" t="inlineStr">
        <is>
          <t>PT2027-00183</t>
        </is>
      </c>
      <c r="S186" s="45" t="inlineStr"/>
    </row>
    <row r="187">
      <c r="A187" s="45" t="inlineStr">
        <is>
          <t>251230948</t>
        </is>
      </c>
      <c r="B187" s="45" t="inlineStr">
        <is>
          <t>PHAN ĐỨC NHẬT QUANG</t>
        </is>
      </c>
      <c r="C187" s="45" t="inlineStr">
        <is>
          <t>Công nghệ thông tin 1 K66</t>
        </is>
      </c>
      <c r="D187" s="45" t="inlineStr">
        <is>
          <t>Năm 4</t>
        </is>
      </c>
      <c r="E187" s="45" t="inlineStr">
        <is>
          <t>2028_2029</t>
        </is>
      </c>
      <c r="F187" s="45" t="n">
        <v>1</v>
      </c>
      <c r="G187" s="46">
        <f>VLOOKUP(D187,'Cấu Hình Học Phí'!$A$8:$B$11,2,FALSE)</f>
        <v/>
      </c>
      <c r="H187" s="46">
        <f>F187*G187</f>
        <v/>
      </c>
      <c r="I187" s="45" t="n">
        <v>0</v>
      </c>
      <c r="J187" s="46">
        <f>I187*'Cấu Hình Học Phí'!$B$5</f>
        <v/>
      </c>
      <c r="K187" s="46" t="n">
        <v>0</v>
      </c>
      <c r="L187" s="46">
        <f>H187+J187-K187</f>
        <v/>
      </c>
      <c r="M187" s="46" t="n">
        <v>732050</v>
      </c>
      <c r="N187" s="46" t="n">
        <v>0</v>
      </c>
      <c r="O187" s="46">
        <f>MAX(0,M187-N187-L187)</f>
        <v/>
      </c>
      <c r="P187" s="46">
        <f>MAX(0,L187-(M187-N187))</f>
        <v/>
      </c>
      <c r="Q187" s="45" t="inlineStr">
        <is>
          <t>30/09/2028</t>
        </is>
      </c>
      <c r="R187" s="45" t="inlineStr">
        <is>
          <t>PT2028-00184</t>
        </is>
      </c>
      <c r="S187" s="45" t="inlineStr"/>
    </row>
    <row r="188">
      <c r="A188" s="45" t="inlineStr">
        <is>
          <t>251210955</t>
        </is>
      </c>
      <c r="B188" s="45" t="inlineStr">
        <is>
          <t>TRẦN ĐỨC SINH</t>
        </is>
      </c>
      <c r="C188" s="45" t="inlineStr">
        <is>
          <t>Công nghệ thông tin 1 K66</t>
        </is>
      </c>
      <c r="D188" s="45" t="inlineStr">
        <is>
          <t>Năm 1</t>
        </is>
      </c>
      <c r="E188" s="45" t="inlineStr">
        <is>
          <t>2025_2026</t>
        </is>
      </c>
      <c r="F188" s="45" t="n">
        <v>4</v>
      </c>
      <c r="G188" s="46">
        <f>VLOOKUP(D188,'Cấu Hình Học Phí'!$A$8:$B$11,2,FALSE)</f>
        <v/>
      </c>
      <c r="H188" s="46">
        <f>F188*G188</f>
        <v/>
      </c>
      <c r="I188" s="45" t="n">
        <v>1</v>
      </c>
      <c r="J188" s="46">
        <f>I188*'Cấu Hình Học Phí'!$B$5</f>
        <v/>
      </c>
      <c r="K188" s="46" t="n">
        <v>0</v>
      </c>
      <c r="L188" s="46">
        <f>H188+J188-K188</f>
        <v/>
      </c>
      <c r="M188" s="46" t="n">
        <v>3200000</v>
      </c>
      <c r="N188" s="46" t="n">
        <v>0</v>
      </c>
      <c r="O188" s="46">
        <f>MAX(0,M188-N188-L188)</f>
        <v/>
      </c>
      <c r="P188" s="46">
        <f>MAX(0,L188-(M188-N188))</f>
        <v/>
      </c>
      <c r="Q188" s="45" t="inlineStr">
        <is>
          <t>30/09/2025</t>
        </is>
      </c>
      <c r="R188" s="45" t="inlineStr">
        <is>
          <t>PT2025-00185</t>
        </is>
      </c>
      <c r="S188" s="45" t="inlineStr"/>
    </row>
    <row r="189">
      <c r="A189" s="45" t="inlineStr">
        <is>
          <t>251210955</t>
        </is>
      </c>
      <c r="B189" s="45" t="inlineStr">
        <is>
          <t>TRẦN ĐỨC SINH</t>
        </is>
      </c>
      <c r="C189" s="45" t="inlineStr">
        <is>
          <t>Công nghệ thông tin 1 K66</t>
        </is>
      </c>
      <c r="D189" s="45" t="inlineStr">
        <is>
          <t>Năm 2</t>
        </is>
      </c>
      <c r="E189" s="45" t="inlineStr">
        <is>
          <t>2026_2027</t>
        </is>
      </c>
      <c r="F189" s="45" t="n">
        <v>4</v>
      </c>
      <c r="G189" s="46">
        <f>VLOOKUP(D189,'Cấu Hình Học Phí'!$A$8:$B$11,2,FALSE)</f>
        <v/>
      </c>
      <c r="H189" s="46">
        <f>F189*G189</f>
        <v/>
      </c>
      <c r="I189" s="45" t="n">
        <v>0</v>
      </c>
      <c r="J189" s="46">
        <f>I189*'Cấu Hình Học Phí'!$B$5</f>
        <v/>
      </c>
      <c r="K189" s="46" t="n">
        <v>0</v>
      </c>
      <c r="L189" s="46">
        <f>H189+J189-K189</f>
        <v/>
      </c>
      <c r="M189" s="46" t="n">
        <v>2420000</v>
      </c>
      <c r="N189" s="46" t="n">
        <v>0</v>
      </c>
      <c r="O189" s="46">
        <f>MAX(0,M189-N189-L189)</f>
        <v/>
      </c>
      <c r="P189" s="46">
        <f>MAX(0,L189-(M189-N189))</f>
        <v/>
      </c>
      <c r="Q189" s="45" t="inlineStr">
        <is>
          <t>30/09/2026</t>
        </is>
      </c>
      <c r="R189" s="45" t="inlineStr">
        <is>
          <t>PT2026-00186</t>
        </is>
      </c>
      <c r="S189" s="45" t="inlineStr"/>
    </row>
    <row r="190">
      <c r="A190" s="45" t="inlineStr">
        <is>
          <t>251210955</t>
        </is>
      </c>
      <c r="B190" s="45" t="inlineStr">
        <is>
          <t>TRẦN ĐỨC SINH</t>
        </is>
      </c>
      <c r="C190" s="45" t="inlineStr">
        <is>
          <t>Công nghệ thông tin 1 K66</t>
        </is>
      </c>
      <c r="D190" s="45" t="inlineStr">
        <is>
          <t>Năm 3</t>
        </is>
      </c>
      <c r="E190" s="45" t="inlineStr">
        <is>
          <t>2027_2028</t>
        </is>
      </c>
      <c r="F190" s="45" t="n">
        <v>4</v>
      </c>
      <c r="G190" s="46">
        <f>VLOOKUP(D190,'Cấu Hình Học Phí'!$A$8:$B$11,2,FALSE)</f>
        <v/>
      </c>
      <c r="H190" s="46">
        <f>F190*G190</f>
        <v/>
      </c>
      <c r="I190" s="45" t="n">
        <v>1</v>
      </c>
      <c r="J190" s="46">
        <f>I190*'Cấu Hình Học Phí'!$B$5</f>
        <v/>
      </c>
      <c r="K190" s="46" t="n">
        <v>0</v>
      </c>
      <c r="L190" s="46">
        <f>H190+J190-K190</f>
        <v/>
      </c>
      <c r="M190" s="46" t="n">
        <v>3662000</v>
      </c>
      <c r="N190" s="46" t="n">
        <v>0</v>
      </c>
      <c r="O190" s="46">
        <f>MAX(0,M190-N190-L190)</f>
        <v/>
      </c>
      <c r="P190" s="46">
        <f>MAX(0,L190-(M190-N190))</f>
        <v/>
      </c>
      <c r="Q190" s="45" t="inlineStr">
        <is>
          <t>30/09/2027</t>
        </is>
      </c>
      <c r="R190" s="45" t="inlineStr">
        <is>
          <t>PT2027-00187</t>
        </is>
      </c>
      <c r="S190" s="45" t="inlineStr"/>
    </row>
    <row r="191">
      <c r="A191" s="45" t="inlineStr">
        <is>
          <t>251210955</t>
        </is>
      </c>
      <c r="B191" s="45" t="inlineStr">
        <is>
          <t>TRẦN ĐỨC SINH</t>
        </is>
      </c>
      <c r="C191" s="45" t="inlineStr">
        <is>
          <t>Công nghệ thông tin 1 K66</t>
        </is>
      </c>
      <c r="D191" s="45" t="inlineStr">
        <is>
          <t>Năm 4</t>
        </is>
      </c>
      <c r="E191" s="45" t="inlineStr">
        <is>
          <t>2028_2029</t>
        </is>
      </c>
      <c r="F191" s="45" t="n">
        <v>1</v>
      </c>
      <c r="G191" s="46">
        <f>VLOOKUP(D191,'Cấu Hình Học Phí'!$A$8:$B$11,2,FALSE)</f>
        <v/>
      </c>
      <c r="H191" s="46">
        <f>F191*G191</f>
        <v/>
      </c>
      <c r="I191" s="45" t="n">
        <v>0</v>
      </c>
      <c r="J191" s="46">
        <f>I191*'Cấu Hình Học Phí'!$B$5</f>
        <v/>
      </c>
      <c r="K191" s="46" t="n">
        <v>0</v>
      </c>
      <c r="L191" s="46">
        <f>H191+J191-K191</f>
        <v/>
      </c>
      <c r="M191" s="46" t="n">
        <v>732050</v>
      </c>
      <c r="N191" s="46" t="n">
        <v>0</v>
      </c>
      <c r="O191" s="46">
        <f>MAX(0,M191-N191-L191)</f>
        <v/>
      </c>
      <c r="P191" s="46">
        <f>MAX(0,L191-(M191-N191))</f>
        <v/>
      </c>
      <c r="Q191" s="45" t="inlineStr">
        <is>
          <t>30/09/2028</t>
        </is>
      </c>
      <c r="R191" s="45" t="inlineStr">
        <is>
          <t>PT2028-00188</t>
        </is>
      </c>
      <c r="S191" s="45" t="inlineStr"/>
    </row>
    <row r="192">
      <c r="A192" s="45" t="inlineStr">
        <is>
          <t>251230956</t>
        </is>
      </c>
      <c r="B192" s="45" t="inlineStr">
        <is>
          <t>DƯƠNG TÙNG SƠN</t>
        </is>
      </c>
      <c r="C192" s="45" t="inlineStr">
        <is>
          <t>Công nghệ thông tin 1 K66</t>
        </is>
      </c>
      <c r="D192" s="45" t="inlineStr">
        <is>
          <t>Năm 1</t>
        </is>
      </c>
      <c r="E192" s="45" t="inlineStr">
        <is>
          <t>2025_2026</t>
        </is>
      </c>
      <c r="F192" s="45" t="n">
        <v>4</v>
      </c>
      <c r="G192" s="46">
        <f>VLOOKUP(D192,'Cấu Hình Học Phí'!$A$8:$B$11,2,FALSE)</f>
        <v/>
      </c>
      <c r="H192" s="46">
        <f>F192*G192</f>
        <v/>
      </c>
      <c r="I192" s="45" t="n">
        <v>0</v>
      </c>
      <c r="J192" s="46">
        <f>I192*'Cấu Hình Học Phí'!$B$5</f>
        <v/>
      </c>
      <c r="K192" s="46" t="n">
        <v>0</v>
      </c>
      <c r="L192" s="46">
        <f>H192+J192-K192</f>
        <v/>
      </c>
      <c r="M192" s="46" t="n">
        <v>2200000</v>
      </c>
      <c r="N192" s="46" t="n">
        <v>0</v>
      </c>
      <c r="O192" s="46">
        <f>MAX(0,M192-N192-L192)</f>
        <v/>
      </c>
      <c r="P192" s="46">
        <f>MAX(0,L192-(M192-N192))</f>
        <v/>
      </c>
      <c r="Q192" s="45" t="inlineStr">
        <is>
          <t>30/09/2025</t>
        </is>
      </c>
      <c r="R192" s="45" t="inlineStr">
        <is>
          <t>PT2025-00189</t>
        </is>
      </c>
      <c r="S192" s="45" t="inlineStr"/>
    </row>
    <row r="193">
      <c r="A193" s="45" t="inlineStr">
        <is>
          <t>251230956</t>
        </is>
      </c>
      <c r="B193" s="45" t="inlineStr">
        <is>
          <t>DƯƠNG TÙNG SƠN</t>
        </is>
      </c>
      <c r="C193" s="45" t="inlineStr">
        <is>
          <t>Công nghệ thông tin 1 K66</t>
        </is>
      </c>
      <c r="D193" s="45" t="inlineStr">
        <is>
          <t>Năm 2</t>
        </is>
      </c>
      <c r="E193" s="45" t="inlineStr">
        <is>
          <t>2026_2027</t>
        </is>
      </c>
      <c r="F193" s="45" t="n">
        <v>4</v>
      </c>
      <c r="G193" s="46">
        <f>VLOOKUP(D193,'Cấu Hình Học Phí'!$A$8:$B$11,2,FALSE)</f>
        <v/>
      </c>
      <c r="H193" s="46">
        <f>F193*G193</f>
        <v/>
      </c>
      <c r="I193" s="45" t="n">
        <v>0</v>
      </c>
      <c r="J193" s="46">
        <f>I193*'Cấu Hình Học Phí'!$B$5</f>
        <v/>
      </c>
      <c r="K193" s="46" t="n">
        <v>0</v>
      </c>
      <c r="L193" s="46">
        <f>H193+J193-K193</f>
        <v/>
      </c>
      <c r="M193" s="46" t="n">
        <v>2420000</v>
      </c>
      <c r="N193" s="46" t="n">
        <v>0</v>
      </c>
      <c r="O193" s="46">
        <f>MAX(0,M193-N193-L193)</f>
        <v/>
      </c>
      <c r="P193" s="46">
        <f>MAX(0,L193-(M193-N193))</f>
        <v/>
      </c>
      <c r="Q193" s="45" t="inlineStr">
        <is>
          <t>30/09/2026</t>
        </is>
      </c>
      <c r="R193" s="45" t="inlineStr">
        <is>
          <t>PT2026-00190</t>
        </is>
      </c>
      <c r="S193" s="45" t="inlineStr"/>
    </row>
    <row r="194">
      <c r="A194" s="45" t="inlineStr">
        <is>
          <t>251230956</t>
        </is>
      </c>
      <c r="B194" s="45" t="inlineStr">
        <is>
          <t>DƯƠNG TÙNG SƠN</t>
        </is>
      </c>
      <c r="C194" s="45" t="inlineStr">
        <is>
          <t>Công nghệ thông tin 1 K66</t>
        </is>
      </c>
      <c r="D194" s="45" t="inlineStr">
        <is>
          <t>Năm 3</t>
        </is>
      </c>
      <c r="E194" s="45" t="inlineStr">
        <is>
          <t>2027_2028</t>
        </is>
      </c>
      <c r="F194" s="45" t="n">
        <v>4</v>
      </c>
      <c r="G194" s="46">
        <f>VLOOKUP(D194,'Cấu Hình Học Phí'!$A$8:$B$11,2,FALSE)</f>
        <v/>
      </c>
      <c r="H194" s="46">
        <f>F194*G194</f>
        <v/>
      </c>
      <c r="I194" s="45" t="n">
        <v>0</v>
      </c>
      <c r="J194" s="46">
        <f>I194*'Cấu Hình Học Phí'!$B$5</f>
        <v/>
      </c>
      <c r="K194" s="46" t="n">
        <v>0</v>
      </c>
      <c r="L194" s="46">
        <f>H194+J194-K194</f>
        <v/>
      </c>
      <c r="M194" s="46" t="n">
        <v>2662000</v>
      </c>
      <c r="N194" s="46" t="n">
        <v>0</v>
      </c>
      <c r="O194" s="46">
        <f>MAX(0,M194-N194-L194)</f>
        <v/>
      </c>
      <c r="P194" s="46">
        <f>MAX(0,L194-(M194-N194))</f>
        <v/>
      </c>
      <c r="Q194" s="45" t="inlineStr">
        <is>
          <t>30/09/2027</t>
        </is>
      </c>
      <c r="R194" s="45" t="inlineStr">
        <is>
          <t>PT2027-00191</t>
        </is>
      </c>
      <c r="S194" s="45" t="inlineStr"/>
    </row>
    <row r="195">
      <c r="A195" s="45" t="inlineStr">
        <is>
          <t>251230956</t>
        </is>
      </c>
      <c r="B195" s="45" t="inlineStr">
        <is>
          <t>DƯƠNG TÙNG SƠN</t>
        </is>
      </c>
      <c r="C195" s="45" t="inlineStr">
        <is>
          <t>Công nghệ thông tin 1 K66</t>
        </is>
      </c>
      <c r="D195" s="45" t="inlineStr">
        <is>
          <t>Năm 4</t>
        </is>
      </c>
      <c r="E195" s="45" t="inlineStr">
        <is>
          <t>2028_2029</t>
        </is>
      </c>
      <c r="F195" s="45" t="n">
        <v>1</v>
      </c>
      <c r="G195" s="46">
        <f>VLOOKUP(D195,'Cấu Hình Học Phí'!$A$8:$B$11,2,FALSE)</f>
        <v/>
      </c>
      <c r="H195" s="46">
        <f>F195*G195</f>
        <v/>
      </c>
      <c r="I195" s="45" t="n">
        <v>0</v>
      </c>
      <c r="J195" s="46">
        <f>I195*'Cấu Hình Học Phí'!$B$5</f>
        <v/>
      </c>
      <c r="K195" s="46" t="n">
        <v>0</v>
      </c>
      <c r="L195" s="46">
        <f>H195+J195-K195</f>
        <v/>
      </c>
      <c r="M195" s="46" t="n">
        <v>732050</v>
      </c>
      <c r="N195" s="46" t="n">
        <v>0</v>
      </c>
      <c r="O195" s="46">
        <f>MAX(0,M195-N195-L195)</f>
        <v/>
      </c>
      <c r="P195" s="46">
        <f>MAX(0,L195-(M195-N195))</f>
        <v/>
      </c>
      <c r="Q195" s="45" t="inlineStr">
        <is>
          <t>30/09/2028</t>
        </is>
      </c>
      <c r="R195" s="45" t="inlineStr">
        <is>
          <t>PT2028-00192</t>
        </is>
      </c>
      <c r="S195" s="45" t="inlineStr"/>
    </row>
    <row r="196">
      <c r="A196" s="45" t="inlineStr">
        <is>
          <t>251230962</t>
        </is>
      </c>
      <c r="B196" s="45" t="inlineStr">
        <is>
          <t>NGUYỄN ĐỨC THÁI</t>
        </is>
      </c>
      <c r="C196" s="45" t="inlineStr">
        <is>
          <t>Công nghệ thông tin 1 K66</t>
        </is>
      </c>
      <c r="D196" s="45" t="inlineStr">
        <is>
          <t>Năm 1</t>
        </is>
      </c>
      <c r="E196" s="45" t="inlineStr">
        <is>
          <t>2025_2026</t>
        </is>
      </c>
      <c r="F196" s="45" t="n">
        <v>4</v>
      </c>
      <c r="G196" s="46">
        <f>VLOOKUP(D196,'Cấu Hình Học Phí'!$A$8:$B$11,2,FALSE)</f>
        <v/>
      </c>
      <c r="H196" s="46">
        <f>F196*G196</f>
        <v/>
      </c>
      <c r="I196" s="45" t="n">
        <v>1</v>
      </c>
      <c r="J196" s="46">
        <f>I196*'Cấu Hình Học Phí'!$B$5</f>
        <v/>
      </c>
      <c r="K196" s="46" t="n">
        <v>0</v>
      </c>
      <c r="L196" s="46">
        <f>H196+J196-K196</f>
        <v/>
      </c>
      <c r="M196" s="46" t="n">
        <v>3200000</v>
      </c>
      <c r="N196" s="46" t="n">
        <v>0</v>
      </c>
      <c r="O196" s="46">
        <f>MAX(0,M196-N196-L196)</f>
        <v/>
      </c>
      <c r="P196" s="46">
        <f>MAX(0,L196-(M196-N196))</f>
        <v/>
      </c>
      <c r="Q196" s="45" t="inlineStr">
        <is>
          <t>30/09/2025</t>
        </is>
      </c>
      <c r="R196" s="45" t="inlineStr">
        <is>
          <t>PT2025-00193</t>
        </is>
      </c>
      <c r="S196" s="45" t="inlineStr"/>
    </row>
    <row r="197">
      <c r="A197" s="45" t="inlineStr">
        <is>
          <t>251230962</t>
        </is>
      </c>
      <c r="B197" s="45" t="inlineStr">
        <is>
          <t>NGUYỄN ĐỨC THÁI</t>
        </is>
      </c>
      <c r="C197" s="45" t="inlineStr">
        <is>
          <t>Công nghệ thông tin 1 K66</t>
        </is>
      </c>
      <c r="D197" s="45" t="inlineStr">
        <is>
          <t>Năm 2</t>
        </is>
      </c>
      <c r="E197" s="45" t="inlineStr">
        <is>
          <t>2026_2027</t>
        </is>
      </c>
      <c r="F197" s="45" t="n">
        <v>4</v>
      </c>
      <c r="G197" s="46">
        <f>VLOOKUP(D197,'Cấu Hình Học Phí'!$A$8:$B$11,2,FALSE)</f>
        <v/>
      </c>
      <c r="H197" s="46">
        <f>F197*G197</f>
        <v/>
      </c>
      <c r="I197" s="45" t="n">
        <v>0</v>
      </c>
      <c r="J197" s="46">
        <f>I197*'Cấu Hình Học Phí'!$B$5</f>
        <v/>
      </c>
      <c r="K197" s="46" t="n">
        <v>0</v>
      </c>
      <c r="L197" s="46">
        <f>H197+J197-K197</f>
        <v/>
      </c>
      <c r="M197" s="46" t="n">
        <v>2420000</v>
      </c>
      <c r="N197" s="46" t="n">
        <v>0</v>
      </c>
      <c r="O197" s="46">
        <f>MAX(0,M197-N197-L197)</f>
        <v/>
      </c>
      <c r="P197" s="46">
        <f>MAX(0,L197-(M197-N197))</f>
        <v/>
      </c>
      <c r="Q197" s="45" t="inlineStr">
        <is>
          <t>30/09/2026</t>
        </is>
      </c>
      <c r="R197" s="45" t="inlineStr">
        <is>
          <t>PT2026-00194</t>
        </is>
      </c>
      <c r="S197" s="45" t="inlineStr"/>
    </row>
    <row r="198">
      <c r="A198" s="45" t="inlineStr">
        <is>
          <t>251230962</t>
        </is>
      </c>
      <c r="B198" s="45" t="inlineStr">
        <is>
          <t>NGUYỄN ĐỨC THÁI</t>
        </is>
      </c>
      <c r="C198" s="45" t="inlineStr">
        <is>
          <t>Công nghệ thông tin 1 K66</t>
        </is>
      </c>
      <c r="D198" s="45" t="inlineStr">
        <is>
          <t>Năm 3</t>
        </is>
      </c>
      <c r="E198" s="45" t="inlineStr">
        <is>
          <t>2027_2028</t>
        </is>
      </c>
      <c r="F198" s="45" t="n">
        <v>4</v>
      </c>
      <c r="G198" s="46">
        <f>VLOOKUP(D198,'Cấu Hình Học Phí'!$A$8:$B$11,2,FALSE)</f>
        <v/>
      </c>
      <c r="H198" s="46">
        <f>F198*G198</f>
        <v/>
      </c>
      <c r="I198" s="45" t="n">
        <v>0</v>
      </c>
      <c r="J198" s="46">
        <f>I198*'Cấu Hình Học Phí'!$B$5</f>
        <v/>
      </c>
      <c r="K198" s="46" t="n">
        <v>0</v>
      </c>
      <c r="L198" s="46">
        <f>H198+J198-K198</f>
        <v/>
      </c>
      <c r="M198" s="46" t="n">
        <v>2662000</v>
      </c>
      <c r="N198" s="46" t="n">
        <v>0</v>
      </c>
      <c r="O198" s="46">
        <f>MAX(0,M198-N198-L198)</f>
        <v/>
      </c>
      <c r="P198" s="46">
        <f>MAX(0,L198-(M198-N198))</f>
        <v/>
      </c>
      <c r="Q198" s="45" t="inlineStr">
        <is>
          <t>30/09/2027</t>
        </is>
      </c>
      <c r="R198" s="45" t="inlineStr">
        <is>
          <t>PT2027-00195</t>
        </is>
      </c>
      <c r="S198" s="45" t="inlineStr"/>
    </row>
    <row r="199">
      <c r="A199" s="45" t="inlineStr">
        <is>
          <t>251230962</t>
        </is>
      </c>
      <c r="B199" s="45" t="inlineStr">
        <is>
          <t>NGUYỄN ĐỨC THÁI</t>
        </is>
      </c>
      <c r="C199" s="45" t="inlineStr">
        <is>
          <t>Công nghệ thông tin 1 K66</t>
        </is>
      </c>
      <c r="D199" s="45" t="inlineStr">
        <is>
          <t>Năm 4</t>
        </is>
      </c>
      <c r="E199" s="45" t="inlineStr">
        <is>
          <t>2028_2029</t>
        </is>
      </c>
      <c r="F199" s="45" t="n">
        <v>1</v>
      </c>
      <c r="G199" s="46">
        <f>VLOOKUP(D199,'Cấu Hình Học Phí'!$A$8:$B$11,2,FALSE)</f>
        <v/>
      </c>
      <c r="H199" s="46">
        <f>F199*G199</f>
        <v/>
      </c>
      <c r="I199" s="45" t="n">
        <v>0</v>
      </c>
      <c r="J199" s="46">
        <f>I199*'Cấu Hình Học Phí'!$B$5</f>
        <v/>
      </c>
      <c r="K199" s="46" t="n">
        <v>0</v>
      </c>
      <c r="L199" s="46">
        <f>H199+J199-K199</f>
        <v/>
      </c>
      <c r="M199" s="46" t="n">
        <v>732050</v>
      </c>
      <c r="N199" s="46" t="n">
        <v>0</v>
      </c>
      <c r="O199" s="46">
        <f>MAX(0,M199-N199-L199)</f>
        <v/>
      </c>
      <c r="P199" s="46">
        <f>MAX(0,L199-(M199-N199))</f>
        <v/>
      </c>
      <c r="Q199" s="45" t="inlineStr">
        <is>
          <t>30/09/2028</t>
        </is>
      </c>
      <c r="R199" s="45" t="inlineStr">
        <is>
          <t>PT2028-00196</t>
        </is>
      </c>
      <c r="S199" s="45" t="inlineStr"/>
    </row>
    <row r="200">
      <c r="A200" s="45" t="inlineStr">
        <is>
          <t>251230964</t>
        </is>
      </c>
      <c r="B200" s="45" t="inlineStr">
        <is>
          <t>TRẦN XUÂN THÁI</t>
        </is>
      </c>
      <c r="C200" s="45" t="inlineStr">
        <is>
          <t>Công nghệ thông tin 1 K66</t>
        </is>
      </c>
      <c r="D200" s="45" t="inlineStr">
        <is>
          <t>Năm 1</t>
        </is>
      </c>
      <c r="E200" s="45" t="inlineStr">
        <is>
          <t>2025_2026</t>
        </is>
      </c>
      <c r="F200" s="45" t="n">
        <v>4</v>
      </c>
      <c r="G200" s="46">
        <f>VLOOKUP(D200,'Cấu Hình Học Phí'!$A$8:$B$11,2,FALSE)</f>
        <v/>
      </c>
      <c r="H200" s="46">
        <f>F200*G200</f>
        <v/>
      </c>
      <c r="I200" s="45" t="n">
        <v>0</v>
      </c>
      <c r="J200" s="46">
        <f>I200*'Cấu Hình Học Phí'!$B$5</f>
        <v/>
      </c>
      <c r="K200" s="46" t="n">
        <v>0</v>
      </c>
      <c r="L200" s="46">
        <f>H200+J200-K200</f>
        <v/>
      </c>
      <c r="M200" s="46" t="n">
        <v>2200000</v>
      </c>
      <c r="N200" s="46" t="n">
        <v>0</v>
      </c>
      <c r="O200" s="46">
        <f>MAX(0,M200-N200-L200)</f>
        <v/>
      </c>
      <c r="P200" s="46">
        <f>MAX(0,L200-(M200-N200))</f>
        <v/>
      </c>
      <c r="Q200" s="45" t="inlineStr">
        <is>
          <t>30/09/2025</t>
        </is>
      </c>
      <c r="R200" s="45" t="inlineStr">
        <is>
          <t>PT2025-00197</t>
        </is>
      </c>
      <c r="S200" s="45" t="inlineStr"/>
    </row>
    <row r="201">
      <c r="A201" s="45" t="inlineStr">
        <is>
          <t>251230964</t>
        </is>
      </c>
      <c r="B201" s="45" t="inlineStr">
        <is>
          <t>TRẦN XUÂN THÁI</t>
        </is>
      </c>
      <c r="C201" s="45" t="inlineStr">
        <is>
          <t>Công nghệ thông tin 1 K66</t>
        </is>
      </c>
      <c r="D201" s="45" t="inlineStr">
        <is>
          <t>Năm 2</t>
        </is>
      </c>
      <c r="E201" s="45" t="inlineStr">
        <is>
          <t>2026_2027</t>
        </is>
      </c>
      <c r="F201" s="45" t="n">
        <v>4</v>
      </c>
      <c r="G201" s="46">
        <f>VLOOKUP(D201,'Cấu Hình Học Phí'!$A$8:$B$11,2,FALSE)</f>
        <v/>
      </c>
      <c r="H201" s="46">
        <f>F201*G201</f>
        <v/>
      </c>
      <c r="I201" s="45" t="n">
        <v>1</v>
      </c>
      <c r="J201" s="46">
        <f>I201*'Cấu Hình Học Phí'!$B$5</f>
        <v/>
      </c>
      <c r="K201" s="46" t="n">
        <v>0</v>
      </c>
      <c r="L201" s="46">
        <f>H201+J201-K201</f>
        <v/>
      </c>
      <c r="M201" s="46" t="n">
        <v>2420000</v>
      </c>
      <c r="N201" s="46" t="n">
        <v>0</v>
      </c>
      <c r="O201" s="46">
        <f>MAX(0,M201-N201-L201)</f>
        <v/>
      </c>
      <c r="P201" s="46">
        <f>MAX(0,L201-(M201-N201))</f>
        <v/>
      </c>
      <c r="Q201" s="45" t="inlineStr">
        <is>
          <t>30/09/2026</t>
        </is>
      </c>
      <c r="R201" s="45" t="inlineStr">
        <is>
          <t>PT2026-00198</t>
        </is>
      </c>
      <c r="S201" s="45" t="inlineStr">
        <is>
          <t>Chưa nộp phí phụ đạo 1 môn</t>
        </is>
      </c>
    </row>
    <row r="202">
      <c r="A202" s="45" t="inlineStr">
        <is>
          <t>251230964</t>
        </is>
      </c>
      <c r="B202" s="45" t="inlineStr">
        <is>
          <t>TRẦN XUÂN THÁI</t>
        </is>
      </c>
      <c r="C202" s="45" t="inlineStr">
        <is>
          <t>Công nghệ thông tin 1 K66</t>
        </is>
      </c>
      <c r="D202" s="45" t="inlineStr">
        <is>
          <t>Năm 3</t>
        </is>
      </c>
      <c r="E202" s="45" t="inlineStr">
        <is>
          <t>2027_2028</t>
        </is>
      </c>
      <c r="F202" s="45" t="n">
        <v>4</v>
      </c>
      <c r="G202" s="46">
        <f>VLOOKUP(D202,'Cấu Hình Học Phí'!$A$8:$B$11,2,FALSE)</f>
        <v/>
      </c>
      <c r="H202" s="46">
        <f>F202*G202</f>
        <v/>
      </c>
      <c r="I202" s="45" t="n">
        <v>0</v>
      </c>
      <c r="J202" s="46">
        <f>I202*'Cấu Hình Học Phí'!$B$5</f>
        <v/>
      </c>
      <c r="K202" s="46" t="n">
        <v>0</v>
      </c>
      <c r="L202" s="46">
        <f>H202+J202-K202</f>
        <v/>
      </c>
      <c r="M202" s="46" t="n">
        <v>2662000</v>
      </c>
      <c r="N202" s="46" t="n">
        <v>0</v>
      </c>
      <c r="O202" s="46">
        <f>MAX(0,M202-N202-L202)</f>
        <v/>
      </c>
      <c r="P202" s="46">
        <f>MAX(0,L202-(M202-N202))</f>
        <v/>
      </c>
      <c r="Q202" s="45" t="inlineStr">
        <is>
          <t>30/09/2027</t>
        </is>
      </c>
      <c r="R202" s="45" t="inlineStr">
        <is>
          <t>PT2027-00199</t>
        </is>
      </c>
      <c r="S202" s="45" t="inlineStr"/>
    </row>
    <row r="203">
      <c r="A203" s="45" t="inlineStr">
        <is>
          <t>251230964</t>
        </is>
      </c>
      <c r="B203" s="45" t="inlineStr">
        <is>
          <t>TRẦN XUÂN THÁI</t>
        </is>
      </c>
      <c r="C203" s="45" t="inlineStr">
        <is>
          <t>Công nghệ thông tin 1 K66</t>
        </is>
      </c>
      <c r="D203" s="45" t="inlineStr">
        <is>
          <t>Năm 4</t>
        </is>
      </c>
      <c r="E203" s="45" t="inlineStr">
        <is>
          <t>2028_2029</t>
        </is>
      </c>
      <c r="F203" s="45" t="n">
        <v>1</v>
      </c>
      <c r="G203" s="46">
        <f>VLOOKUP(D203,'Cấu Hình Học Phí'!$A$8:$B$11,2,FALSE)</f>
        <v/>
      </c>
      <c r="H203" s="46">
        <f>F203*G203</f>
        <v/>
      </c>
      <c r="I203" s="45" t="n">
        <v>0</v>
      </c>
      <c r="J203" s="46">
        <f>I203*'Cấu Hình Học Phí'!$B$5</f>
        <v/>
      </c>
      <c r="K203" s="46" t="n">
        <v>0</v>
      </c>
      <c r="L203" s="46">
        <f>H203+J203-K203</f>
        <v/>
      </c>
      <c r="M203" s="46" t="n">
        <v>732050</v>
      </c>
      <c r="N203" s="46" t="n">
        <v>0</v>
      </c>
      <c r="O203" s="46">
        <f>MAX(0,M203-N203-L203)</f>
        <v/>
      </c>
      <c r="P203" s="46">
        <f>MAX(0,L203-(M203-N203))</f>
        <v/>
      </c>
      <c r="Q203" s="45" t="inlineStr">
        <is>
          <t>30/09/2028</t>
        </is>
      </c>
      <c r="R203" s="45" t="inlineStr">
        <is>
          <t>PT2028-00200</t>
        </is>
      </c>
      <c r="S203" s="45" t="inlineStr"/>
    </row>
    <row r="204">
      <c r="A204" s="45" t="inlineStr">
        <is>
          <t>241230851</t>
        </is>
      </c>
      <c r="B204" s="45" t="inlineStr">
        <is>
          <t>Nguyễn Chính Thắng</t>
        </is>
      </c>
      <c r="C204" s="45" t="inlineStr">
        <is>
          <t>Công nghệ thông tin 1 K66</t>
        </is>
      </c>
      <c r="D204" s="45" t="inlineStr">
        <is>
          <t>Năm 1</t>
        </is>
      </c>
      <c r="E204" s="45" t="inlineStr">
        <is>
          <t>2025_2026</t>
        </is>
      </c>
      <c r="F204" s="45" t="n">
        <v>4</v>
      </c>
      <c r="G204" s="46">
        <f>VLOOKUP(D204,'Cấu Hình Học Phí'!$A$8:$B$11,2,FALSE)</f>
        <v/>
      </c>
      <c r="H204" s="46">
        <f>F204*G204</f>
        <v/>
      </c>
      <c r="I204" s="45" t="n">
        <v>1</v>
      </c>
      <c r="J204" s="46">
        <f>I204*'Cấu Hình Học Phí'!$B$5</f>
        <v/>
      </c>
      <c r="K204" s="46" t="n">
        <v>0</v>
      </c>
      <c r="L204" s="46">
        <f>H204+J204-K204</f>
        <v/>
      </c>
      <c r="M204" s="46" t="n">
        <v>3200000</v>
      </c>
      <c r="N204" s="46" t="n">
        <v>0</v>
      </c>
      <c r="O204" s="46">
        <f>MAX(0,M204-N204-L204)</f>
        <v/>
      </c>
      <c r="P204" s="46">
        <f>MAX(0,L204-(M204-N204))</f>
        <v/>
      </c>
      <c r="Q204" s="45" t="inlineStr">
        <is>
          <t>30/09/2025</t>
        </is>
      </c>
      <c r="R204" s="45" t="inlineStr">
        <is>
          <t>PT2025-00201</t>
        </is>
      </c>
      <c r="S204" s="45" t="inlineStr"/>
    </row>
    <row r="205">
      <c r="A205" s="45" t="inlineStr">
        <is>
          <t>241230851</t>
        </is>
      </c>
      <c r="B205" s="45" t="inlineStr">
        <is>
          <t>Nguyễn Chính Thắng</t>
        </is>
      </c>
      <c r="C205" s="45" t="inlineStr">
        <is>
          <t>Công nghệ thông tin 1 K66</t>
        </is>
      </c>
      <c r="D205" s="45" t="inlineStr">
        <is>
          <t>Năm 2</t>
        </is>
      </c>
      <c r="E205" s="45" t="inlineStr">
        <is>
          <t>2026_2027</t>
        </is>
      </c>
      <c r="F205" s="45" t="n">
        <v>4</v>
      </c>
      <c r="G205" s="46">
        <f>VLOOKUP(D205,'Cấu Hình Học Phí'!$A$8:$B$11,2,FALSE)</f>
        <v/>
      </c>
      <c r="H205" s="46">
        <f>F205*G205</f>
        <v/>
      </c>
      <c r="I205" s="45" t="n">
        <v>2</v>
      </c>
      <c r="J205" s="46">
        <f>I205*'Cấu Hình Học Phí'!$B$5</f>
        <v/>
      </c>
      <c r="K205" s="46" t="n">
        <v>0</v>
      </c>
      <c r="L205" s="46">
        <f>H205+J205-K205</f>
        <v/>
      </c>
      <c r="M205" s="46" t="n">
        <v>4420000</v>
      </c>
      <c r="N205" s="46" t="n">
        <v>0</v>
      </c>
      <c r="O205" s="46">
        <f>MAX(0,M205-N205-L205)</f>
        <v/>
      </c>
      <c r="P205" s="46">
        <f>MAX(0,L205-(M205-N205))</f>
        <v/>
      </c>
      <c r="Q205" s="45" t="inlineStr">
        <is>
          <t>30/09/2026</t>
        </is>
      </c>
      <c r="R205" s="45" t="inlineStr">
        <is>
          <t>PT2026-00202</t>
        </is>
      </c>
      <c r="S205" s="45" t="inlineStr"/>
    </row>
    <row r="206">
      <c r="A206" s="45" t="inlineStr">
        <is>
          <t>241230851</t>
        </is>
      </c>
      <c r="B206" s="45" t="inlineStr">
        <is>
          <t>Nguyễn Chính Thắng</t>
        </is>
      </c>
      <c r="C206" s="45" t="inlineStr">
        <is>
          <t>Công nghệ thông tin 1 K66</t>
        </is>
      </c>
      <c r="D206" s="45" t="inlineStr">
        <is>
          <t>Năm 3</t>
        </is>
      </c>
      <c r="E206" s="45" t="inlineStr">
        <is>
          <t>2027_2028</t>
        </is>
      </c>
      <c r="F206" s="45" t="n">
        <v>4</v>
      </c>
      <c r="G206" s="46">
        <f>VLOOKUP(D206,'Cấu Hình Học Phí'!$A$8:$B$11,2,FALSE)</f>
        <v/>
      </c>
      <c r="H206" s="46">
        <f>F206*G206</f>
        <v/>
      </c>
      <c r="I206" s="45" t="n">
        <v>0</v>
      </c>
      <c r="J206" s="46">
        <f>I206*'Cấu Hình Học Phí'!$B$5</f>
        <v/>
      </c>
      <c r="K206" s="46" t="n">
        <v>0</v>
      </c>
      <c r="L206" s="46">
        <f>H206+J206-K206</f>
        <v/>
      </c>
      <c r="M206" s="46" t="n">
        <v>2662000</v>
      </c>
      <c r="N206" s="46" t="n">
        <v>0</v>
      </c>
      <c r="O206" s="46">
        <f>MAX(0,M206-N206-L206)</f>
        <v/>
      </c>
      <c r="P206" s="46">
        <f>MAX(0,L206-(M206-N206))</f>
        <v/>
      </c>
      <c r="Q206" s="45" t="inlineStr">
        <is>
          <t>30/09/2027</t>
        </is>
      </c>
      <c r="R206" s="45" t="inlineStr">
        <is>
          <t>PT2027-00203</t>
        </is>
      </c>
      <c r="S206" s="45" t="inlineStr"/>
    </row>
    <row r="207">
      <c r="A207" s="45" t="inlineStr">
        <is>
          <t>241230851</t>
        </is>
      </c>
      <c r="B207" s="45" t="inlineStr">
        <is>
          <t>Nguyễn Chính Thắng</t>
        </is>
      </c>
      <c r="C207" s="45" t="inlineStr">
        <is>
          <t>Công nghệ thông tin 1 K66</t>
        </is>
      </c>
      <c r="D207" s="45" t="inlineStr">
        <is>
          <t>Năm 4</t>
        </is>
      </c>
      <c r="E207" s="45" t="inlineStr">
        <is>
          <t>2028_2029</t>
        </is>
      </c>
      <c r="F207" s="45" t="n">
        <v>1</v>
      </c>
      <c r="G207" s="46">
        <f>VLOOKUP(D207,'Cấu Hình Học Phí'!$A$8:$B$11,2,FALSE)</f>
        <v/>
      </c>
      <c r="H207" s="46">
        <f>F207*G207</f>
        <v/>
      </c>
      <c r="I207" s="45" t="n">
        <v>0</v>
      </c>
      <c r="J207" s="46">
        <f>I207*'Cấu Hình Học Phí'!$B$5</f>
        <v/>
      </c>
      <c r="K207" s="46" t="n">
        <v>0</v>
      </c>
      <c r="L207" s="46">
        <f>H207+J207-K207</f>
        <v/>
      </c>
      <c r="M207" s="46" t="n">
        <v>732050</v>
      </c>
      <c r="N207" s="46" t="n">
        <v>0</v>
      </c>
      <c r="O207" s="46">
        <f>MAX(0,M207-N207-L207)</f>
        <v/>
      </c>
      <c r="P207" s="46">
        <f>MAX(0,L207-(M207-N207))</f>
        <v/>
      </c>
      <c r="Q207" s="45" t="inlineStr">
        <is>
          <t>30/09/2028</t>
        </is>
      </c>
      <c r="R207" s="45" t="inlineStr">
        <is>
          <t>PT2028-00204</t>
        </is>
      </c>
      <c r="S207" s="45" t="inlineStr"/>
    </row>
    <row r="208">
      <c r="A208" s="45" t="inlineStr">
        <is>
          <t>251230967</t>
        </is>
      </c>
      <c r="B208" s="45" t="inlineStr">
        <is>
          <t>NGUYỄN CÔNG THÀNH</t>
        </is>
      </c>
      <c r="C208" s="45" t="inlineStr">
        <is>
          <t>Công nghệ thông tin 1 K66</t>
        </is>
      </c>
      <c r="D208" s="45" t="inlineStr">
        <is>
          <t>Năm 1</t>
        </is>
      </c>
      <c r="E208" s="45" t="inlineStr">
        <is>
          <t>2025_2026</t>
        </is>
      </c>
      <c r="F208" s="45" t="n">
        <v>4</v>
      </c>
      <c r="G208" s="46">
        <f>VLOOKUP(D208,'Cấu Hình Học Phí'!$A$8:$B$11,2,FALSE)</f>
        <v/>
      </c>
      <c r="H208" s="46">
        <f>F208*G208</f>
        <v/>
      </c>
      <c r="I208" s="45" t="n">
        <v>1</v>
      </c>
      <c r="J208" s="46">
        <f>I208*'Cấu Hình Học Phí'!$B$5</f>
        <v/>
      </c>
      <c r="K208" s="46" t="n">
        <v>0</v>
      </c>
      <c r="L208" s="46">
        <f>H208+J208-K208</f>
        <v/>
      </c>
      <c r="M208" s="46" t="n">
        <v>2200000</v>
      </c>
      <c r="N208" s="46" t="n">
        <v>0</v>
      </c>
      <c r="O208" s="46">
        <f>MAX(0,M208-N208-L208)</f>
        <v/>
      </c>
      <c r="P208" s="46">
        <f>MAX(0,L208-(M208-N208))</f>
        <v/>
      </c>
      <c r="Q208" s="45" t="inlineStr">
        <is>
          <t>30/09/2025</t>
        </is>
      </c>
      <c r="R208" s="45" t="inlineStr">
        <is>
          <t>PT2025-00205</t>
        </is>
      </c>
      <c r="S208" s="45" t="inlineStr">
        <is>
          <t>Chưa nộp phí phụ đạo 1 môn</t>
        </is>
      </c>
    </row>
    <row r="209">
      <c r="A209" s="45" t="inlineStr">
        <is>
          <t>251230967</t>
        </is>
      </c>
      <c r="B209" s="45" t="inlineStr">
        <is>
          <t>NGUYỄN CÔNG THÀNH</t>
        </is>
      </c>
      <c r="C209" s="45" t="inlineStr">
        <is>
          <t>Công nghệ thông tin 1 K66</t>
        </is>
      </c>
      <c r="D209" s="45" t="inlineStr">
        <is>
          <t>Năm 2</t>
        </is>
      </c>
      <c r="E209" s="45" t="inlineStr">
        <is>
          <t>2026_2027</t>
        </is>
      </c>
      <c r="F209" s="45" t="n">
        <v>4</v>
      </c>
      <c r="G209" s="46">
        <f>VLOOKUP(D209,'Cấu Hình Học Phí'!$A$8:$B$11,2,FALSE)</f>
        <v/>
      </c>
      <c r="H209" s="46">
        <f>F209*G209</f>
        <v/>
      </c>
      <c r="I209" s="45" t="n">
        <v>0</v>
      </c>
      <c r="J209" s="46">
        <f>I209*'Cấu Hình Học Phí'!$B$5</f>
        <v/>
      </c>
      <c r="K209" s="46" t="n">
        <v>0</v>
      </c>
      <c r="L209" s="46">
        <f>H209+J209-K209</f>
        <v/>
      </c>
      <c r="M209" s="46" t="n">
        <v>2420000</v>
      </c>
      <c r="N209" s="46" t="n">
        <v>0</v>
      </c>
      <c r="O209" s="46">
        <f>MAX(0,M209-N209-L209)</f>
        <v/>
      </c>
      <c r="P209" s="46">
        <f>MAX(0,L209-(M209-N209))</f>
        <v/>
      </c>
      <c r="Q209" s="45" t="inlineStr">
        <is>
          <t>30/09/2026</t>
        </is>
      </c>
      <c r="R209" s="45" t="inlineStr">
        <is>
          <t>PT2026-00206</t>
        </is>
      </c>
      <c r="S209" s="45" t="inlineStr"/>
    </row>
    <row r="210">
      <c r="A210" s="45" t="inlineStr">
        <is>
          <t>251230967</t>
        </is>
      </c>
      <c r="B210" s="45" t="inlineStr">
        <is>
          <t>NGUYỄN CÔNG THÀNH</t>
        </is>
      </c>
      <c r="C210" s="45" t="inlineStr">
        <is>
          <t>Công nghệ thông tin 1 K66</t>
        </is>
      </c>
      <c r="D210" s="45" t="inlineStr">
        <is>
          <t>Năm 3</t>
        </is>
      </c>
      <c r="E210" s="45" t="inlineStr">
        <is>
          <t>2027_2028</t>
        </is>
      </c>
      <c r="F210" s="45" t="n">
        <v>4</v>
      </c>
      <c r="G210" s="46">
        <f>VLOOKUP(D210,'Cấu Hình Học Phí'!$A$8:$B$11,2,FALSE)</f>
        <v/>
      </c>
      <c r="H210" s="46">
        <f>F210*G210</f>
        <v/>
      </c>
      <c r="I210" s="45" t="n">
        <v>0</v>
      </c>
      <c r="J210" s="46">
        <f>I210*'Cấu Hình Học Phí'!$B$5</f>
        <v/>
      </c>
      <c r="K210" s="46" t="n">
        <v>0</v>
      </c>
      <c r="L210" s="46">
        <f>H210+J210-K210</f>
        <v/>
      </c>
      <c r="M210" s="46" t="n">
        <v>2662000</v>
      </c>
      <c r="N210" s="46" t="n">
        <v>0</v>
      </c>
      <c r="O210" s="46">
        <f>MAX(0,M210-N210-L210)</f>
        <v/>
      </c>
      <c r="P210" s="46">
        <f>MAX(0,L210-(M210-N210))</f>
        <v/>
      </c>
      <c r="Q210" s="45" t="inlineStr">
        <is>
          <t>30/09/2027</t>
        </is>
      </c>
      <c r="R210" s="45" t="inlineStr">
        <is>
          <t>PT2027-00207</t>
        </is>
      </c>
      <c r="S210" s="45" t="inlineStr"/>
    </row>
    <row r="211">
      <c r="A211" s="45" t="inlineStr">
        <is>
          <t>251230967</t>
        </is>
      </c>
      <c r="B211" s="45" t="inlineStr">
        <is>
          <t>NGUYỄN CÔNG THÀNH</t>
        </is>
      </c>
      <c r="C211" s="45" t="inlineStr">
        <is>
          <t>Công nghệ thông tin 1 K66</t>
        </is>
      </c>
      <c r="D211" s="45" t="inlineStr">
        <is>
          <t>Năm 4</t>
        </is>
      </c>
      <c r="E211" s="45" t="inlineStr">
        <is>
          <t>2028_2029</t>
        </is>
      </c>
      <c r="F211" s="45" t="n">
        <v>1</v>
      </c>
      <c r="G211" s="46">
        <f>VLOOKUP(D211,'Cấu Hình Học Phí'!$A$8:$B$11,2,FALSE)</f>
        <v/>
      </c>
      <c r="H211" s="46">
        <f>F211*G211</f>
        <v/>
      </c>
      <c r="I211" s="45" t="n">
        <v>0</v>
      </c>
      <c r="J211" s="46">
        <f>I211*'Cấu Hình Học Phí'!$B$5</f>
        <v/>
      </c>
      <c r="K211" s="46" t="n">
        <v>0</v>
      </c>
      <c r="L211" s="46">
        <f>H211+J211-K211</f>
        <v/>
      </c>
      <c r="M211" s="46" t="n">
        <v>732050</v>
      </c>
      <c r="N211" s="46" t="n">
        <v>0</v>
      </c>
      <c r="O211" s="46">
        <f>MAX(0,M211-N211-L211)</f>
        <v/>
      </c>
      <c r="P211" s="46">
        <f>MAX(0,L211-(M211-N211))</f>
        <v/>
      </c>
      <c r="Q211" s="45" t="inlineStr">
        <is>
          <t>30/09/2028</t>
        </is>
      </c>
      <c r="R211" s="45" t="inlineStr">
        <is>
          <t>PT2028-00208</t>
        </is>
      </c>
      <c r="S211" s="45" t="inlineStr"/>
    </row>
    <row r="212">
      <c r="A212" s="45" t="inlineStr">
        <is>
          <t>251230970</t>
        </is>
      </c>
      <c r="B212" s="45" t="inlineStr">
        <is>
          <t>TRẦN KIM THÀNH</t>
        </is>
      </c>
      <c r="C212" s="45" t="inlineStr">
        <is>
          <t>Công nghệ thông tin 1 K66</t>
        </is>
      </c>
      <c r="D212" s="45" t="inlineStr">
        <is>
          <t>Năm 1</t>
        </is>
      </c>
      <c r="E212" s="45" t="inlineStr">
        <is>
          <t>2025_2026</t>
        </is>
      </c>
      <c r="F212" s="45" t="n">
        <v>4</v>
      </c>
      <c r="G212" s="46">
        <f>VLOOKUP(D212,'Cấu Hình Học Phí'!$A$8:$B$11,2,FALSE)</f>
        <v/>
      </c>
      <c r="H212" s="46">
        <f>F212*G212</f>
        <v/>
      </c>
      <c r="I212" s="45" t="n">
        <v>1</v>
      </c>
      <c r="J212" s="46">
        <f>I212*'Cấu Hình Học Phí'!$B$5</f>
        <v/>
      </c>
      <c r="K212" s="46" t="n">
        <v>0</v>
      </c>
      <c r="L212" s="46">
        <f>H212+J212-K212</f>
        <v/>
      </c>
      <c r="M212" s="46" t="n">
        <v>2200000</v>
      </c>
      <c r="N212" s="46" t="n">
        <v>0</v>
      </c>
      <c r="O212" s="46">
        <f>MAX(0,M212-N212-L212)</f>
        <v/>
      </c>
      <c r="P212" s="46">
        <f>MAX(0,L212-(M212-N212))</f>
        <v/>
      </c>
      <c r="Q212" s="45" t="inlineStr">
        <is>
          <t>30/09/2025</t>
        </is>
      </c>
      <c r="R212" s="45" t="inlineStr">
        <is>
          <t>PT2025-00209</t>
        </is>
      </c>
      <c r="S212" s="45" t="inlineStr">
        <is>
          <t>Chưa nộp phí phụ đạo 1 môn</t>
        </is>
      </c>
    </row>
    <row r="213">
      <c r="A213" s="45" t="inlineStr">
        <is>
          <t>251230970</t>
        </is>
      </c>
      <c r="B213" s="45" t="inlineStr">
        <is>
          <t>TRẦN KIM THÀNH</t>
        </is>
      </c>
      <c r="C213" s="45" t="inlineStr">
        <is>
          <t>Công nghệ thông tin 1 K66</t>
        </is>
      </c>
      <c r="D213" s="45" t="inlineStr">
        <is>
          <t>Năm 2</t>
        </is>
      </c>
      <c r="E213" s="45" t="inlineStr">
        <is>
          <t>2026_2027</t>
        </is>
      </c>
      <c r="F213" s="45" t="n">
        <v>4</v>
      </c>
      <c r="G213" s="46">
        <f>VLOOKUP(D213,'Cấu Hình Học Phí'!$A$8:$B$11,2,FALSE)</f>
        <v/>
      </c>
      <c r="H213" s="46">
        <f>F213*G213</f>
        <v/>
      </c>
      <c r="I213" s="45" t="n">
        <v>0</v>
      </c>
      <c r="J213" s="46">
        <f>I213*'Cấu Hình Học Phí'!$B$5</f>
        <v/>
      </c>
      <c r="K213" s="46" t="n">
        <v>0</v>
      </c>
      <c r="L213" s="46">
        <f>H213+J213-K213</f>
        <v/>
      </c>
      <c r="M213" s="46" t="n">
        <v>2420000</v>
      </c>
      <c r="N213" s="46" t="n">
        <v>0</v>
      </c>
      <c r="O213" s="46">
        <f>MAX(0,M213-N213-L213)</f>
        <v/>
      </c>
      <c r="P213" s="46">
        <f>MAX(0,L213-(M213-N213))</f>
        <v/>
      </c>
      <c r="Q213" s="45" t="inlineStr">
        <is>
          <t>30/09/2026</t>
        </is>
      </c>
      <c r="R213" s="45" t="inlineStr">
        <is>
          <t>PT2026-00210</t>
        </is>
      </c>
      <c r="S213" s="45" t="inlineStr"/>
    </row>
    <row r="214">
      <c r="A214" s="45" t="inlineStr">
        <is>
          <t>251230970</t>
        </is>
      </c>
      <c r="B214" s="45" t="inlineStr">
        <is>
          <t>TRẦN KIM THÀNH</t>
        </is>
      </c>
      <c r="C214" s="45" t="inlineStr">
        <is>
          <t>Công nghệ thông tin 1 K66</t>
        </is>
      </c>
      <c r="D214" s="45" t="inlineStr">
        <is>
          <t>Năm 3</t>
        </is>
      </c>
      <c r="E214" s="45" t="inlineStr">
        <is>
          <t>2027_2028</t>
        </is>
      </c>
      <c r="F214" s="45" t="n">
        <v>4</v>
      </c>
      <c r="G214" s="46">
        <f>VLOOKUP(D214,'Cấu Hình Học Phí'!$A$8:$B$11,2,FALSE)</f>
        <v/>
      </c>
      <c r="H214" s="46">
        <f>F214*G214</f>
        <v/>
      </c>
      <c r="I214" s="45" t="n">
        <v>0</v>
      </c>
      <c r="J214" s="46">
        <f>I214*'Cấu Hình Học Phí'!$B$5</f>
        <v/>
      </c>
      <c r="K214" s="46" t="n">
        <v>0</v>
      </c>
      <c r="L214" s="46">
        <f>H214+J214-K214</f>
        <v/>
      </c>
      <c r="M214" s="46" t="n">
        <v>2662000</v>
      </c>
      <c r="N214" s="46" t="n">
        <v>0</v>
      </c>
      <c r="O214" s="46">
        <f>MAX(0,M214-N214-L214)</f>
        <v/>
      </c>
      <c r="P214" s="46">
        <f>MAX(0,L214-(M214-N214))</f>
        <v/>
      </c>
      <c r="Q214" s="45" t="inlineStr">
        <is>
          <t>30/09/2027</t>
        </is>
      </c>
      <c r="R214" s="45" t="inlineStr">
        <is>
          <t>PT2027-00211</t>
        </is>
      </c>
      <c r="S214" s="45" t="inlineStr"/>
    </row>
    <row r="215">
      <c r="A215" s="45" t="inlineStr">
        <is>
          <t>251230970</t>
        </is>
      </c>
      <c r="B215" s="45" t="inlineStr">
        <is>
          <t>TRẦN KIM THÀNH</t>
        </is>
      </c>
      <c r="C215" s="45" t="inlineStr">
        <is>
          <t>Công nghệ thông tin 1 K66</t>
        </is>
      </c>
      <c r="D215" s="45" t="inlineStr">
        <is>
          <t>Năm 4</t>
        </is>
      </c>
      <c r="E215" s="45" t="inlineStr">
        <is>
          <t>2028_2029</t>
        </is>
      </c>
      <c r="F215" s="45" t="n">
        <v>1</v>
      </c>
      <c r="G215" s="46">
        <f>VLOOKUP(D215,'Cấu Hình Học Phí'!$A$8:$B$11,2,FALSE)</f>
        <v/>
      </c>
      <c r="H215" s="46">
        <f>F215*G215</f>
        <v/>
      </c>
      <c r="I215" s="45" t="n">
        <v>0</v>
      </c>
      <c r="J215" s="46">
        <f>I215*'Cấu Hình Học Phí'!$B$5</f>
        <v/>
      </c>
      <c r="K215" s="46" t="n">
        <v>0</v>
      </c>
      <c r="L215" s="46">
        <f>H215+J215-K215</f>
        <v/>
      </c>
      <c r="M215" s="46" t="n">
        <v>732050</v>
      </c>
      <c r="N215" s="46" t="n">
        <v>0</v>
      </c>
      <c r="O215" s="46">
        <f>MAX(0,M215-N215-L215)</f>
        <v/>
      </c>
      <c r="P215" s="46">
        <f>MAX(0,L215-(M215-N215))</f>
        <v/>
      </c>
      <c r="Q215" s="45" t="inlineStr">
        <is>
          <t>30/09/2028</t>
        </is>
      </c>
      <c r="R215" s="45" t="inlineStr">
        <is>
          <t>PT2028-00212</t>
        </is>
      </c>
      <c r="S215" s="45" t="inlineStr"/>
    </row>
    <row r="216">
      <c r="A216" s="45" t="inlineStr">
        <is>
          <t>251210977</t>
        </is>
      </c>
      <c r="B216" s="45" t="inlineStr">
        <is>
          <t>LƯỜNG HƯNG THỊNH</t>
        </is>
      </c>
      <c r="C216" s="45" t="inlineStr">
        <is>
          <t>Công nghệ thông tin 1 K66</t>
        </is>
      </c>
      <c r="D216" s="45" t="inlineStr">
        <is>
          <t>Năm 1</t>
        </is>
      </c>
      <c r="E216" s="45" t="inlineStr">
        <is>
          <t>2025_2026</t>
        </is>
      </c>
      <c r="F216" s="45" t="n">
        <v>4</v>
      </c>
      <c r="G216" s="46">
        <f>VLOOKUP(D216,'Cấu Hình Học Phí'!$A$8:$B$11,2,FALSE)</f>
        <v/>
      </c>
      <c r="H216" s="46">
        <f>F216*G216</f>
        <v/>
      </c>
      <c r="I216" s="45" t="n">
        <v>1</v>
      </c>
      <c r="J216" s="46">
        <f>I216*'Cấu Hình Học Phí'!$B$5</f>
        <v/>
      </c>
      <c r="K216" s="46" t="n">
        <v>0</v>
      </c>
      <c r="L216" s="46">
        <f>H216+J216-K216</f>
        <v/>
      </c>
      <c r="M216" s="46" t="n">
        <v>2200000</v>
      </c>
      <c r="N216" s="46" t="n">
        <v>0</v>
      </c>
      <c r="O216" s="46">
        <f>MAX(0,M216-N216-L216)</f>
        <v/>
      </c>
      <c r="P216" s="46">
        <f>MAX(0,L216-(M216-N216))</f>
        <v/>
      </c>
      <c r="Q216" s="45" t="inlineStr">
        <is>
          <t>30/09/2025</t>
        </is>
      </c>
      <c r="R216" s="45" t="inlineStr">
        <is>
          <t>PT2025-00213</t>
        </is>
      </c>
      <c r="S216" s="45" t="inlineStr">
        <is>
          <t>Chưa nộp phí phụ đạo 1 môn</t>
        </is>
      </c>
    </row>
    <row r="217">
      <c r="A217" s="45" t="inlineStr">
        <is>
          <t>251210977</t>
        </is>
      </c>
      <c r="B217" s="45" t="inlineStr">
        <is>
          <t>LƯỜNG HƯNG THỊNH</t>
        </is>
      </c>
      <c r="C217" s="45" t="inlineStr">
        <is>
          <t>Công nghệ thông tin 1 K66</t>
        </is>
      </c>
      <c r="D217" s="45" t="inlineStr">
        <is>
          <t>Năm 2</t>
        </is>
      </c>
      <c r="E217" s="45" t="inlineStr">
        <is>
          <t>2026_2027</t>
        </is>
      </c>
      <c r="F217" s="45" t="n">
        <v>4</v>
      </c>
      <c r="G217" s="46">
        <f>VLOOKUP(D217,'Cấu Hình Học Phí'!$A$8:$B$11,2,FALSE)</f>
        <v/>
      </c>
      <c r="H217" s="46">
        <f>F217*G217</f>
        <v/>
      </c>
      <c r="I217" s="45" t="n">
        <v>0</v>
      </c>
      <c r="J217" s="46">
        <f>I217*'Cấu Hình Học Phí'!$B$5</f>
        <v/>
      </c>
      <c r="K217" s="46" t="n">
        <v>0</v>
      </c>
      <c r="L217" s="46">
        <f>H217+J217-K217</f>
        <v/>
      </c>
      <c r="M217" s="46" t="n">
        <v>2420000</v>
      </c>
      <c r="N217" s="46" t="n">
        <v>0</v>
      </c>
      <c r="O217" s="46">
        <f>MAX(0,M217-N217-L217)</f>
        <v/>
      </c>
      <c r="P217" s="46">
        <f>MAX(0,L217-(M217-N217))</f>
        <v/>
      </c>
      <c r="Q217" s="45" t="inlineStr">
        <is>
          <t>30/09/2026</t>
        </is>
      </c>
      <c r="R217" s="45" t="inlineStr">
        <is>
          <t>PT2026-00214</t>
        </is>
      </c>
      <c r="S217" s="45" t="inlineStr"/>
    </row>
    <row r="218">
      <c r="A218" s="45" t="inlineStr">
        <is>
          <t>251210977</t>
        </is>
      </c>
      <c r="B218" s="45" t="inlineStr">
        <is>
          <t>LƯỜNG HƯNG THỊNH</t>
        </is>
      </c>
      <c r="C218" s="45" t="inlineStr">
        <is>
          <t>Công nghệ thông tin 1 K66</t>
        </is>
      </c>
      <c r="D218" s="45" t="inlineStr">
        <is>
          <t>Năm 3</t>
        </is>
      </c>
      <c r="E218" s="45" t="inlineStr">
        <is>
          <t>2027_2028</t>
        </is>
      </c>
      <c r="F218" s="45" t="n">
        <v>4</v>
      </c>
      <c r="G218" s="46">
        <f>VLOOKUP(D218,'Cấu Hình Học Phí'!$A$8:$B$11,2,FALSE)</f>
        <v/>
      </c>
      <c r="H218" s="46">
        <f>F218*G218</f>
        <v/>
      </c>
      <c r="I218" s="45" t="n">
        <v>1</v>
      </c>
      <c r="J218" s="46">
        <f>I218*'Cấu Hình Học Phí'!$B$5</f>
        <v/>
      </c>
      <c r="K218" s="46" t="n">
        <v>0</v>
      </c>
      <c r="L218" s="46">
        <f>H218+J218-K218</f>
        <v/>
      </c>
      <c r="M218" s="46" t="n">
        <v>3662000</v>
      </c>
      <c r="N218" s="46" t="n">
        <v>0</v>
      </c>
      <c r="O218" s="46">
        <f>MAX(0,M218-N218-L218)</f>
        <v/>
      </c>
      <c r="P218" s="46">
        <f>MAX(0,L218-(M218-N218))</f>
        <v/>
      </c>
      <c r="Q218" s="45" t="inlineStr">
        <is>
          <t>30/09/2027</t>
        </is>
      </c>
      <c r="R218" s="45" t="inlineStr">
        <is>
          <t>PT2027-00215</t>
        </is>
      </c>
      <c r="S218" s="45" t="inlineStr"/>
    </row>
    <row r="219">
      <c r="A219" s="45" t="inlineStr">
        <is>
          <t>251210977</t>
        </is>
      </c>
      <c r="B219" s="45" t="inlineStr">
        <is>
          <t>LƯỜNG HƯNG THỊNH</t>
        </is>
      </c>
      <c r="C219" s="45" t="inlineStr">
        <is>
          <t>Công nghệ thông tin 1 K66</t>
        </is>
      </c>
      <c r="D219" s="45" t="inlineStr">
        <is>
          <t>Năm 4</t>
        </is>
      </c>
      <c r="E219" s="45" t="inlineStr">
        <is>
          <t>2028_2029</t>
        </is>
      </c>
      <c r="F219" s="45" t="n">
        <v>1</v>
      </c>
      <c r="G219" s="46">
        <f>VLOOKUP(D219,'Cấu Hình Học Phí'!$A$8:$B$11,2,FALSE)</f>
        <v/>
      </c>
      <c r="H219" s="46">
        <f>F219*G219</f>
        <v/>
      </c>
      <c r="I219" s="45" t="n">
        <v>0</v>
      </c>
      <c r="J219" s="46">
        <f>I219*'Cấu Hình Học Phí'!$B$5</f>
        <v/>
      </c>
      <c r="K219" s="46" t="n">
        <v>0</v>
      </c>
      <c r="L219" s="46">
        <f>H219+J219-K219</f>
        <v/>
      </c>
      <c r="M219" s="46" t="n">
        <v>732050</v>
      </c>
      <c r="N219" s="46" t="n">
        <v>0</v>
      </c>
      <c r="O219" s="46">
        <f>MAX(0,M219-N219-L219)</f>
        <v/>
      </c>
      <c r="P219" s="46">
        <f>MAX(0,L219-(M219-N219))</f>
        <v/>
      </c>
      <c r="Q219" s="45" t="inlineStr">
        <is>
          <t>30/09/2028</t>
        </is>
      </c>
      <c r="R219" s="45" t="inlineStr">
        <is>
          <t>PT2028-00216</t>
        </is>
      </c>
      <c r="S219" s="45" t="inlineStr"/>
    </row>
    <row r="220">
      <c r="A220" s="45" t="inlineStr">
        <is>
          <t>251230979</t>
        </is>
      </c>
      <c r="B220" s="45" t="inlineStr">
        <is>
          <t>LÊ VĂN THUẬN</t>
        </is>
      </c>
      <c r="C220" s="45" t="inlineStr">
        <is>
          <t>Công nghệ thông tin 1 K66</t>
        </is>
      </c>
      <c r="D220" s="45" t="inlineStr">
        <is>
          <t>Năm 1</t>
        </is>
      </c>
      <c r="E220" s="45" t="inlineStr">
        <is>
          <t>2025_2026</t>
        </is>
      </c>
      <c r="F220" s="45" t="n">
        <v>4</v>
      </c>
      <c r="G220" s="46">
        <f>VLOOKUP(D220,'Cấu Hình Học Phí'!$A$8:$B$11,2,FALSE)</f>
        <v/>
      </c>
      <c r="H220" s="46">
        <f>F220*G220</f>
        <v/>
      </c>
      <c r="I220" s="45" t="n">
        <v>0</v>
      </c>
      <c r="J220" s="46">
        <f>I220*'Cấu Hình Học Phí'!$B$5</f>
        <v/>
      </c>
      <c r="K220" s="46" t="n">
        <v>0</v>
      </c>
      <c r="L220" s="46">
        <f>H220+J220-K220</f>
        <v/>
      </c>
      <c r="M220" s="46" t="n">
        <v>2200000</v>
      </c>
      <c r="N220" s="46" t="n">
        <v>0</v>
      </c>
      <c r="O220" s="46">
        <f>MAX(0,M220-N220-L220)</f>
        <v/>
      </c>
      <c r="P220" s="46">
        <f>MAX(0,L220-(M220-N220))</f>
        <v/>
      </c>
      <c r="Q220" s="45" t="inlineStr">
        <is>
          <t>30/09/2025</t>
        </is>
      </c>
      <c r="R220" s="45" t="inlineStr">
        <is>
          <t>PT2025-00217</t>
        </is>
      </c>
      <c r="S220" s="45" t="inlineStr"/>
    </row>
    <row r="221">
      <c r="A221" s="45" t="inlineStr">
        <is>
          <t>251230979</t>
        </is>
      </c>
      <c r="B221" s="45" t="inlineStr">
        <is>
          <t>LÊ VĂN THUẬN</t>
        </is>
      </c>
      <c r="C221" s="45" t="inlineStr">
        <is>
          <t>Công nghệ thông tin 1 K66</t>
        </is>
      </c>
      <c r="D221" s="45" t="inlineStr">
        <is>
          <t>Năm 2</t>
        </is>
      </c>
      <c r="E221" s="45" t="inlineStr">
        <is>
          <t>2026_2027</t>
        </is>
      </c>
      <c r="F221" s="45" t="n">
        <v>4</v>
      </c>
      <c r="G221" s="46">
        <f>VLOOKUP(D221,'Cấu Hình Học Phí'!$A$8:$B$11,2,FALSE)</f>
        <v/>
      </c>
      <c r="H221" s="46">
        <f>F221*G221</f>
        <v/>
      </c>
      <c r="I221" s="45" t="n">
        <v>0</v>
      </c>
      <c r="J221" s="46">
        <f>I221*'Cấu Hình Học Phí'!$B$5</f>
        <v/>
      </c>
      <c r="K221" s="46" t="n">
        <v>0</v>
      </c>
      <c r="L221" s="46">
        <f>H221+J221-K221</f>
        <v/>
      </c>
      <c r="M221" s="46" t="n">
        <v>2420000</v>
      </c>
      <c r="N221" s="46" t="n">
        <v>0</v>
      </c>
      <c r="O221" s="46">
        <f>MAX(0,M221-N221-L221)</f>
        <v/>
      </c>
      <c r="P221" s="46">
        <f>MAX(0,L221-(M221-N221))</f>
        <v/>
      </c>
      <c r="Q221" s="45" t="inlineStr">
        <is>
          <t>30/09/2026</t>
        </is>
      </c>
      <c r="R221" s="45" t="inlineStr">
        <is>
          <t>PT2026-00218</t>
        </is>
      </c>
      <c r="S221" s="45" t="inlineStr"/>
    </row>
    <row r="222">
      <c r="A222" s="45" t="inlineStr">
        <is>
          <t>251230979</t>
        </is>
      </c>
      <c r="B222" s="45" t="inlineStr">
        <is>
          <t>LÊ VĂN THUẬN</t>
        </is>
      </c>
      <c r="C222" s="45" t="inlineStr">
        <is>
          <t>Công nghệ thông tin 1 K66</t>
        </is>
      </c>
      <c r="D222" s="45" t="inlineStr">
        <is>
          <t>Năm 3</t>
        </is>
      </c>
      <c r="E222" s="45" t="inlineStr">
        <is>
          <t>2027_2028</t>
        </is>
      </c>
      <c r="F222" s="45" t="n">
        <v>4</v>
      </c>
      <c r="G222" s="46">
        <f>VLOOKUP(D222,'Cấu Hình Học Phí'!$A$8:$B$11,2,FALSE)</f>
        <v/>
      </c>
      <c r="H222" s="46">
        <f>F222*G222</f>
        <v/>
      </c>
      <c r="I222" s="45" t="n">
        <v>0</v>
      </c>
      <c r="J222" s="46">
        <f>I222*'Cấu Hình Học Phí'!$B$5</f>
        <v/>
      </c>
      <c r="K222" s="46" t="n">
        <v>0</v>
      </c>
      <c r="L222" s="46">
        <f>H222+J222-K222</f>
        <v/>
      </c>
      <c r="M222" s="46" t="n">
        <v>2662000</v>
      </c>
      <c r="N222" s="46" t="n">
        <v>0</v>
      </c>
      <c r="O222" s="46">
        <f>MAX(0,M222-N222-L222)</f>
        <v/>
      </c>
      <c r="P222" s="46">
        <f>MAX(0,L222-(M222-N222))</f>
        <v/>
      </c>
      <c r="Q222" s="45" t="inlineStr">
        <is>
          <t>30/09/2027</t>
        </is>
      </c>
      <c r="R222" s="45" t="inlineStr">
        <is>
          <t>PT2027-00219</t>
        </is>
      </c>
      <c r="S222" s="45" t="inlineStr"/>
    </row>
    <row r="223">
      <c r="A223" s="45" t="inlineStr">
        <is>
          <t>251230979</t>
        </is>
      </c>
      <c r="B223" s="45" t="inlineStr">
        <is>
          <t>LÊ VĂN THUẬN</t>
        </is>
      </c>
      <c r="C223" s="45" t="inlineStr">
        <is>
          <t>Công nghệ thông tin 1 K66</t>
        </is>
      </c>
      <c r="D223" s="45" t="inlineStr">
        <is>
          <t>Năm 4</t>
        </is>
      </c>
      <c r="E223" s="45" t="inlineStr">
        <is>
          <t>2028_2029</t>
        </is>
      </c>
      <c r="F223" s="45" t="n">
        <v>1</v>
      </c>
      <c r="G223" s="46">
        <f>VLOOKUP(D223,'Cấu Hình Học Phí'!$A$8:$B$11,2,FALSE)</f>
        <v/>
      </c>
      <c r="H223" s="46">
        <f>F223*G223</f>
        <v/>
      </c>
      <c r="I223" s="45" t="n">
        <v>1</v>
      </c>
      <c r="J223" s="46">
        <f>I223*'Cấu Hình Học Phí'!$B$5</f>
        <v/>
      </c>
      <c r="K223" s="46" t="n">
        <v>0</v>
      </c>
      <c r="L223" s="46">
        <f>H223+J223-K223</f>
        <v/>
      </c>
      <c r="M223" s="46" t="n">
        <v>1732050</v>
      </c>
      <c r="N223" s="46" t="n">
        <v>0</v>
      </c>
      <c r="O223" s="46">
        <f>MAX(0,M223-N223-L223)</f>
        <v/>
      </c>
      <c r="P223" s="46">
        <f>MAX(0,L223-(M223-N223))</f>
        <v/>
      </c>
      <c r="Q223" s="45" t="inlineStr">
        <is>
          <t>30/09/2028</t>
        </is>
      </c>
      <c r="R223" s="45" t="inlineStr">
        <is>
          <t>PT2028-00220</t>
        </is>
      </c>
      <c r="S223" s="45" t="inlineStr"/>
    </row>
    <row r="224">
      <c r="A224" s="45" t="inlineStr">
        <is>
          <t>251210982</t>
        </is>
      </c>
      <c r="B224" s="45" t="inlineStr">
        <is>
          <t>NGUYỄN MINH TIẾN</t>
        </is>
      </c>
      <c r="C224" s="45" t="inlineStr">
        <is>
          <t>Công nghệ thông tin 1 K66</t>
        </is>
      </c>
      <c r="D224" s="45" t="inlineStr">
        <is>
          <t>Năm 1</t>
        </is>
      </c>
      <c r="E224" s="45" t="inlineStr">
        <is>
          <t>2025_2026</t>
        </is>
      </c>
      <c r="F224" s="45" t="n">
        <v>4</v>
      </c>
      <c r="G224" s="46">
        <f>VLOOKUP(D224,'Cấu Hình Học Phí'!$A$8:$B$11,2,FALSE)</f>
        <v/>
      </c>
      <c r="H224" s="46">
        <f>F224*G224</f>
        <v/>
      </c>
      <c r="I224" s="45" t="n">
        <v>0</v>
      </c>
      <c r="J224" s="46">
        <f>I224*'Cấu Hình Học Phí'!$B$5</f>
        <v/>
      </c>
      <c r="K224" s="46" t="n">
        <v>0</v>
      </c>
      <c r="L224" s="46">
        <f>H224+J224-K224</f>
        <v/>
      </c>
      <c r="M224" s="46" t="n">
        <v>2200000</v>
      </c>
      <c r="N224" s="46" t="n">
        <v>0</v>
      </c>
      <c r="O224" s="46">
        <f>MAX(0,M224-N224-L224)</f>
        <v/>
      </c>
      <c r="P224" s="46">
        <f>MAX(0,L224-(M224-N224))</f>
        <v/>
      </c>
      <c r="Q224" s="45" t="inlineStr">
        <is>
          <t>30/09/2025</t>
        </is>
      </c>
      <c r="R224" s="45" t="inlineStr">
        <is>
          <t>PT2025-00221</t>
        </is>
      </c>
      <c r="S224" s="45" t="inlineStr"/>
    </row>
    <row r="225">
      <c r="A225" s="45" t="inlineStr">
        <is>
          <t>251210982</t>
        </is>
      </c>
      <c r="B225" s="45" t="inlineStr">
        <is>
          <t>NGUYỄN MINH TIẾN</t>
        </is>
      </c>
      <c r="C225" s="45" t="inlineStr">
        <is>
          <t>Công nghệ thông tin 1 K66</t>
        </is>
      </c>
      <c r="D225" s="45" t="inlineStr">
        <is>
          <t>Năm 2</t>
        </is>
      </c>
      <c r="E225" s="45" t="inlineStr">
        <is>
          <t>2026_2027</t>
        </is>
      </c>
      <c r="F225" s="45" t="n">
        <v>4</v>
      </c>
      <c r="G225" s="46">
        <f>VLOOKUP(D225,'Cấu Hình Học Phí'!$A$8:$B$11,2,FALSE)</f>
        <v/>
      </c>
      <c r="H225" s="46">
        <f>F225*G225</f>
        <v/>
      </c>
      <c r="I225" s="45" t="n">
        <v>1</v>
      </c>
      <c r="J225" s="46">
        <f>I225*'Cấu Hình Học Phí'!$B$5</f>
        <v/>
      </c>
      <c r="K225" s="46" t="n">
        <v>0</v>
      </c>
      <c r="L225" s="46">
        <f>H225+J225-K225</f>
        <v/>
      </c>
      <c r="M225" s="46" t="n">
        <v>2420000</v>
      </c>
      <c r="N225" s="46" t="n">
        <v>0</v>
      </c>
      <c r="O225" s="46">
        <f>MAX(0,M225-N225-L225)</f>
        <v/>
      </c>
      <c r="P225" s="46">
        <f>MAX(0,L225-(M225-N225))</f>
        <v/>
      </c>
      <c r="Q225" s="45" t="inlineStr">
        <is>
          <t>30/09/2026</t>
        </is>
      </c>
      <c r="R225" s="45" t="inlineStr">
        <is>
          <t>PT2026-00222</t>
        </is>
      </c>
      <c r="S225" s="45" t="inlineStr">
        <is>
          <t>Chưa nộp phí phụ đạo 1 môn</t>
        </is>
      </c>
    </row>
    <row r="226">
      <c r="A226" s="45" t="inlineStr">
        <is>
          <t>251210982</t>
        </is>
      </c>
      <c r="B226" s="45" t="inlineStr">
        <is>
          <t>NGUYỄN MINH TIẾN</t>
        </is>
      </c>
      <c r="C226" s="45" t="inlineStr">
        <is>
          <t>Công nghệ thông tin 1 K66</t>
        </is>
      </c>
      <c r="D226" s="45" t="inlineStr">
        <is>
          <t>Năm 3</t>
        </is>
      </c>
      <c r="E226" s="45" t="inlineStr">
        <is>
          <t>2027_2028</t>
        </is>
      </c>
      <c r="F226" s="45" t="n">
        <v>4</v>
      </c>
      <c r="G226" s="46">
        <f>VLOOKUP(D226,'Cấu Hình Học Phí'!$A$8:$B$11,2,FALSE)</f>
        <v/>
      </c>
      <c r="H226" s="46">
        <f>F226*G226</f>
        <v/>
      </c>
      <c r="I226" s="45" t="n">
        <v>1</v>
      </c>
      <c r="J226" s="46">
        <f>I226*'Cấu Hình Học Phí'!$B$5</f>
        <v/>
      </c>
      <c r="K226" s="46" t="n">
        <v>0</v>
      </c>
      <c r="L226" s="46">
        <f>H226+J226-K226</f>
        <v/>
      </c>
      <c r="M226" s="46" t="n">
        <v>3662000</v>
      </c>
      <c r="N226" s="46" t="n">
        <v>0</v>
      </c>
      <c r="O226" s="46">
        <f>MAX(0,M226-N226-L226)</f>
        <v/>
      </c>
      <c r="P226" s="46">
        <f>MAX(0,L226-(M226-N226))</f>
        <v/>
      </c>
      <c r="Q226" s="45" t="inlineStr">
        <is>
          <t>30/09/2027</t>
        </is>
      </c>
      <c r="R226" s="45" t="inlineStr">
        <is>
          <t>PT2027-00223</t>
        </is>
      </c>
      <c r="S226" s="45" t="inlineStr"/>
    </row>
    <row r="227">
      <c r="A227" s="45" t="inlineStr">
        <is>
          <t>251210982</t>
        </is>
      </c>
      <c r="B227" s="45" t="inlineStr">
        <is>
          <t>NGUYỄN MINH TIẾN</t>
        </is>
      </c>
      <c r="C227" s="45" t="inlineStr">
        <is>
          <t>Công nghệ thông tin 1 K66</t>
        </is>
      </c>
      <c r="D227" s="45" t="inlineStr">
        <is>
          <t>Năm 4</t>
        </is>
      </c>
      <c r="E227" s="45" t="inlineStr">
        <is>
          <t>2028_2029</t>
        </is>
      </c>
      <c r="F227" s="45" t="n">
        <v>1</v>
      </c>
      <c r="G227" s="46">
        <f>VLOOKUP(D227,'Cấu Hình Học Phí'!$A$8:$B$11,2,FALSE)</f>
        <v/>
      </c>
      <c r="H227" s="46">
        <f>F227*G227</f>
        <v/>
      </c>
      <c r="I227" s="45" t="n">
        <v>0</v>
      </c>
      <c r="J227" s="46">
        <f>I227*'Cấu Hình Học Phí'!$B$5</f>
        <v/>
      </c>
      <c r="K227" s="46" t="n">
        <v>0</v>
      </c>
      <c r="L227" s="46">
        <f>H227+J227-K227</f>
        <v/>
      </c>
      <c r="M227" s="46" t="n">
        <v>732050</v>
      </c>
      <c r="N227" s="46" t="n">
        <v>0</v>
      </c>
      <c r="O227" s="46">
        <f>MAX(0,M227-N227-L227)</f>
        <v/>
      </c>
      <c r="P227" s="46">
        <f>MAX(0,L227-(M227-N227))</f>
        <v/>
      </c>
      <c r="Q227" s="45" t="inlineStr">
        <is>
          <t>30/09/2028</t>
        </is>
      </c>
      <c r="R227" s="45" t="inlineStr">
        <is>
          <t>PT2028-00224</t>
        </is>
      </c>
      <c r="S227" s="45" t="inlineStr"/>
    </row>
    <row r="228">
      <c r="A228" s="45" t="inlineStr">
        <is>
          <t>251230983</t>
        </is>
      </c>
      <c r="B228" s="45" t="inlineStr">
        <is>
          <t>NGUYỄN TRƯỜNG TIẾN</t>
        </is>
      </c>
      <c r="C228" s="45" t="inlineStr">
        <is>
          <t>Công nghệ thông tin 1 K66</t>
        </is>
      </c>
      <c r="D228" s="45" t="inlineStr">
        <is>
          <t>Năm 1</t>
        </is>
      </c>
      <c r="E228" s="45" t="inlineStr">
        <is>
          <t>2025_2026</t>
        </is>
      </c>
      <c r="F228" s="45" t="n">
        <v>4</v>
      </c>
      <c r="G228" s="46">
        <f>VLOOKUP(D228,'Cấu Hình Học Phí'!$A$8:$B$11,2,FALSE)</f>
        <v/>
      </c>
      <c r="H228" s="46">
        <f>F228*G228</f>
        <v/>
      </c>
      <c r="I228" s="45" t="n">
        <v>0</v>
      </c>
      <c r="J228" s="46">
        <f>I228*'Cấu Hình Học Phí'!$B$5</f>
        <v/>
      </c>
      <c r="K228" s="46" t="n">
        <v>0</v>
      </c>
      <c r="L228" s="46">
        <f>H228+J228-K228</f>
        <v/>
      </c>
      <c r="M228" s="46" t="n">
        <v>2200000</v>
      </c>
      <c r="N228" s="46" t="n">
        <v>0</v>
      </c>
      <c r="O228" s="46">
        <f>MAX(0,M228-N228-L228)</f>
        <v/>
      </c>
      <c r="P228" s="46">
        <f>MAX(0,L228-(M228-N228))</f>
        <v/>
      </c>
      <c r="Q228" s="45" t="inlineStr">
        <is>
          <t>30/09/2025</t>
        </is>
      </c>
      <c r="R228" s="45" t="inlineStr">
        <is>
          <t>PT2025-00225</t>
        </is>
      </c>
      <c r="S228" s="45" t="inlineStr"/>
    </row>
    <row r="229">
      <c r="A229" s="45" t="inlineStr">
        <is>
          <t>251230983</t>
        </is>
      </c>
      <c r="B229" s="45" t="inlineStr">
        <is>
          <t>NGUYỄN TRƯỜNG TIẾN</t>
        </is>
      </c>
      <c r="C229" s="45" t="inlineStr">
        <is>
          <t>Công nghệ thông tin 1 K66</t>
        </is>
      </c>
      <c r="D229" s="45" t="inlineStr">
        <is>
          <t>Năm 2</t>
        </is>
      </c>
      <c r="E229" s="45" t="inlineStr">
        <is>
          <t>2026_2027</t>
        </is>
      </c>
      <c r="F229" s="45" t="n">
        <v>4</v>
      </c>
      <c r="G229" s="46">
        <f>VLOOKUP(D229,'Cấu Hình Học Phí'!$A$8:$B$11,2,FALSE)</f>
        <v/>
      </c>
      <c r="H229" s="46">
        <f>F229*G229</f>
        <v/>
      </c>
      <c r="I229" s="45" t="n">
        <v>0</v>
      </c>
      <c r="J229" s="46">
        <f>I229*'Cấu Hình Học Phí'!$B$5</f>
        <v/>
      </c>
      <c r="K229" s="46" t="n">
        <v>0</v>
      </c>
      <c r="L229" s="46">
        <f>H229+J229-K229</f>
        <v/>
      </c>
      <c r="M229" s="46" t="n">
        <v>2420000</v>
      </c>
      <c r="N229" s="46" t="n">
        <v>0</v>
      </c>
      <c r="O229" s="46">
        <f>MAX(0,M229-N229-L229)</f>
        <v/>
      </c>
      <c r="P229" s="46">
        <f>MAX(0,L229-(M229-N229))</f>
        <v/>
      </c>
      <c r="Q229" s="45" t="inlineStr">
        <is>
          <t>30/09/2026</t>
        </is>
      </c>
      <c r="R229" s="45" t="inlineStr">
        <is>
          <t>PT2026-00226</t>
        </is>
      </c>
      <c r="S229" s="45" t="inlineStr"/>
    </row>
    <row r="230">
      <c r="A230" s="45" t="inlineStr">
        <is>
          <t>251230983</t>
        </is>
      </c>
      <c r="B230" s="45" t="inlineStr">
        <is>
          <t>NGUYỄN TRƯỜNG TIẾN</t>
        </is>
      </c>
      <c r="C230" s="45" t="inlineStr">
        <is>
          <t>Công nghệ thông tin 1 K66</t>
        </is>
      </c>
      <c r="D230" s="45" t="inlineStr">
        <is>
          <t>Năm 3</t>
        </is>
      </c>
      <c r="E230" s="45" t="inlineStr">
        <is>
          <t>2027_2028</t>
        </is>
      </c>
      <c r="F230" s="45" t="n">
        <v>4</v>
      </c>
      <c r="G230" s="46">
        <f>VLOOKUP(D230,'Cấu Hình Học Phí'!$A$8:$B$11,2,FALSE)</f>
        <v/>
      </c>
      <c r="H230" s="46">
        <f>F230*G230</f>
        <v/>
      </c>
      <c r="I230" s="45" t="n">
        <v>1</v>
      </c>
      <c r="J230" s="46">
        <f>I230*'Cấu Hình Học Phí'!$B$5</f>
        <v/>
      </c>
      <c r="K230" s="46" t="n">
        <v>0</v>
      </c>
      <c r="L230" s="46">
        <f>H230+J230-K230</f>
        <v/>
      </c>
      <c r="M230" s="46" t="n">
        <v>3662000</v>
      </c>
      <c r="N230" s="46" t="n">
        <v>0</v>
      </c>
      <c r="O230" s="46">
        <f>MAX(0,M230-N230-L230)</f>
        <v/>
      </c>
      <c r="P230" s="46">
        <f>MAX(0,L230-(M230-N230))</f>
        <v/>
      </c>
      <c r="Q230" s="45" t="inlineStr">
        <is>
          <t>30/09/2027</t>
        </is>
      </c>
      <c r="R230" s="45" t="inlineStr">
        <is>
          <t>PT2027-00227</t>
        </is>
      </c>
      <c r="S230" s="45" t="inlineStr"/>
    </row>
    <row r="231">
      <c r="A231" s="45" t="inlineStr">
        <is>
          <t>251230983</t>
        </is>
      </c>
      <c r="B231" s="45" t="inlineStr">
        <is>
          <t>NGUYỄN TRƯỜNG TIẾN</t>
        </is>
      </c>
      <c r="C231" s="45" t="inlineStr">
        <is>
          <t>Công nghệ thông tin 1 K66</t>
        </is>
      </c>
      <c r="D231" s="45" t="inlineStr">
        <is>
          <t>Năm 4</t>
        </is>
      </c>
      <c r="E231" s="45" t="inlineStr">
        <is>
          <t>2028_2029</t>
        </is>
      </c>
      <c r="F231" s="45" t="n">
        <v>1</v>
      </c>
      <c r="G231" s="46">
        <f>VLOOKUP(D231,'Cấu Hình Học Phí'!$A$8:$B$11,2,FALSE)</f>
        <v/>
      </c>
      <c r="H231" s="46">
        <f>F231*G231</f>
        <v/>
      </c>
      <c r="I231" s="45" t="n">
        <v>0</v>
      </c>
      <c r="J231" s="46">
        <f>I231*'Cấu Hình Học Phí'!$B$5</f>
        <v/>
      </c>
      <c r="K231" s="46" t="n">
        <v>0</v>
      </c>
      <c r="L231" s="46">
        <f>H231+J231-K231</f>
        <v/>
      </c>
      <c r="M231" s="46" t="n">
        <v>732050</v>
      </c>
      <c r="N231" s="46" t="n">
        <v>0</v>
      </c>
      <c r="O231" s="46">
        <f>MAX(0,M231-N231-L231)</f>
        <v/>
      </c>
      <c r="P231" s="46">
        <f>MAX(0,L231-(M231-N231))</f>
        <v/>
      </c>
      <c r="Q231" s="45" t="inlineStr">
        <is>
          <t>30/09/2028</t>
        </is>
      </c>
      <c r="R231" s="45" t="inlineStr">
        <is>
          <t>PT2028-00228</t>
        </is>
      </c>
      <c r="S231" s="45" t="inlineStr"/>
    </row>
    <row r="232">
      <c r="A232" s="45" t="inlineStr">
        <is>
          <t>251230981</t>
        </is>
      </c>
      <c r="B232" s="45" t="inlineStr">
        <is>
          <t>NGUYỄN VĂN TIÊN</t>
        </is>
      </c>
      <c r="C232" s="45" t="inlineStr">
        <is>
          <t>Công nghệ thông tin 1 K66</t>
        </is>
      </c>
      <c r="D232" s="45" t="inlineStr">
        <is>
          <t>Năm 1</t>
        </is>
      </c>
      <c r="E232" s="45" t="inlineStr">
        <is>
          <t>2025_2026</t>
        </is>
      </c>
      <c r="F232" s="45" t="n">
        <v>4</v>
      </c>
      <c r="G232" s="46">
        <f>VLOOKUP(D232,'Cấu Hình Học Phí'!$A$8:$B$11,2,FALSE)</f>
        <v/>
      </c>
      <c r="H232" s="46">
        <f>F232*G232</f>
        <v/>
      </c>
      <c r="I232" s="45" t="n">
        <v>0</v>
      </c>
      <c r="J232" s="46">
        <f>I232*'Cấu Hình Học Phí'!$B$5</f>
        <v/>
      </c>
      <c r="K232" s="46" t="n">
        <v>0</v>
      </c>
      <c r="L232" s="46">
        <f>H232+J232-K232</f>
        <v/>
      </c>
      <c r="M232" s="46" t="n">
        <v>2200000</v>
      </c>
      <c r="N232" s="46" t="n">
        <v>0</v>
      </c>
      <c r="O232" s="46">
        <f>MAX(0,M232-N232-L232)</f>
        <v/>
      </c>
      <c r="P232" s="46">
        <f>MAX(0,L232-(M232-N232))</f>
        <v/>
      </c>
      <c r="Q232" s="45" t="inlineStr">
        <is>
          <t>30/09/2025</t>
        </is>
      </c>
      <c r="R232" s="45" t="inlineStr">
        <is>
          <t>PT2025-00229</t>
        </is>
      </c>
      <c r="S232" s="45" t="inlineStr"/>
    </row>
    <row r="233">
      <c r="A233" s="45" t="inlineStr">
        <is>
          <t>251230981</t>
        </is>
      </c>
      <c r="B233" s="45" t="inlineStr">
        <is>
          <t>NGUYỄN VĂN TIÊN</t>
        </is>
      </c>
      <c r="C233" s="45" t="inlineStr">
        <is>
          <t>Công nghệ thông tin 1 K66</t>
        </is>
      </c>
      <c r="D233" s="45" t="inlineStr">
        <is>
          <t>Năm 2</t>
        </is>
      </c>
      <c r="E233" s="45" t="inlineStr">
        <is>
          <t>2026_2027</t>
        </is>
      </c>
      <c r="F233" s="45" t="n">
        <v>4</v>
      </c>
      <c r="G233" s="46">
        <f>VLOOKUP(D233,'Cấu Hình Học Phí'!$A$8:$B$11,2,FALSE)</f>
        <v/>
      </c>
      <c r="H233" s="46">
        <f>F233*G233</f>
        <v/>
      </c>
      <c r="I233" s="45" t="n">
        <v>0</v>
      </c>
      <c r="J233" s="46">
        <f>I233*'Cấu Hình Học Phí'!$B$5</f>
        <v/>
      </c>
      <c r="K233" s="46" t="n">
        <v>0</v>
      </c>
      <c r="L233" s="46">
        <f>H233+J233-K233</f>
        <v/>
      </c>
      <c r="M233" s="46" t="n">
        <v>2420000</v>
      </c>
      <c r="N233" s="46" t="n">
        <v>0</v>
      </c>
      <c r="O233" s="46">
        <f>MAX(0,M233-N233-L233)</f>
        <v/>
      </c>
      <c r="P233" s="46">
        <f>MAX(0,L233-(M233-N233))</f>
        <v/>
      </c>
      <c r="Q233" s="45" t="inlineStr">
        <is>
          <t>30/09/2026</t>
        </is>
      </c>
      <c r="R233" s="45" t="inlineStr">
        <is>
          <t>PT2026-00230</t>
        </is>
      </c>
      <c r="S233" s="45" t="inlineStr"/>
    </row>
    <row r="234">
      <c r="A234" s="45" t="inlineStr">
        <is>
          <t>251230981</t>
        </is>
      </c>
      <c r="B234" s="45" t="inlineStr">
        <is>
          <t>NGUYỄN VĂN TIÊN</t>
        </is>
      </c>
      <c r="C234" s="45" t="inlineStr">
        <is>
          <t>Công nghệ thông tin 1 K66</t>
        </is>
      </c>
      <c r="D234" s="45" t="inlineStr">
        <is>
          <t>Năm 3</t>
        </is>
      </c>
      <c r="E234" s="45" t="inlineStr">
        <is>
          <t>2027_2028</t>
        </is>
      </c>
      <c r="F234" s="45" t="n">
        <v>4</v>
      </c>
      <c r="G234" s="46">
        <f>VLOOKUP(D234,'Cấu Hình Học Phí'!$A$8:$B$11,2,FALSE)</f>
        <v/>
      </c>
      <c r="H234" s="46">
        <f>F234*G234</f>
        <v/>
      </c>
      <c r="I234" s="45" t="n">
        <v>0</v>
      </c>
      <c r="J234" s="46">
        <f>I234*'Cấu Hình Học Phí'!$B$5</f>
        <v/>
      </c>
      <c r="K234" s="46" t="n">
        <v>0</v>
      </c>
      <c r="L234" s="46">
        <f>H234+J234-K234</f>
        <v/>
      </c>
      <c r="M234" s="46" t="n">
        <v>2662000</v>
      </c>
      <c r="N234" s="46" t="n">
        <v>0</v>
      </c>
      <c r="O234" s="46">
        <f>MAX(0,M234-N234-L234)</f>
        <v/>
      </c>
      <c r="P234" s="46">
        <f>MAX(0,L234-(M234-N234))</f>
        <v/>
      </c>
      <c r="Q234" s="45" t="inlineStr">
        <is>
          <t>30/09/2027</t>
        </is>
      </c>
      <c r="R234" s="45" t="inlineStr">
        <is>
          <t>PT2027-00231</t>
        </is>
      </c>
      <c r="S234" s="45" t="inlineStr"/>
    </row>
    <row r="235">
      <c r="A235" s="45" t="inlineStr">
        <is>
          <t>251230981</t>
        </is>
      </c>
      <c r="B235" s="45" t="inlineStr">
        <is>
          <t>NGUYỄN VĂN TIÊN</t>
        </is>
      </c>
      <c r="C235" s="45" t="inlineStr">
        <is>
          <t>Công nghệ thông tin 1 K66</t>
        </is>
      </c>
      <c r="D235" s="45" t="inlineStr">
        <is>
          <t>Năm 4</t>
        </is>
      </c>
      <c r="E235" s="45" t="inlineStr">
        <is>
          <t>2028_2029</t>
        </is>
      </c>
      <c r="F235" s="45" t="n">
        <v>1</v>
      </c>
      <c r="G235" s="46">
        <f>VLOOKUP(D235,'Cấu Hình Học Phí'!$A$8:$B$11,2,FALSE)</f>
        <v/>
      </c>
      <c r="H235" s="46">
        <f>F235*G235</f>
        <v/>
      </c>
      <c r="I235" s="45" t="n">
        <v>0</v>
      </c>
      <c r="J235" s="46">
        <f>I235*'Cấu Hình Học Phí'!$B$5</f>
        <v/>
      </c>
      <c r="K235" s="46" t="n">
        <v>0</v>
      </c>
      <c r="L235" s="46">
        <f>H235+J235-K235</f>
        <v/>
      </c>
      <c r="M235" s="46" t="n">
        <v>732050</v>
      </c>
      <c r="N235" s="46" t="n">
        <v>0</v>
      </c>
      <c r="O235" s="46">
        <f>MAX(0,M235-N235-L235)</f>
        <v/>
      </c>
      <c r="P235" s="46">
        <f>MAX(0,L235-(M235-N235))</f>
        <v/>
      </c>
      <c r="Q235" s="45" t="inlineStr">
        <is>
          <t>30/09/2028</t>
        </is>
      </c>
      <c r="R235" s="45" t="inlineStr">
        <is>
          <t>PT2028-00232</t>
        </is>
      </c>
      <c r="S235" s="45" t="inlineStr"/>
    </row>
    <row r="236">
      <c r="A236" s="45" t="inlineStr">
        <is>
          <t>251230986</t>
        </is>
      </c>
      <c r="B236" s="45" t="inlineStr">
        <is>
          <t>NGUYỄN ĐỨC TRỌNG</t>
        </is>
      </c>
      <c r="C236" s="45" t="inlineStr">
        <is>
          <t>Công nghệ thông tin 1 K66</t>
        </is>
      </c>
      <c r="D236" s="45" t="inlineStr">
        <is>
          <t>Năm 1</t>
        </is>
      </c>
      <c r="E236" s="45" t="inlineStr">
        <is>
          <t>2025_2026</t>
        </is>
      </c>
      <c r="F236" s="45" t="n">
        <v>4</v>
      </c>
      <c r="G236" s="46">
        <f>VLOOKUP(D236,'Cấu Hình Học Phí'!$A$8:$B$11,2,FALSE)</f>
        <v/>
      </c>
      <c r="H236" s="46">
        <f>F236*G236</f>
        <v/>
      </c>
      <c r="I236" s="45" t="n">
        <v>1</v>
      </c>
      <c r="J236" s="46">
        <f>I236*'Cấu Hình Học Phí'!$B$5</f>
        <v/>
      </c>
      <c r="K236" s="46" t="n">
        <v>0</v>
      </c>
      <c r="L236" s="46">
        <f>H236+J236-K236</f>
        <v/>
      </c>
      <c r="M236" s="46" t="n">
        <v>2200000</v>
      </c>
      <c r="N236" s="46" t="n">
        <v>0</v>
      </c>
      <c r="O236" s="46">
        <f>MAX(0,M236-N236-L236)</f>
        <v/>
      </c>
      <c r="P236" s="46">
        <f>MAX(0,L236-(M236-N236))</f>
        <v/>
      </c>
      <c r="Q236" s="45" t="inlineStr">
        <is>
          <t>30/09/2025</t>
        </is>
      </c>
      <c r="R236" s="45" t="inlineStr">
        <is>
          <t>PT2025-00233</t>
        </is>
      </c>
      <c r="S236" s="45" t="inlineStr">
        <is>
          <t>Chưa nộp phí phụ đạo 1 môn</t>
        </is>
      </c>
    </row>
    <row r="237">
      <c r="A237" s="45" t="inlineStr">
        <is>
          <t>251230986</t>
        </is>
      </c>
      <c r="B237" s="45" t="inlineStr">
        <is>
          <t>NGUYỄN ĐỨC TRỌNG</t>
        </is>
      </c>
      <c r="C237" s="45" t="inlineStr">
        <is>
          <t>Công nghệ thông tin 1 K66</t>
        </is>
      </c>
      <c r="D237" s="45" t="inlineStr">
        <is>
          <t>Năm 2</t>
        </is>
      </c>
      <c r="E237" s="45" t="inlineStr">
        <is>
          <t>2026_2027</t>
        </is>
      </c>
      <c r="F237" s="45" t="n">
        <v>4</v>
      </c>
      <c r="G237" s="46">
        <f>VLOOKUP(D237,'Cấu Hình Học Phí'!$A$8:$B$11,2,FALSE)</f>
        <v/>
      </c>
      <c r="H237" s="46">
        <f>F237*G237</f>
        <v/>
      </c>
      <c r="I237" s="45" t="n">
        <v>0</v>
      </c>
      <c r="J237" s="46">
        <f>I237*'Cấu Hình Học Phí'!$B$5</f>
        <v/>
      </c>
      <c r="K237" s="46" t="n">
        <v>0</v>
      </c>
      <c r="L237" s="46">
        <f>H237+J237-K237</f>
        <v/>
      </c>
      <c r="M237" s="46" t="n">
        <v>2420000</v>
      </c>
      <c r="N237" s="46" t="n">
        <v>0</v>
      </c>
      <c r="O237" s="46">
        <f>MAX(0,M237-N237-L237)</f>
        <v/>
      </c>
      <c r="P237" s="46">
        <f>MAX(0,L237-(M237-N237))</f>
        <v/>
      </c>
      <c r="Q237" s="45" t="inlineStr">
        <is>
          <t>30/09/2026</t>
        </is>
      </c>
      <c r="R237" s="45" t="inlineStr">
        <is>
          <t>PT2026-00234</t>
        </is>
      </c>
      <c r="S237" s="45" t="inlineStr"/>
    </row>
    <row r="238">
      <c r="A238" s="45" t="inlineStr">
        <is>
          <t>251230986</t>
        </is>
      </c>
      <c r="B238" s="45" t="inlineStr">
        <is>
          <t>NGUYỄN ĐỨC TRỌNG</t>
        </is>
      </c>
      <c r="C238" s="45" t="inlineStr">
        <is>
          <t>Công nghệ thông tin 1 K66</t>
        </is>
      </c>
      <c r="D238" s="45" t="inlineStr">
        <is>
          <t>Năm 3</t>
        </is>
      </c>
      <c r="E238" s="45" t="inlineStr">
        <is>
          <t>2027_2028</t>
        </is>
      </c>
      <c r="F238" s="45" t="n">
        <v>4</v>
      </c>
      <c r="G238" s="46">
        <f>VLOOKUP(D238,'Cấu Hình Học Phí'!$A$8:$B$11,2,FALSE)</f>
        <v/>
      </c>
      <c r="H238" s="46">
        <f>F238*G238</f>
        <v/>
      </c>
      <c r="I238" s="45" t="n">
        <v>1</v>
      </c>
      <c r="J238" s="46">
        <f>I238*'Cấu Hình Học Phí'!$B$5</f>
        <v/>
      </c>
      <c r="K238" s="46" t="n">
        <v>0</v>
      </c>
      <c r="L238" s="46">
        <f>H238+J238-K238</f>
        <v/>
      </c>
      <c r="M238" s="46" t="n">
        <v>2662000</v>
      </c>
      <c r="N238" s="46" t="n">
        <v>0</v>
      </c>
      <c r="O238" s="46">
        <f>MAX(0,M238-N238-L238)</f>
        <v/>
      </c>
      <c r="P238" s="46">
        <f>MAX(0,L238-(M238-N238))</f>
        <v/>
      </c>
      <c r="Q238" s="45" t="inlineStr">
        <is>
          <t>30/09/2027</t>
        </is>
      </c>
      <c r="R238" s="45" t="inlineStr">
        <is>
          <t>PT2027-00235</t>
        </is>
      </c>
      <c r="S238" s="45" t="inlineStr">
        <is>
          <t>Chưa nộp phí phụ đạo 1 môn</t>
        </is>
      </c>
    </row>
    <row r="239">
      <c r="A239" s="45" t="inlineStr">
        <is>
          <t>251230986</t>
        </is>
      </c>
      <c r="B239" s="45" t="inlineStr">
        <is>
          <t>NGUYỄN ĐỨC TRỌNG</t>
        </is>
      </c>
      <c r="C239" s="45" t="inlineStr">
        <is>
          <t>Công nghệ thông tin 1 K66</t>
        </is>
      </c>
      <c r="D239" s="45" t="inlineStr">
        <is>
          <t>Năm 4</t>
        </is>
      </c>
      <c r="E239" s="45" t="inlineStr">
        <is>
          <t>2028_2029</t>
        </is>
      </c>
      <c r="F239" s="45" t="n">
        <v>1</v>
      </c>
      <c r="G239" s="46">
        <f>VLOOKUP(D239,'Cấu Hình Học Phí'!$A$8:$B$11,2,FALSE)</f>
        <v/>
      </c>
      <c r="H239" s="46">
        <f>F239*G239</f>
        <v/>
      </c>
      <c r="I239" s="45" t="n">
        <v>0</v>
      </c>
      <c r="J239" s="46">
        <f>I239*'Cấu Hình Học Phí'!$B$5</f>
        <v/>
      </c>
      <c r="K239" s="46" t="n">
        <v>0</v>
      </c>
      <c r="L239" s="46">
        <f>H239+J239-K239</f>
        <v/>
      </c>
      <c r="M239" s="46" t="n">
        <v>732050</v>
      </c>
      <c r="N239" s="46" t="n">
        <v>0</v>
      </c>
      <c r="O239" s="46">
        <f>MAX(0,M239-N239-L239)</f>
        <v/>
      </c>
      <c r="P239" s="46">
        <f>MAX(0,L239-(M239-N239))</f>
        <v/>
      </c>
      <c r="Q239" s="45" t="inlineStr">
        <is>
          <t>30/09/2028</t>
        </is>
      </c>
      <c r="R239" s="45" t="inlineStr">
        <is>
          <t>PT2028-00236</t>
        </is>
      </c>
      <c r="S239" s="45" t="inlineStr"/>
    </row>
    <row r="240">
      <c r="A240" s="45" t="inlineStr">
        <is>
          <t>251210989</t>
        </is>
      </c>
      <c r="B240" s="45" t="inlineStr">
        <is>
          <t>GIANG TUẤN TÚ</t>
        </is>
      </c>
      <c r="C240" s="45" t="inlineStr">
        <is>
          <t>Công nghệ thông tin 1 K66</t>
        </is>
      </c>
      <c r="D240" s="45" t="inlineStr">
        <is>
          <t>Năm 1</t>
        </is>
      </c>
      <c r="E240" s="45" t="inlineStr">
        <is>
          <t>2025_2026</t>
        </is>
      </c>
      <c r="F240" s="45" t="n">
        <v>4</v>
      </c>
      <c r="G240" s="46">
        <f>VLOOKUP(D240,'Cấu Hình Học Phí'!$A$8:$B$11,2,FALSE)</f>
        <v/>
      </c>
      <c r="H240" s="46">
        <f>F240*G240</f>
        <v/>
      </c>
      <c r="I240" s="45" t="n">
        <v>1</v>
      </c>
      <c r="J240" s="46">
        <f>I240*'Cấu Hình Học Phí'!$B$5</f>
        <v/>
      </c>
      <c r="K240" s="46" t="n">
        <v>0</v>
      </c>
      <c r="L240" s="46">
        <f>H240+J240-K240</f>
        <v/>
      </c>
      <c r="M240" s="46" t="n">
        <v>3200000</v>
      </c>
      <c r="N240" s="46" t="n">
        <v>0</v>
      </c>
      <c r="O240" s="46">
        <f>MAX(0,M240-N240-L240)</f>
        <v/>
      </c>
      <c r="P240" s="46">
        <f>MAX(0,L240-(M240-N240))</f>
        <v/>
      </c>
      <c r="Q240" s="45" t="inlineStr">
        <is>
          <t>30/09/2025</t>
        </is>
      </c>
      <c r="R240" s="45" t="inlineStr">
        <is>
          <t>PT2025-00237</t>
        </is>
      </c>
      <c r="S240" s="45" t="inlineStr"/>
    </row>
    <row r="241">
      <c r="A241" s="45" t="inlineStr">
        <is>
          <t>251210989</t>
        </is>
      </c>
      <c r="B241" s="45" t="inlineStr">
        <is>
          <t>GIANG TUẤN TÚ</t>
        </is>
      </c>
      <c r="C241" s="45" t="inlineStr">
        <is>
          <t>Công nghệ thông tin 1 K66</t>
        </is>
      </c>
      <c r="D241" s="45" t="inlineStr">
        <is>
          <t>Năm 2</t>
        </is>
      </c>
      <c r="E241" s="45" t="inlineStr">
        <is>
          <t>2026_2027</t>
        </is>
      </c>
      <c r="F241" s="45" t="n">
        <v>4</v>
      </c>
      <c r="G241" s="46">
        <f>VLOOKUP(D241,'Cấu Hình Học Phí'!$A$8:$B$11,2,FALSE)</f>
        <v/>
      </c>
      <c r="H241" s="46">
        <f>F241*G241</f>
        <v/>
      </c>
      <c r="I241" s="45" t="n">
        <v>0</v>
      </c>
      <c r="J241" s="46">
        <f>I241*'Cấu Hình Học Phí'!$B$5</f>
        <v/>
      </c>
      <c r="K241" s="46" t="n">
        <v>0</v>
      </c>
      <c r="L241" s="46">
        <f>H241+J241-K241</f>
        <v/>
      </c>
      <c r="M241" s="46" t="n">
        <v>2420000</v>
      </c>
      <c r="N241" s="46" t="n">
        <v>0</v>
      </c>
      <c r="O241" s="46">
        <f>MAX(0,M241-N241-L241)</f>
        <v/>
      </c>
      <c r="P241" s="46">
        <f>MAX(0,L241-(M241-N241))</f>
        <v/>
      </c>
      <c r="Q241" s="45" t="inlineStr">
        <is>
          <t>30/09/2026</t>
        </is>
      </c>
      <c r="R241" s="45" t="inlineStr">
        <is>
          <t>PT2026-00238</t>
        </is>
      </c>
      <c r="S241" s="45" t="inlineStr"/>
    </row>
    <row r="242">
      <c r="A242" s="45" t="inlineStr">
        <is>
          <t>251210989</t>
        </is>
      </c>
      <c r="B242" s="45" t="inlineStr">
        <is>
          <t>GIANG TUẤN TÚ</t>
        </is>
      </c>
      <c r="C242" s="45" t="inlineStr">
        <is>
          <t>Công nghệ thông tin 1 K66</t>
        </is>
      </c>
      <c r="D242" s="45" t="inlineStr">
        <is>
          <t>Năm 3</t>
        </is>
      </c>
      <c r="E242" s="45" t="inlineStr">
        <is>
          <t>2027_2028</t>
        </is>
      </c>
      <c r="F242" s="45" t="n">
        <v>4</v>
      </c>
      <c r="G242" s="46">
        <f>VLOOKUP(D242,'Cấu Hình Học Phí'!$A$8:$B$11,2,FALSE)</f>
        <v/>
      </c>
      <c r="H242" s="46">
        <f>F242*G242</f>
        <v/>
      </c>
      <c r="I242" s="45" t="n">
        <v>0</v>
      </c>
      <c r="J242" s="46">
        <f>I242*'Cấu Hình Học Phí'!$B$5</f>
        <v/>
      </c>
      <c r="K242" s="46" t="n">
        <v>0</v>
      </c>
      <c r="L242" s="46">
        <f>H242+J242-K242</f>
        <v/>
      </c>
      <c r="M242" s="46" t="n">
        <v>2662000</v>
      </c>
      <c r="N242" s="46" t="n">
        <v>0</v>
      </c>
      <c r="O242" s="46">
        <f>MAX(0,M242-N242-L242)</f>
        <v/>
      </c>
      <c r="P242" s="46">
        <f>MAX(0,L242-(M242-N242))</f>
        <v/>
      </c>
      <c r="Q242" s="45" t="inlineStr">
        <is>
          <t>30/09/2027</t>
        </is>
      </c>
      <c r="R242" s="45" t="inlineStr">
        <is>
          <t>PT2027-00239</t>
        </is>
      </c>
      <c r="S242" s="45" t="inlineStr"/>
    </row>
    <row r="243">
      <c r="A243" s="45" t="inlineStr">
        <is>
          <t>251210989</t>
        </is>
      </c>
      <c r="B243" s="45" t="inlineStr">
        <is>
          <t>GIANG TUẤN TÚ</t>
        </is>
      </c>
      <c r="C243" s="45" t="inlineStr">
        <is>
          <t>Công nghệ thông tin 1 K66</t>
        </is>
      </c>
      <c r="D243" s="45" t="inlineStr">
        <is>
          <t>Năm 4</t>
        </is>
      </c>
      <c r="E243" s="45" t="inlineStr">
        <is>
          <t>2028_2029</t>
        </is>
      </c>
      <c r="F243" s="45" t="n">
        <v>1</v>
      </c>
      <c r="G243" s="46">
        <f>VLOOKUP(D243,'Cấu Hình Học Phí'!$A$8:$B$11,2,FALSE)</f>
        <v/>
      </c>
      <c r="H243" s="46">
        <f>F243*G243</f>
        <v/>
      </c>
      <c r="I243" s="45" t="n">
        <v>0</v>
      </c>
      <c r="J243" s="46">
        <f>I243*'Cấu Hình Học Phí'!$B$5</f>
        <v/>
      </c>
      <c r="K243" s="46" t="n">
        <v>0</v>
      </c>
      <c r="L243" s="46">
        <f>H243+J243-K243</f>
        <v/>
      </c>
      <c r="M243" s="46" t="n">
        <v>732050</v>
      </c>
      <c r="N243" s="46" t="n">
        <v>0</v>
      </c>
      <c r="O243" s="46">
        <f>MAX(0,M243-N243-L243)</f>
        <v/>
      </c>
      <c r="P243" s="46">
        <f>MAX(0,L243-(M243-N243))</f>
        <v/>
      </c>
      <c r="Q243" s="45" t="inlineStr">
        <is>
          <t>30/09/2028</t>
        </is>
      </c>
      <c r="R243" s="45" t="inlineStr">
        <is>
          <t>PT2028-00240</t>
        </is>
      </c>
      <c r="S243" s="45" t="inlineStr"/>
    </row>
    <row r="244">
      <c r="A244" s="45" t="inlineStr">
        <is>
          <t>251210992</t>
        </is>
      </c>
      <c r="B244" s="45" t="inlineStr">
        <is>
          <t>NGUYỄN DUY TUẤN</t>
        </is>
      </c>
      <c r="C244" s="45" t="inlineStr">
        <is>
          <t>Công nghệ thông tin 1 K66</t>
        </is>
      </c>
      <c r="D244" s="45" t="inlineStr">
        <is>
          <t>Năm 1</t>
        </is>
      </c>
      <c r="E244" s="45" t="inlineStr">
        <is>
          <t>2025_2026</t>
        </is>
      </c>
      <c r="F244" s="45" t="n">
        <v>4</v>
      </c>
      <c r="G244" s="46">
        <f>VLOOKUP(D244,'Cấu Hình Học Phí'!$A$8:$B$11,2,FALSE)</f>
        <v/>
      </c>
      <c r="H244" s="46">
        <f>F244*G244</f>
        <v/>
      </c>
      <c r="I244" s="45" t="n">
        <v>1</v>
      </c>
      <c r="J244" s="46">
        <f>I244*'Cấu Hình Học Phí'!$B$5</f>
        <v/>
      </c>
      <c r="K244" s="46" t="n">
        <v>0</v>
      </c>
      <c r="L244" s="46">
        <f>H244+J244-K244</f>
        <v/>
      </c>
      <c r="M244" s="46" t="n">
        <v>2200000</v>
      </c>
      <c r="N244" s="46" t="n">
        <v>0</v>
      </c>
      <c r="O244" s="46">
        <f>MAX(0,M244-N244-L244)</f>
        <v/>
      </c>
      <c r="P244" s="46">
        <f>MAX(0,L244-(M244-N244))</f>
        <v/>
      </c>
      <c r="Q244" s="45" t="inlineStr">
        <is>
          <t>30/09/2025</t>
        </is>
      </c>
      <c r="R244" s="45" t="inlineStr">
        <is>
          <t>PT2025-00241</t>
        </is>
      </c>
      <c r="S244" s="45" t="inlineStr">
        <is>
          <t>Chưa nộp phí phụ đạo 1 môn</t>
        </is>
      </c>
    </row>
    <row r="245">
      <c r="A245" s="45" t="inlineStr">
        <is>
          <t>251210992</t>
        </is>
      </c>
      <c r="B245" s="45" t="inlineStr">
        <is>
          <t>NGUYỄN DUY TUẤN</t>
        </is>
      </c>
      <c r="C245" s="45" t="inlineStr">
        <is>
          <t>Công nghệ thông tin 1 K66</t>
        </is>
      </c>
      <c r="D245" s="45" t="inlineStr">
        <is>
          <t>Năm 2</t>
        </is>
      </c>
      <c r="E245" s="45" t="inlineStr">
        <is>
          <t>2026_2027</t>
        </is>
      </c>
      <c r="F245" s="45" t="n">
        <v>4</v>
      </c>
      <c r="G245" s="46">
        <f>VLOOKUP(D245,'Cấu Hình Học Phí'!$A$8:$B$11,2,FALSE)</f>
        <v/>
      </c>
      <c r="H245" s="46">
        <f>F245*G245</f>
        <v/>
      </c>
      <c r="I245" s="45" t="n">
        <v>1</v>
      </c>
      <c r="J245" s="46">
        <f>I245*'Cấu Hình Học Phí'!$B$5</f>
        <v/>
      </c>
      <c r="K245" s="46" t="n">
        <v>0</v>
      </c>
      <c r="L245" s="46">
        <f>H245+J245-K245</f>
        <v/>
      </c>
      <c r="M245" s="46" t="n">
        <v>2420000</v>
      </c>
      <c r="N245" s="46" t="n">
        <v>0</v>
      </c>
      <c r="O245" s="46">
        <f>MAX(0,M245-N245-L245)</f>
        <v/>
      </c>
      <c r="P245" s="46">
        <f>MAX(0,L245-(M245-N245))</f>
        <v/>
      </c>
      <c r="Q245" s="45" t="inlineStr">
        <is>
          <t>30/09/2026</t>
        </is>
      </c>
      <c r="R245" s="45" t="inlineStr">
        <is>
          <t>PT2026-00242</t>
        </is>
      </c>
      <c r="S245" s="45" t="inlineStr">
        <is>
          <t>Chưa nộp phí phụ đạo 1 môn</t>
        </is>
      </c>
    </row>
    <row r="246">
      <c r="A246" s="45" t="inlineStr">
        <is>
          <t>251210992</t>
        </is>
      </c>
      <c r="B246" s="45" t="inlineStr">
        <is>
          <t>NGUYỄN DUY TUẤN</t>
        </is>
      </c>
      <c r="C246" s="45" t="inlineStr">
        <is>
          <t>Công nghệ thông tin 1 K66</t>
        </is>
      </c>
      <c r="D246" s="45" t="inlineStr">
        <is>
          <t>Năm 3</t>
        </is>
      </c>
      <c r="E246" s="45" t="inlineStr">
        <is>
          <t>2027_2028</t>
        </is>
      </c>
      <c r="F246" s="45" t="n">
        <v>4</v>
      </c>
      <c r="G246" s="46">
        <f>VLOOKUP(D246,'Cấu Hình Học Phí'!$A$8:$B$11,2,FALSE)</f>
        <v/>
      </c>
      <c r="H246" s="46">
        <f>F246*G246</f>
        <v/>
      </c>
      <c r="I246" s="45" t="n">
        <v>1</v>
      </c>
      <c r="J246" s="46">
        <f>I246*'Cấu Hình Học Phí'!$B$5</f>
        <v/>
      </c>
      <c r="K246" s="46" t="n">
        <v>0</v>
      </c>
      <c r="L246" s="46">
        <f>H246+J246-K246</f>
        <v/>
      </c>
      <c r="M246" s="46" t="n">
        <v>3662000</v>
      </c>
      <c r="N246" s="46" t="n">
        <v>0</v>
      </c>
      <c r="O246" s="46">
        <f>MAX(0,M246-N246-L246)</f>
        <v/>
      </c>
      <c r="P246" s="46">
        <f>MAX(0,L246-(M246-N246))</f>
        <v/>
      </c>
      <c r="Q246" s="45" t="inlineStr">
        <is>
          <t>30/09/2027</t>
        </is>
      </c>
      <c r="R246" s="45" t="inlineStr">
        <is>
          <t>PT2027-00243</t>
        </is>
      </c>
      <c r="S246" s="45" t="inlineStr"/>
    </row>
    <row r="247">
      <c r="A247" s="45" t="inlineStr">
        <is>
          <t>251210992</t>
        </is>
      </c>
      <c r="B247" s="45" t="inlineStr">
        <is>
          <t>NGUYỄN DUY TUẤN</t>
        </is>
      </c>
      <c r="C247" s="45" t="inlineStr">
        <is>
          <t>Công nghệ thông tin 1 K66</t>
        </is>
      </c>
      <c r="D247" s="45" t="inlineStr">
        <is>
          <t>Năm 4</t>
        </is>
      </c>
      <c r="E247" s="45" t="inlineStr">
        <is>
          <t>2028_2029</t>
        </is>
      </c>
      <c r="F247" s="45" t="n">
        <v>1</v>
      </c>
      <c r="G247" s="46">
        <f>VLOOKUP(D247,'Cấu Hình Học Phí'!$A$8:$B$11,2,FALSE)</f>
        <v/>
      </c>
      <c r="H247" s="46">
        <f>F247*G247</f>
        <v/>
      </c>
      <c r="I247" s="45" t="n">
        <v>1</v>
      </c>
      <c r="J247" s="46">
        <f>I247*'Cấu Hình Học Phí'!$B$5</f>
        <v/>
      </c>
      <c r="K247" s="46" t="n">
        <v>0</v>
      </c>
      <c r="L247" s="46">
        <f>H247+J247-K247</f>
        <v/>
      </c>
      <c r="M247" s="46" t="n">
        <v>732050</v>
      </c>
      <c r="N247" s="46" t="n">
        <v>0</v>
      </c>
      <c r="O247" s="46">
        <f>MAX(0,M247-N247-L247)</f>
        <v/>
      </c>
      <c r="P247" s="46">
        <f>MAX(0,L247-(M247-N247))</f>
        <v/>
      </c>
      <c r="Q247" s="45" t="inlineStr">
        <is>
          <t>30/09/2028</t>
        </is>
      </c>
      <c r="R247" s="45" t="inlineStr">
        <is>
          <t>PT2028-00244</t>
        </is>
      </c>
      <c r="S247" s="45" t="inlineStr">
        <is>
          <t>Chưa nộp phí phụ đạo 1 môn</t>
        </is>
      </c>
    </row>
    <row r="248">
      <c r="A248" s="45" t="inlineStr">
        <is>
          <t>251230994</t>
        </is>
      </c>
      <c r="B248" s="45" t="inlineStr">
        <is>
          <t>VŨ ANH TUẤN</t>
        </is>
      </c>
      <c r="C248" s="45" t="inlineStr">
        <is>
          <t>Công nghệ thông tin 1 K66</t>
        </is>
      </c>
      <c r="D248" s="45" t="inlineStr">
        <is>
          <t>Năm 1</t>
        </is>
      </c>
      <c r="E248" s="45" t="inlineStr">
        <is>
          <t>2025_2026</t>
        </is>
      </c>
      <c r="F248" s="45" t="n">
        <v>4</v>
      </c>
      <c r="G248" s="46">
        <f>VLOOKUP(D248,'Cấu Hình Học Phí'!$A$8:$B$11,2,FALSE)</f>
        <v/>
      </c>
      <c r="H248" s="46">
        <f>F248*G248</f>
        <v/>
      </c>
      <c r="I248" s="45" t="n">
        <v>0</v>
      </c>
      <c r="J248" s="46">
        <f>I248*'Cấu Hình Học Phí'!$B$5</f>
        <v/>
      </c>
      <c r="K248" s="46" t="n">
        <v>0</v>
      </c>
      <c r="L248" s="46">
        <f>H248+J248-K248</f>
        <v/>
      </c>
      <c r="M248" s="46" t="n">
        <v>2200000</v>
      </c>
      <c r="N248" s="46" t="n">
        <v>0</v>
      </c>
      <c r="O248" s="46">
        <f>MAX(0,M248-N248-L248)</f>
        <v/>
      </c>
      <c r="P248" s="46">
        <f>MAX(0,L248-(M248-N248))</f>
        <v/>
      </c>
      <c r="Q248" s="45" t="inlineStr">
        <is>
          <t>30/09/2025</t>
        </is>
      </c>
      <c r="R248" s="45" t="inlineStr">
        <is>
          <t>PT2025-00245</t>
        </is>
      </c>
      <c r="S248" s="45" t="inlineStr"/>
    </row>
    <row r="249">
      <c r="A249" s="45" t="inlineStr">
        <is>
          <t>251230994</t>
        </is>
      </c>
      <c r="B249" s="45" t="inlineStr">
        <is>
          <t>VŨ ANH TUẤN</t>
        </is>
      </c>
      <c r="C249" s="45" t="inlineStr">
        <is>
          <t>Công nghệ thông tin 1 K66</t>
        </is>
      </c>
      <c r="D249" s="45" t="inlineStr">
        <is>
          <t>Năm 2</t>
        </is>
      </c>
      <c r="E249" s="45" t="inlineStr">
        <is>
          <t>2026_2027</t>
        </is>
      </c>
      <c r="F249" s="45" t="n">
        <v>4</v>
      </c>
      <c r="G249" s="46">
        <f>VLOOKUP(D249,'Cấu Hình Học Phí'!$A$8:$B$11,2,FALSE)</f>
        <v/>
      </c>
      <c r="H249" s="46">
        <f>F249*G249</f>
        <v/>
      </c>
      <c r="I249" s="45" t="n">
        <v>0</v>
      </c>
      <c r="J249" s="46">
        <f>I249*'Cấu Hình Học Phí'!$B$5</f>
        <v/>
      </c>
      <c r="K249" s="46" t="n">
        <v>0</v>
      </c>
      <c r="L249" s="46">
        <f>H249+J249-K249</f>
        <v/>
      </c>
      <c r="M249" s="46" t="n">
        <v>2420000</v>
      </c>
      <c r="N249" s="46" t="n">
        <v>0</v>
      </c>
      <c r="O249" s="46">
        <f>MAX(0,M249-N249-L249)</f>
        <v/>
      </c>
      <c r="P249" s="46">
        <f>MAX(0,L249-(M249-N249))</f>
        <v/>
      </c>
      <c r="Q249" s="45" t="inlineStr">
        <is>
          <t>30/09/2026</t>
        </is>
      </c>
      <c r="R249" s="45" t="inlineStr">
        <is>
          <t>PT2026-00246</t>
        </is>
      </c>
      <c r="S249" s="45" t="inlineStr"/>
    </row>
    <row r="250">
      <c r="A250" s="45" t="inlineStr">
        <is>
          <t>251230994</t>
        </is>
      </c>
      <c r="B250" s="45" t="inlineStr">
        <is>
          <t>VŨ ANH TUẤN</t>
        </is>
      </c>
      <c r="C250" s="45" t="inlineStr">
        <is>
          <t>Công nghệ thông tin 1 K66</t>
        </is>
      </c>
      <c r="D250" s="45" t="inlineStr">
        <is>
          <t>Năm 3</t>
        </is>
      </c>
      <c r="E250" s="45" t="inlineStr">
        <is>
          <t>2027_2028</t>
        </is>
      </c>
      <c r="F250" s="45" t="n">
        <v>4</v>
      </c>
      <c r="G250" s="46">
        <f>VLOOKUP(D250,'Cấu Hình Học Phí'!$A$8:$B$11,2,FALSE)</f>
        <v/>
      </c>
      <c r="H250" s="46">
        <f>F250*G250</f>
        <v/>
      </c>
      <c r="I250" s="45" t="n">
        <v>0</v>
      </c>
      <c r="J250" s="46">
        <f>I250*'Cấu Hình Học Phí'!$B$5</f>
        <v/>
      </c>
      <c r="K250" s="46" t="n">
        <v>0</v>
      </c>
      <c r="L250" s="46">
        <f>H250+J250-K250</f>
        <v/>
      </c>
      <c r="M250" s="46" t="n">
        <v>2662000</v>
      </c>
      <c r="N250" s="46" t="n">
        <v>0</v>
      </c>
      <c r="O250" s="46">
        <f>MAX(0,M250-N250-L250)</f>
        <v/>
      </c>
      <c r="P250" s="46">
        <f>MAX(0,L250-(M250-N250))</f>
        <v/>
      </c>
      <c r="Q250" s="45" t="inlineStr">
        <is>
          <t>30/09/2027</t>
        </is>
      </c>
      <c r="R250" s="45" t="inlineStr">
        <is>
          <t>PT2027-00247</t>
        </is>
      </c>
      <c r="S250" s="45" t="inlineStr"/>
    </row>
    <row r="251">
      <c r="A251" s="45" t="inlineStr">
        <is>
          <t>251230994</t>
        </is>
      </c>
      <c r="B251" s="45" t="inlineStr">
        <is>
          <t>VŨ ANH TUẤN</t>
        </is>
      </c>
      <c r="C251" s="45" t="inlineStr">
        <is>
          <t>Công nghệ thông tin 1 K66</t>
        </is>
      </c>
      <c r="D251" s="45" t="inlineStr">
        <is>
          <t>Năm 4</t>
        </is>
      </c>
      <c r="E251" s="45" t="inlineStr">
        <is>
          <t>2028_2029</t>
        </is>
      </c>
      <c r="F251" s="45" t="n">
        <v>1</v>
      </c>
      <c r="G251" s="46">
        <f>VLOOKUP(D251,'Cấu Hình Học Phí'!$A$8:$B$11,2,FALSE)</f>
        <v/>
      </c>
      <c r="H251" s="46">
        <f>F251*G251</f>
        <v/>
      </c>
      <c r="I251" s="45" t="n">
        <v>0</v>
      </c>
      <c r="J251" s="46">
        <f>I251*'Cấu Hình Học Phí'!$B$5</f>
        <v/>
      </c>
      <c r="K251" s="46" t="n">
        <v>0</v>
      </c>
      <c r="L251" s="46">
        <f>H251+J251-K251</f>
        <v/>
      </c>
      <c r="M251" s="46" t="n">
        <v>732050</v>
      </c>
      <c r="N251" s="46" t="n">
        <v>0</v>
      </c>
      <c r="O251" s="46">
        <f>MAX(0,M251-N251-L251)</f>
        <v/>
      </c>
      <c r="P251" s="46">
        <f>MAX(0,L251-(M251-N251))</f>
        <v/>
      </c>
      <c r="Q251" s="45" t="inlineStr">
        <is>
          <t>30/09/2028</t>
        </is>
      </c>
      <c r="R251" s="45" t="inlineStr">
        <is>
          <t>PT2028-00248</t>
        </is>
      </c>
      <c r="S251" s="45" t="inlineStr"/>
    </row>
    <row r="252">
      <c r="A252" s="45" t="inlineStr">
        <is>
          <t>251230995</t>
        </is>
      </c>
      <c r="B252" s="45" t="inlineStr">
        <is>
          <t>ĐINH VĂN TUYÊN</t>
        </is>
      </c>
      <c r="C252" s="45" t="inlineStr">
        <is>
          <t>Công nghệ thông tin 1 K66</t>
        </is>
      </c>
      <c r="D252" s="45" t="inlineStr">
        <is>
          <t>Năm 1</t>
        </is>
      </c>
      <c r="E252" s="45" t="inlineStr">
        <is>
          <t>2025_2026</t>
        </is>
      </c>
      <c r="F252" s="45" t="n">
        <v>4</v>
      </c>
      <c r="G252" s="46">
        <f>VLOOKUP(D252,'Cấu Hình Học Phí'!$A$8:$B$11,2,FALSE)</f>
        <v/>
      </c>
      <c r="H252" s="46">
        <f>F252*G252</f>
        <v/>
      </c>
      <c r="I252" s="45" t="n">
        <v>1</v>
      </c>
      <c r="J252" s="46">
        <f>I252*'Cấu Hình Học Phí'!$B$5</f>
        <v/>
      </c>
      <c r="K252" s="46" t="n">
        <v>0</v>
      </c>
      <c r="L252" s="46">
        <f>H252+J252-K252</f>
        <v/>
      </c>
      <c r="M252" s="46" t="n">
        <v>3200000</v>
      </c>
      <c r="N252" s="46" t="n">
        <v>0</v>
      </c>
      <c r="O252" s="46">
        <f>MAX(0,M252-N252-L252)</f>
        <v/>
      </c>
      <c r="P252" s="46">
        <f>MAX(0,L252-(M252-N252))</f>
        <v/>
      </c>
      <c r="Q252" s="45" t="inlineStr">
        <is>
          <t>30/09/2025</t>
        </is>
      </c>
      <c r="R252" s="45" t="inlineStr">
        <is>
          <t>PT2025-00249</t>
        </is>
      </c>
      <c r="S252" s="45" t="inlineStr"/>
    </row>
    <row r="253">
      <c r="A253" s="45" t="inlineStr">
        <is>
          <t>251230995</t>
        </is>
      </c>
      <c r="B253" s="45" t="inlineStr">
        <is>
          <t>ĐINH VĂN TUYÊN</t>
        </is>
      </c>
      <c r="C253" s="45" t="inlineStr">
        <is>
          <t>Công nghệ thông tin 1 K66</t>
        </is>
      </c>
      <c r="D253" s="45" t="inlineStr">
        <is>
          <t>Năm 2</t>
        </is>
      </c>
      <c r="E253" s="45" t="inlineStr">
        <is>
          <t>2026_2027</t>
        </is>
      </c>
      <c r="F253" s="45" t="n">
        <v>4</v>
      </c>
      <c r="G253" s="46">
        <f>VLOOKUP(D253,'Cấu Hình Học Phí'!$A$8:$B$11,2,FALSE)</f>
        <v/>
      </c>
      <c r="H253" s="46">
        <f>F253*G253</f>
        <v/>
      </c>
      <c r="I253" s="45" t="n">
        <v>0</v>
      </c>
      <c r="J253" s="46">
        <f>I253*'Cấu Hình Học Phí'!$B$5</f>
        <v/>
      </c>
      <c r="K253" s="46" t="n">
        <v>0</v>
      </c>
      <c r="L253" s="46">
        <f>H253+J253-K253</f>
        <v/>
      </c>
      <c r="M253" s="46" t="n">
        <v>2420000</v>
      </c>
      <c r="N253" s="46" t="n">
        <v>0</v>
      </c>
      <c r="O253" s="46">
        <f>MAX(0,M253-N253-L253)</f>
        <v/>
      </c>
      <c r="P253" s="46">
        <f>MAX(0,L253-(M253-N253))</f>
        <v/>
      </c>
      <c r="Q253" s="45" t="inlineStr">
        <is>
          <t>30/09/2026</t>
        </is>
      </c>
      <c r="R253" s="45" t="inlineStr">
        <is>
          <t>PT2026-00250</t>
        </is>
      </c>
      <c r="S253" s="45" t="inlineStr"/>
    </row>
    <row r="254">
      <c r="A254" s="45" t="inlineStr">
        <is>
          <t>251230995</t>
        </is>
      </c>
      <c r="B254" s="45" t="inlineStr">
        <is>
          <t>ĐINH VĂN TUYÊN</t>
        </is>
      </c>
      <c r="C254" s="45" t="inlineStr">
        <is>
          <t>Công nghệ thông tin 1 K66</t>
        </is>
      </c>
      <c r="D254" s="45" t="inlineStr">
        <is>
          <t>Năm 3</t>
        </is>
      </c>
      <c r="E254" s="45" t="inlineStr">
        <is>
          <t>2027_2028</t>
        </is>
      </c>
      <c r="F254" s="45" t="n">
        <v>4</v>
      </c>
      <c r="G254" s="46">
        <f>VLOOKUP(D254,'Cấu Hình Học Phí'!$A$8:$B$11,2,FALSE)</f>
        <v/>
      </c>
      <c r="H254" s="46">
        <f>F254*G254</f>
        <v/>
      </c>
      <c r="I254" s="45" t="n">
        <v>0</v>
      </c>
      <c r="J254" s="46">
        <f>I254*'Cấu Hình Học Phí'!$B$5</f>
        <v/>
      </c>
      <c r="K254" s="46" t="n">
        <v>0</v>
      </c>
      <c r="L254" s="46">
        <f>H254+J254-K254</f>
        <v/>
      </c>
      <c r="M254" s="46" t="n">
        <v>2662000</v>
      </c>
      <c r="N254" s="46" t="n">
        <v>0</v>
      </c>
      <c r="O254" s="46">
        <f>MAX(0,M254-N254-L254)</f>
        <v/>
      </c>
      <c r="P254" s="46">
        <f>MAX(0,L254-(M254-N254))</f>
        <v/>
      </c>
      <c r="Q254" s="45" t="inlineStr">
        <is>
          <t>30/09/2027</t>
        </is>
      </c>
      <c r="R254" s="45" t="inlineStr">
        <is>
          <t>PT2027-00251</t>
        </is>
      </c>
      <c r="S254" s="45" t="inlineStr"/>
    </row>
    <row r="255">
      <c r="A255" s="45" t="inlineStr">
        <is>
          <t>251230995</t>
        </is>
      </c>
      <c r="B255" s="45" t="inlineStr">
        <is>
          <t>ĐINH VĂN TUYÊN</t>
        </is>
      </c>
      <c r="C255" s="45" t="inlineStr">
        <is>
          <t>Công nghệ thông tin 1 K66</t>
        </is>
      </c>
      <c r="D255" s="45" t="inlineStr">
        <is>
          <t>Năm 4</t>
        </is>
      </c>
      <c r="E255" s="45" t="inlineStr">
        <is>
          <t>2028_2029</t>
        </is>
      </c>
      <c r="F255" s="45" t="n">
        <v>1</v>
      </c>
      <c r="G255" s="46">
        <f>VLOOKUP(D255,'Cấu Hình Học Phí'!$A$8:$B$11,2,FALSE)</f>
        <v/>
      </c>
      <c r="H255" s="46">
        <f>F255*G255</f>
        <v/>
      </c>
      <c r="I255" s="45" t="n">
        <v>0</v>
      </c>
      <c r="J255" s="46">
        <f>I255*'Cấu Hình Học Phí'!$B$5</f>
        <v/>
      </c>
      <c r="K255" s="46" t="n">
        <v>0</v>
      </c>
      <c r="L255" s="46">
        <f>H255+J255-K255</f>
        <v/>
      </c>
      <c r="M255" s="46" t="n">
        <v>732050</v>
      </c>
      <c r="N255" s="46" t="n">
        <v>0</v>
      </c>
      <c r="O255" s="46">
        <f>MAX(0,M255-N255-L255)</f>
        <v/>
      </c>
      <c r="P255" s="46">
        <f>MAX(0,L255-(M255-N255))</f>
        <v/>
      </c>
      <c r="Q255" s="45" t="inlineStr">
        <is>
          <t>30/09/2028</t>
        </is>
      </c>
      <c r="R255" s="45" t="inlineStr">
        <is>
          <t>PT2028-00252</t>
        </is>
      </c>
      <c r="S255" s="45" t="inlineStr"/>
    </row>
    <row r="256">
      <c r="A256" s="45" t="inlineStr">
        <is>
          <t>251211001</t>
        </is>
      </c>
      <c r="B256" s="45" t="inlineStr">
        <is>
          <t>HOÀNG PHÚC VINH</t>
        </is>
      </c>
      <c r="C256" s="45" t="inlineStr">
        <is>
          <t>Công nghệ thông tin 1 K66</t>
        </is>
      </c>
      <c r="D256" s="45" t="inlineStr">
        <is>
          <t>Năm 1</t>
        </is>
      </c>
      <c r="E256" s="45" t="inlineStr">
        <is>
          <t>2025_2026</t>
        </is>
      </c>
      <c r="F256" s="45" t="n">
        <v>4</v>
      </c>
      <c r="G256" s="46">
        <f>VLOOKUP(D256,'Cấu Hình Học Phí'!$A$8:$B$11,2,FALSE)</f>
        <v/>
      </c>
      <c r="H256" s="46">
        <f>F256*G256</f>
        <v/>
      </c>
      <c r="I256" s="45" t="n">
        <v>0</v>
      </c>
      <c r="J256" s="46">
        <f>I256*'Cấu Hình Học Phí'!$B$5</f>
        <v/>
      </c>
      <c r="K256" s="46" t="n">
        <v>0</v>
      </c>
      <c r="L256" s="46">
        <f>H256+J256-K256</f>
        <v/>
      </c>
      <c r="M256" s="46" t="n">
        <v>2200000</v>
      </c>
      <c r="N256" s="46" t="n">
        <v>0</v>
      </c>
      <c r="O256" s="46">
        <f>MAX(0,M256-N256-L256)</f>
        <v/>
      </c>
      <c r="P256" s="46">
        <f>MAX(0,L256-(M256-N256))</f>
        <v/>
      </c>
      <c r="Q256" s="45" t="inlineStr">
        <is>
          <t>30/09/2025</t>
        </is>
      </c>
      <c r="R256" s="45" t="inlineStr">
        <is>
          <t>PT2025-00253</t>
        </is>
      </c>
      <c r="S256" s="45" t="inlineStr"/>
    </row>
    <row r="257">
      <c r="A257" s="45" t="inlineStr">
        <is>
          <t>251211001</t>
        </is>
      </c>
      <c r="B257" s="45" t="inlineStr">
        <is>
          <t>HOÀNG PHÚC VINH</t>
        </is>
      </c>
      <c r="C257" s="45" t="inlineStr">
        <is>
          <t>Công nghệ thông tin 1 K66</t>
        </is>
      </c>
      <c r="D257" s="45" t="inlineStr">
        <is>
          <t>Năm 2</t>
        </is>
      </c>
      <c r="E257" s="45" t="inlineStr">
        <is>
          <t>2026_2027</t>
        </is>
      </c>
      <c r="F257" s="45" t="n">
        <v>4</v>
      </c>
      <c r="G257" s="46">
        <f>VLOOKUP(D257,'Cấu Hình Học Phí'!$A$8:$B$11,2,FALSE)</f>
        <v/>
      </c>
      <c r="H257" s="46">
        <f>F257*G257</f>
        <v/>
      </c>
      <c r="I257" s="45" t="n">
        <v>0</v>
      </c>
      <c r="J257" s="46">
        <f>I257*'Cấu Hình Học Phí'!$B$5</f>
        <v/>
      </c>
      <c r="K257" s="46" t="n">
        <v>0</v>
      </c>
      <c r="L257" s="46">
        <f>H257+J257-K257</f>
        <v/>
      </c>
      <c r="M257" s="46" t="n">
        <v>2420000</v>
      </c>
      <c r="N257" s="46" t="n">
        <v>0</v>
      </c>
      <c r="O257" s="46">
        <f>MAX(0,M257-N257-L257)</f>
        <v/>
      </c>
      <c r="P257" s="46">
        <f>MAX(0,L257-(M257-N257))</f>
        <v/>
      </c>
      <c r="Q257" s="45" t="inlineStr">
        <is>
          <t>30/09/2026</t>
        </is>
      </c>
      <c r="R257" s="45" t="inlineStr">
        <is>
          <t>PT2026-00254</t>
        </is>
      </c>
      <c r="S257" s="45" t="inlineStr"/>
    </row>
    <row r="258">
      <c r="A258" s="45" t="inlineStr">
        <is>
          <t>251211001</t>
        </is>
      </c>
      <c r="B258" s="45" t="inlineStr">
        <is>
          <t>HOÀNG PHÚC VINH</t>
        </is>
      </c>
      <c r="C258" s="45" t="inlineStr">
        <is>
          <t>Công nghệ thông tin 1 K66</t>
        </is>
      </c>
      <c r="D258" s="45" t="inlineStr">
        <is>
          <t>Năm 3</t>
        </is>
      </c>
      <c r="E258" s="45" t="inlineStr">
        <is>
          <t>2027_2028</t>
        </is>
      </c>
      <c r="F258" s="45" t="n">
        <v>4</v>
      </c>
      <c r="G258" s="46">
        <f>VLOOKUP(D258,'Cấu Hình Học Phí'!$A$8:$B$11,2,FALSE)</f>
        <v/>
      </c>
      <c r="H258" s="46">
        <f>F258*G258</f>
        <v/>
      </c>
      <c r="I258" s="45" t="n">
        <v>0</v>
      </c>
      <c r="J258" s="46">
        <f>I258*'Cấu Hình Học Phí'!$B$5</f>
        <v/>
      </c>
      <c r="K258" s="46" t="n">
        <v>0</v>
      </c>
      <c r="L258" s="46">
        <f>H258+J258-K258</f>
        <v/>
      </c>
      <c r="M258" s="46" t="n">
        <v>2662000</v>
      </c>
      <c r="N258" s="46" t="n">
        <v>0</v>
      </c>
      <c r="O258" s="46">
        <f>MAX(0,M258-N258-L258)</f>
        <v/>
      </c>
      <c r="P258" s="46">
        <f>MAX(0,L258-(M258-N258))</f>
        <v/>
      </c>
      <c r="Q258" s="45" t="inlineStr">
        <is>
          <t>30/09/2027</t>
        </is>
      </c>
      <c r="R258" s="45" t="inlineStr">
        <is>
          <t>PT2027-00255</t>
        </is>
      </c>
      <c r="S258" s="45" t="inlineStr"/>
    </row>
    <row r="259">
      <c r="A259" s="45" t="inlineStr">
        <is>
          <t>251211001</t>
        </is>
      </c>
      <c r="B259" s="45" t="inlineStr">
        <is>
          <t>HOÀNG PHÚC VINH</t>
        </is>
      </c>
      <c r="C259" s="45" t="inlineStr">
        <is>
          <t>Công nghệ thông tin 1 K66</t>
        </is>
      </c>
      <c r="D259" s="45" t="inlineStr">
        <is>
          <t>Năm 4</t>
        </is>
      </c>
      <c r="E259" s="45" t="inlineStr">
        <is>
          <t>2028_2029</t>
        </is>
      </c>
      <c r="F259" s="45" t="n">
        <v>1</v>
      </c>
      <c r="G259" s="46">
        <f>VLOOKUP(D259,'Cấu Hình Học Phí'!$A$8:$B$11,2,FALSE)</f>
        <v/>
      </c>
      <c r="H259" s="46">
        <f>F259*G259</f>
        <v/>
      </c>
      <c r="I259" s="45" t="n">
        <v>0</v>
      </c>
      <c r="J259" s="46">
        <f>I259*'Cấu Hình Học Phí'!$B$5</f>
        <v/>
      </c>
      <c r="K259" s="46" t="n">
        <v>0</v>
      </c>
      <c r="L259" s="46">
        <f>H259+J259-K259</f>
        <v/>
      </c>
      <c r="M259" s="46" t="n">
        <v>732050</v>
      </c>
      <c r="N259" s="46" t="n">
        <v>0</v>
      </c>
      <c r="O259" s="46">
        <f>MAX(0,M259-N259-L259)</f>
        <v/>
      </c>
      <c r="P259" s="46">
        <f>MAX(0,L259-(M259-N259))</f>
        <v/>
      </c>
      <c r="Q259" s="45" t="inlineStr">
        <is>
          <t>30/09/2028</t>
        </is>
      </c>
      <c r="R259" s="45" t="inlineStr">
        <is>
          <t>PT2028-00256</t>
        </is>
      </c>
      <c r="S259" s="45" t="inlineStr"/>
    </row>
    <row r="260">
      <c r="A260" s="45" t="inlineStr">
        <is>
          <t>251211004</t>
        </is>
      </c>
      <c r="B260" s="45" t="inlineStr">
        <is>
          <t>VŨ TIẾN VINH</t>
        </is>
      </c>
      <c r="C260" s="45" t="inlineStr">
        <is>
          <t>Công nghệ thông tin 1 K66</t>
        </is>
      </c>
      <c r="D260" s="45" t="inlineStr">
        <is>
          <t>Năm 1</t>
        </is>
      </c>
      <c r="E260" s="45" t="inlineStr">
        <is>
          <t>2025_2026</t>
        </is>
      </c>
      <c r="F260" s="45" t="n">
        <v>4</v>
      </c>
      <c r="G260" s="46">
        <f>VLOOKUP(D260,'Cấu Hình Học Phí'!$A$8:$B$11,2,FALSE)</f>
        <v/>
      </c>
      <c r="H260" s="46">
        <f>F260*G260</f>
        <v/>
      </c>
      <c r="I260" s="45" t="n">
        <v>1</v>
      </c>
      <c r="J260" s="46">
        <f>I260*'Cấu Hình Học Phí'!$B$5</f>
        <v/>
      </c>
      <c r="K260" s="46" t="n">
        <v>0</v>
      </c>
      <c r="L260" s="46">
        <f>H260+J260-K260</f>
        <v/>
      </c>
      <c r="M260" s="46" t="n">
        <v>2200000</v>
      </c>
      <c r="N260" s="46" t="n">
        <v>0</v>
      </c>
      <c r="O260" s="46">
        <f>MAX(0,M260-N260-L260)</f>
        <v/>
      </c>
      <c r="P260" s="46">
        <f>MAX(0,L260-(M260-N260))</f>
        <v/>
      </c>
      <c r="Q260" s="45" t="inlineStr">
        <is>
          <t>30/09/2025</t>
        </is>
      </c>
      <c r="R260" s="45" t="inlineStr">
        <is>
          <t>PT2025-00257</t>
        </is>
      </c>
      <c r="S260" s="45" t="inlineStr">
        <is>
          <t>Chưa nộp phí phụ đạo 1 môn</t>
        </is>
      </c>
    </row>
    <row r="261">
      <c r="A261" s="45" t="inlineStr">
        <is>
          <t>251211004</t>
        </is>
      </c>
      <c r="B261" s="45" t="inlineStr">
        <is>
          <t>VŨ TIẾN VINH</t>
        </is>
      </c>
      <c r="C261" s="45" t="inlineStr">
        <is>
          <t>Công nghệ thông tin 1 K66</t>
        </is>
      </c>
      <c r="D261" s="45" t="inlineStr">
        <is>
          <t>Năm 2</t>
        </is>
      </c>
      <c r="E261" s="45" t="inlineStr">
        <is>
          <t>2026_2027</t>
        </is>
      </c>
      <c r="F261" s="45" t="n">
        <v>4</v>
      </c>
      <c r="G261" s="46">
        <f>VLOOKUP(D261,'Cấu Hình Học Phí'!$A$8:$B$11,2,FALSE)</f>
        <v/>
      </c>
      <c r="H261" s="46">
        <f>F261*G261</f>
        <v/>
      </c>
      <c r="I261" s="45" t="n">
        <v>0</v>
      </c>
      <c r="J261" s="46">
        <f>I261*'Cấu Hình Học Phí'!$B$5</f>
        <v/>
      </c>
      <c r="K261" s="46" t="n">
        <v>0</v>
      </c>
      <c r="L261" s="46">
        <f>H261+J261-K261</f>
        <v/>
      </c>
      <c r="M261" s="46" t="n">
        <v>2420000</v>
      </c>
      <c r="N261" s="46" t="n">
        <v>0</v>
      </c>
      <c r="O261" s="46">
        <f>MAX(0,M261-N261-L261)</f>
        <v/>
      </c>
      <c r="P261" s="46">
        <f>MAX(0,L261-(M261-N261))</f>
        <v/>
      </c>
      <c r="Q261" s="45" t="inlineStr">
        <is>
          <t>30/09/2026</t>
        </is>
      </c>
      <c r="R261" s="45" t="inlineStr">
        <is>
          <t>PT2026-00258</t>
        </is>
      </c>
      <c r="S261" s="45" t="inlineStr"/>
    </row>
    <row r="262">
      <c r="A262" s="45" t="inlineStr">
        <is>
          <t>251211004</t>
        </is>
      </c>
      <c r="B262" s="45" t="inlineStr">
        <is>
          <t>VŨ TIẾN VINH</t>
        </is>
      </c>
      <c r="C262" s="45" t="inlineStr">
        <is>
          <t>Công nghệ thông tin 1 K66</t>
        </is>
      </c>
      <c r="D262" s="45" t="inlineStr">
        <is>
          <t>Năm 3</t>
        </is>
      </c>
      <c r="E262" s="45" t="inlineStr">
        <is>
          <t>2027_2028</t>
        </is>
      </c>
      <c r="F262" s="45" t="n">
        <v>4</v>
      </c>
      <c r="G262" s="46">
        <f>VLOOKUP(D262,'Cấu Hình Học Phí'!$A$8:$B$11,2,FALSE)</f>
        <v/>
      </c>
      <c r="H262" s="46">
        <f>F262*G262</f>
        <v/>
      </c>
      <c r="I262" s="45" t="n">
        <v>0</v>
      </c>
      <c r="J262" s="46">
        <f>I262*'Cấu Hình Học Phí'!$B$5</f>
        <v/>
      </c>
      <c r="K262" s="46" t="n">
        <v>0</v>
      </c>
      <c r="L262" s="46">
        <f>H262+J262-K262</f>
        <v/>
      </c>
      <c r="M262" s="46" t="n">
        <v>2662000</v>
      </c>
      <c r="N262" s="46" t="n">
        <v>0</v>
      </c>
      <c r="O262" s="46">
        <f>MAX(0,M262-N262-L262)</f>
        <v/>
      </c>
      <c r="P262" s="46">
        <f>MAX(0,L262-(M262-N262))</f>
        <v/>
      </c>
      <c r="Q262" s="45" t="inlineStr">
        <is>
          <t>30/09/2027</t>
        </is>
      </c>
      <c r="R262" s="45" t="inlineStr">
        <is>
          <t>PT2027-00259</t>
        </is>
      </c>
      <c r="S262" s="45" t="inlineStr"/>
    </row>
    <row r="263">
      <c r="A263" s="45" t="inlineStr">
        <is>
          <t>251211004</t>
        </is>
      </c>
      <c r="B263" s="45" t="inlineStr">
        <is>
          <t>VŨ TIẾN VINH</t>
        </is>
      </c>
      <c r="C263" s="45" t="inlineStr">
        <is>
          <t>Công nghệ thông tin 1 K66</t>
        </is>
      </c>
      <c r="D263" s="45" t="inlineStr">
        <is>
          <t>Năm 4</t>
        </is>
      </c>
      <c r="E263" s="45" t="inlineStr">
        <is>
          <t>2028_2029</t>
        </is>
      </c>
      <c r="F263" s="45" t="n">
        <v>1</v>
      </c>
      <c r="G263" s="46">
        <f>VLOOKUP(D263,'Cấu Hình Học Phí'!$A$8:$B$11,2,FALSE)</f>
        <v/>
      </c>
      <c r="H263" s="46">
        <f>F263*G263</f>
        <v/>
      </c>
      <c r="I263" s="45" t="n">
        <v>0</v>
      </c>
      <c r="J263" s="46">
        <f>I263*'Cấu Hình Học Phí'!$B$5</f>
        <v/>
      </c>
      <c r="K263" s="46" t="n">
        <v>0</v>
      </c>
      <c r="L263" s="46">
        <f>H263+J263-K263</f>
        <v/>
      </c>
      <c r="M263" s="46" t="n">
        <v>732050</v>
      </c>
      <c r="N263" s="46" t="n">
        <v>0</v>
      </c>
      <c r="O263" s="46">
        <f>MAX(0,M263-N263-L263)</f>
        <v/>
      </c>
      <c r="P263" s="46">
        <f>MAX(0,L263-(M263-N263))</f>
        <v/>
      </c>
      <c r="Q263" s="45" t="inlineStr">
        <is>
          <t>30/09/2028</t>
        </is>
      </c>
      <c r="R263" s="45" t="inlineStr">
        <is>
          <t>PT2028-00260</t>
        </is>
      </c>
      <c r="S263" s="45" t="inlineStr"/>
    </row>
    <row r="264">
      <c r="A264" s="45" t="inlineStr">
        <is>
          <t>251210798</t>
        </is>
      </c>
      <c r="B264" s="45" t="inlineStr">
        <is>
          <t>HOÀNG VIỆT ANH</t>
        </is>
      </c>
      <c r="C264" s="45" t="inlineStr">
        <is>
          <t>Công nghệ thông tin 2 K66</t>
        </is>
      </c>
      <c r="D264" s="45" t="inlineStr">
        <is>
          <t>Năm 1</t>
        </is>
      </c>
      <c r="E264" s="45" t="inlineStr">
        <is>
          <t>2025_2026</t>
        </is>
      </c>
      <c r="F264" s="45" t="n">
        <v>4</v>
      </c>
      <c r="G264" s="46">
        <f>VLOOKUP(D264,'Cấu Hình Học Phí'!$A$8:$B$11,2,FALSE)</f>
        <v/>
      </c>
      <c r="H264" s="46">
        <f>F264*G264</f>
        <v/>
      </c>
      <c r="I264" s="45" t="n">
        <v>1</v>
      </c>
      <c r="J264" s="46">
        <f>I264*'Cấu Hình Học Phí'!$B$5</f>
        <v/>
      </c>
      <c r="K264" s="46" t="n">
        <v>0</v>
      </c>
      <c r="L264" s="46">
        <f>H264+J264-K264</f>
        <v/>
      </c>
      <c r="M264" s="46" t="n">
        <v>3200000</v>
      </c>
      <c r="N264" s="46" t="n">
        <v>0</v>
      </c>
      <c r="O264" s="46">
        <f>MAX(0,M264-N264-L264)</f>
        <v/>
      </c>
      <c r="P264" s="46">
        <f>MAX(0,L264-(M264-N264))</f>
        <v/>
      </c>
      <c r="Q264" s="45" t="inlineStr">
        <is>
          <t>30/09/2025</t>
        </is>
      </c>
      <c r="R264" s="45" t="inlineStr">
        <is>
          <t>PT2025-00261</t>
        </is>
      </c>
      <c r="S264" s="45" t="inlineStr"/>
    </row>
    <row r="265">
      <c r="A265" s="45" t="inlineStr">
        <is>
          <t>251210798</t>
        </is>
      </c>
      <c r="B265" s="45" t="inlineStr">
        <is>
          <t>HOÀNG VIỆT ANH</t>
        </is>
      </c>
      <c r="C265" s="45" t="inlineStr">
        <is>
          <t>Công nghệ thông tin 2 K66</t>
        </is>
      </c>
      <c r="D265" s="45" t="inlineStr">
        <is>
          <t>Năm 2</t>
        </is>
      </c>
      <c r="E265" s="45" t="inlineStr">
        <is>
          <t>2026_2027</t>
        </is>
      </c>
      <c r="F265" s="45" t="n">
        <v>4</v>
      </c>
      <c r="G265" s="46">
        <f>VLOOKUP(D265,'Cấu Hình Học Phí'!$A$8:$B$11,2,FALSE)</f>
        <v/>
      </c>
      <c r="H265" s="46">
        <f>F265*G265</f>
        <v/>
      </c>
      <c r="I265" s="45" t="n">
        <v>0</v>
      </c>
      <c r="J265" s="46">
        <f>I265*'Cấu Hình Học Phí'!$B$5</f>
        <v/>
      </c>
      <c r="K265" s="46" t="n">
        <v>0</v>
      </c>
      <c r="L265" s="46">
        <f>H265+J265-K265</f>
        <v/>
      </c>
      <c r="M265" s="46" t="n">
        <v>2420000</v>
      </c>
      <c r="N265" s="46" t="n">
        <v>0</v>
      </c>
      <c r="O265" s="46">
        <f>MAX(0,M265-N265-L265)</f>
        <v/>
      </c>
      <c r="P265" s="46">
        <f>MAX(0,L265-(M265-N265))</f>
        <v/>
      </c>
      <c r="Q265" s="45" t="inlineStr">
        <is>
          <t>30/09/2026</t>
        </is>
      </c>
      <c r="R265" s="45" t="inlineStr">
        <is>
          <t>PT2026-00262</t>
        </is>
      </c>
      <c r="S265" s="45" t="inlineStr"/>
    </row>
    <row r="266">
      <c r="A266" s="45" t="inlineStr">
        <is>
          <t>251210798</t>
        </is>
      </c>
      <c r="B266" s="45" t="inlineStr">
        <is>
          <t>HOÀNG VIỆT ANH</t>
        </is>
      </c>
      <c r="C266" s="45" t="inlineStr">
        <is>
          <t>Công nghệ thông tin 2 K66</t>
        </is>
      </c>
      <c r="D266" s="45" t="inlineStr">
        <is>
          <t>Năm 3</t>
        </is>
      </c>
      <c r="E266" s="45" t="inlineStr">
        <is>
          <t>2027_2028</t>
        </is>
      </c>
      <c r="F266" s="45" t="n">
        <v>4</v>
      </c>
      <c r="G266" s="46">
        <f>VLOOKUP(D266,'Cấu Hình Học Phí'!$A$8:$B$11,2,FALSE)</f>
        <v/>
      </c>
      <c r="H266" s="46">
        <f>F266*G266</f>
        <v/>
      </c>
      <c r="I266" s="45" t="n">
        <v>0</v>
      </c>
      <c r="J266" s="46">
        <f>I266*'Cấu Hình Học Phí'!$B$5</f>
        <v/>
      </c>
      <c r="K266" s="46" t="n">
        <v>0</v>
      </c>
      <c r="L266" s="46">
        <f>H266+J266-K266</f>
        <v/>
      </c>
      <c r="M266" s="46" t="n">
        <v>2662000</v>
      </c>
      <c r="N266" s="46" t="n">
        <v>0</v>
      </c>
      <c r="O266" s="46">
        <f>MAX(0,M266-N266-L266)</f>
        <v/>
      </c>
      <c r="P266" s="46">
        <f>MAX(0,L266-(M266-N266))</f>
        <v/>
      </c>
      <c r="Q266" s="45" t="inlineStr">
        <is>
          <t>30/09/2027</t>
        </is>
      </c>
      <c r="R266" s="45" t="inlineStr">
        <is>
          <t>PT2027-00263</t>
        </is>
      </c>
      <c r="S266" s="45" t="inlineStr"/>
    </row>
    <row r="267">
      <c r="A267" s="45" t="inlineStr">
        <is>
          <t>251210798</t>
        </is>
      </c>
      <c r="B267" s="45" t="inlineStr">
        <is>
          <t>HOÀNG VIỆT ANH</t>
        </is>
      </c>
      <c r="C267" s="45" t="inlineStr">
        <is>
          <t>Công nghệ thông tin 2 K66</t>
        </is>
      </c>
      <c r="D267" s="45" t="inlineStr">
        <is>
          <t>Năm 4</t>
        </is>
      </c>
      <c r="E267" s="45" t="inlineStr">
        <is>
          <t>2028_2029</t>
        </is>
      </c>
      <c r="F267" s="45" t="n">
        <v>1</v>
      </c>
      <c r="G267" s="46">
        <f>VLOOKUP(D267,'Cấu Hình Học Phí'!$A$8:$B$11,2,FALSE)</f>
        <v/>
      </c>
      <c r="H267" s="46">
        <f>F267*G267</f>
        <v/>
      </c>
      <c r="I267" s="45" t="n">
        <v>0</v>
      </c>
      <c r="J267" s="46">
        <f>I267*'Cấu Hình Học Phí'!$B$5</f>
        <v/>
      </c>
      <c r="K267" s="46" t="n">
        <v>0</v>
      </c>
      <c r="L267" s="46">
        <f>H267+J267-K267</f>
        <v/>
      </c>
      <c r="M267" s="46" t="n">
        <v>732050</v>
      </c>
      <c r="N267" s="46" t="n">
        <v>0</v>
      </c>
      <c r="O267" s="46">
        <f>MAX(0,M267-N267-L267)</f>
        <v/>
      </c>
      <c r="P267" s="46">
        <f>MAX(0,L267-(M267-N267))</f>
        <v/>
      </c>
      <c r="Q267" s="45" t="inlineStr">
        <is>
          <t>30/09/2028</t>
        </is>
      </c>
      <c r="R267" s="45" t="inlineStr">
        <is>
          <t>PT2028-00264</t>
        </is>
      </c>
      <c r="S267" s="45" t="inlineStr"/>
    </row>
    <row r="268">
      <c r="A268" s="45" t="inlineStr">
        <is>
          <t>251230799</t>
        </is>
      </c>
      <c r="B268" s="45" t="inlineStr">
        <is>
          <t>LÃ TUẤN ANH</t>
        </is>
      </c>
      <c r="C268" s="45" t="inlineStr">
        <is>
          <t>Công nghệ thông tin 2 K66</t>
        </is>
      </c>
      <c r="D268" s="45" t="inlineStr">
        <is>
          <t>Năm 1</t>
        </is>
      </c>
      <c r="E268" s="45" t="inlineStr">
        <is>
          <t>2025_2026</t>
        </is>
      </c>
      <c r="F268" s="45" t="n">
        <v>4</v>
      </c>
      <c r="G268" s="46">
        <f>VLOOKUP(D268,'Cấu Hình Học Phí'!$A$8:$B$11,2,FALSE)</f>
        <v/>
      </c>
      <c r="H268" s="46">
        <f>F268*G268</f>
        <v/>
      </c>
      <c r="I268" s="45" t="n">
        <v>1</v>
      </c>
      <c r="J268" s="46">
        <f>I268*'Cấu Hình Học Phí'!$B$5</f>
        <v/>
      </c>
      <c r="K268" s="46" t="n">
        <v>0</v>
      </c>
      <c r="L268" s="46">
        <f>H268+J268-K268</f>
        <v/>
      </c>
      <c r="M268" s="46" t="n">
        <v>2200000</v>
      </c>
      <c r="N268" s="46" t="n">
        <v>0</v>
      </c>
      <c r="O268" s="46">
        <f>MAX(0,M268-N268-L268)</f>
        <v/>
      </c>
      <c r="P268" s="46">
        <f>MAX(0,L268-(M268-N268))</f>
        <v/>
      </c>
      <c r="Q268" s="45" t="inlineStr">
        <is>
          <t>30/09/2025</t>
        </is>
      </c>
      <c r="R268" s="45" t="inlineStr">
        <is>
          <t>PT2025-00265</t>
        </is>
      </c>
      <c r="S268" s="45" t="inlineStr">
        <is>
          <t>Chưa nộp phí phụ đạo 1 môn</t>
        </is>
      </c>
    </row>
    <row r="269">
      <c r="A269" s="45" t="inlineStr">
        <is>
          <t>251230799</t>
        </is>
      </c>
      <c r="B269" s="45" t="inlineStr">
        <is>
          <t>LÃ TUẤN ANH</t>
        </is>
      </c>
      <c r="C269" s="45" t="inlineStr">
        <is>
          <t>Công nghệ thông tin 2 K66</t>
        </is>
      </c>
      <c r="D269" s="45" t="inlineStr">
        <is>
          <t>Năm 2</t>
        </is>
      </c>
      <c r="E269" s="45" t="inlineStr">
        <is>
          <t>2026_2027</t>
        </is>
      </c>
      <c r="F269" s="45" t="n">
        <v>4</v>
      </c>
      <c r="G269" s="46">
        <f>VLOOKUP(D269,'Cấu Hình Học Phí'!$A$8:$B$11,2,FALSE)</f>
        <v/>
      </c>
      <c r="H269" s="46">
        <f>F269*G269</f>
        <v/>
      </c>
      <c r="I269" s="45" t="n">
        <v>1</v>
      </c>
      <c r="J269" s="46">
        <f>I269*'Cấu Hình Học Phí'!$B$5</f>
        <v/>
      </c>
      <c r="K269" s="46" t="n">
        <v>0</v>
      </c>
      <c r="L269" s="46">
        <f>H269+J269-K269</f>
        <v/>
      </c>
      <c r="M269" s="46" t="n">
        <v>2420000</v>
      </c>
      <c r="N269" s="46" t="n">
        <v>0</v>
      </c>
      <c r="O269" s="46">
        <f>MAX(0,M269-N269-L269)</f>
        <v/>
      </c>
      <c r="P269" s="46">
        <f>MAX(0,L269-(M269-N269))</f>
        <v/>
      </c>
      <c r="Q269" s="45" t="inlineStr">
        <is>
          <t>30/09/2026</t>
        </is>
      </c>
      <c r="R269" s="45" t="inlineStr">
        <is>
          <t>PT2026-00266</t>
        </is>
      </c>
      <c r="S269" s="45" t="inlineStr">
        <is>
          <t>Chưa nộp phí phụ đạo 1 môn</t>
        </is>
      </c>
    </row>
    <row r="270">
      <c r="A270" s="45" t="inlineStr">
        <is>
          <t>251230799</t>
        </is>
      </c>
      <c r="B270" s="45" t="inlineStr">
        <is>
          <t>LÃ TUẤN ANH</t>
        </is>
      </c>
      <c r="C270" s="45" t="inlineStr">
        <is>
          <t>Công nghệ thông tin 2 K66</t>
        </is>
      </c>
      <c r="D270" s="45" t="inlineStr">
        <is>
          <t>Năm 3</t>
        </is>
      </c>
      <c r="E270" s="45" t="inlineStr">
        <is>
          <t>2027_2028</t>
        </is>
      </c>
      <c r="F270" s="45" t="n">
        <v>4</v>
      </c>
      <c r="G270" s="46">
        <f>VLOOKUP(D270,'Cấu Hình Học Phí'!$A$8:$B$11,2,FALSE)</f>
        <v/>
      </c>
      <c r="H270" s="46">
        <f>F270*G270</f>
        <v/>
      </c>
      <c r="I270" s="45" t="n">
        <v>0</v>
      </c>
      <c r="J270" s="46">
        <f>I270*'Cấu Hình Học Phí'!$B$5</f>
        <v/>
      </c>
      <c r="K270" s="46" t="n">
        <v>0</v>
      </c>
      <c r="L270" s="46">
        <f>H270+J270-K270</f>
        <v/>
      </c>
      <c r="M270" s="46" t="n">
        <v>2662000</v>
      </c>
      <c r="N270" s="46" t="n">
        <v>0</v>
      </c>
      <c r="O270" s="46">
        <f>MAX(0,M270-N270-L270)</f>
        <v/>
      </c>
      <c r="P270" s="46">
        <f>MAX(0,L270-(M270-N270))</f>
        <v/>
      </c>
      <c r="Q270" s="45" t="inlineStr">
        <is>
          <t>30/09/2027</t>
        </is>
      </c>
      <c r="R270" s="45" t="inlineStr">
        <is>
          <t>PT2027-00267</t>
        </is>
      </c>
      <c r="S270" s="45" t="inlineStr"/>
    </row>
    <row r="271">
      <c r="A271" s="45" t="inlineStr">
        <is>
          <t>251230799</t>
        </is>
      </c>
      <c r="B271" s="45" t="inlineStr">
        <is>
          <t>LÃ TUẤN ANH</t>
        </is>
      </c>
      <c r="C271" s="45" t="inlineStr">
        <is>
          <t>Công nghệ thông tin 2 K66</t>
        </is>
      </c>
      <c r="D271" s="45" t="inlineStr">
        <is>
          <t>Năm 4</t>
        </is>
      </c>
      <c r="E271" s="45" t="inlineStr">
        <is>
          <t>2028_2029</t>
        </is>
      </c>
      <c r="F271" s="45" t="n">
        <v>1</v>
      </c>
      <c r="G271" s="46">
        <f>VLOOKUP(D271,'Cấu Hình Học Phí'!$A$8:$B$11,2,FALSE)</f>
        <v/>
      </c>
      <c r="H271" s="46">
        <f>F271*G271</f>
        <v/>
      </c>
      <c r="I271" s="45" t="n">
        <v>0</v>
      </c>
      <c r="J271" s="46">
        <f>I271*'Cấu Hình Học Phí'!$B$5</f>
        <v/>
      </c>
      <c r="K271" s="46" t="n">
        <v>0</v>
      </c>
      <c r="L271" s="46">
        <f>H271+J271-K271</f>
        <v/>
      </c>
      <c r="M271" s="46" t="n">
        <v>732050</v>
      </c>
      <c r="N271" s="46" t="n">
        <v>0</v>
      </c>
      <c r="O271" s="46">
        <f>MAX(0,M271-N271-L271)</f>
        <v/>
      </c>
      <c r="P271" s="46">
        <f>MAX(0,L271-(M271-N271))</f>
        <v/>
      </c>
      <c r="Q271" s="45" t="inlineStr">
        <is>
          <t>30/09/2028</t>
        </is>
      </c>
      <c r="R271" s="45" t="inlineStr">
        <is>
          <t>PT2028-00268</t>
        </is>
      </c>
      <c r="S271" s="45" t="inlineStr"/>
    </row>
    <row r="272">
      <c r="A272" s="45" t="inlineStr">
        <is>
          <t>251230802</t>
        </is>
      </c>
      <c r="B272" s="45" t="inlineStr">
        <is>
          <t>NGUYỄN CÔNG TUẤN ANH</t>
        </is>
      </c>
      <c r="C272" s="45" t="inlineStr">
        <is>
          <t>Công nghệ thông tin 2 K66</t>
        </is>
      </c>
      <c r="D272" s="45" t="inlineStr">
        <is>
          <t>Năm 1</t>
        </is>
      </c>
      <c r="E272" s="45" t="inlineStr">
        <is>
          <t>2025_2026</t>
        </is>
      </c>
      <c r="F272" s="45" t="n">
        <v>4</v>
      </c>
      <c r="G272" s="46">
        <f>VLOOKUP(D272,'Cấu Hình Học Phí'!$A$8:$B$11,2,FALSE)</f>
        <v/>
      </c>
      <c r="H272" s="46">
        <f>F272*G272</f>
        <v/>
      </c>
      <c r="I272" s="45" t="n">
        <v>1</v>
      </c>
      <c r="J272" s="46">
        <f>I272*'Cấu Hình Học Phí'!$B$5</f>
        <v/>
      </c>
      <c r="K272" s="46" t="n">
        <v>0</v>
      </c>
      <c r="L272" s="46">
        <f>H272+J272-K272</f>
        <v/>
      </c>
      <c r="M272" s="46" t="n">
        <v>2200000</v>
      </c>
      <c r="N272" s="46" t="n">
        <v>0</v>
      </c>
      <c r="O272" s="46">
        <f>MAX(0,M272-N272-L272)</f>
        <v/>
      </c>
      <c r="P272" s="46">
        <f>MAX(0,L272-(M272-N272))</f>
        <v/>
      </c>
      <c r="Q272" s="45" t="inlineStr">
        <is>
          <t>30/09/2025</t>
        </is>
      </c>
      <c r="R272" s="45" t="inlineStr">
        <is>
          <t>PT2025-00269</t>
        </is>
      </c>
      <c r="S272" s="45" t="inlineStr">
        <is>
          <t>Chưa nộp phí phụ đạo 1 môn</t>
        </is>
      </c>
    </row>
    <row r="273">
      <c r="A273" s="45" t="inlineStr">
        <is>
          <t>251230802</t>
        </is>
      </c>
      <c r="B273" s="45" t="inlineStr">
        <is>
          <t>NGUYỄN CÔNG TUẤN ANH</t>
        </is>
      </c>
      <c r="C273" s="45" t="inlineStr">
        <is>
          <t>Công nghệ thông tin 2 K66</t>
        </is>
      </c>
      <c r="D273" s="45" t="inlineStr">
        <is>
          <t>Năm 2</t>
        </is>
      </c>
      <c r="E273" s="45" t="inlineStr">
        <is>
          <t>2026_2027</t>
        </is>
      </c>
      <c r="F273" s="45" t="n">
        <v>4</v>
      </c>
      <c r="G273" s="46">
        <f>VLOOKUP(D273,'Cấu Hình Học Phí'!$A$8:$B$11,2,FALSE)</f>
        <v/>
      </c>
      <c r="H273" s="46">
        <f>F273*G273</f>
        <v/>
      </c>
      <c r="I273" s="45" t="n">
        <v>1</v>
      </c>
      <c r="J273" s="46">
        <f>I273*'Cấu Hình Học Phí'!$B$5</f>
        <v/>
      </c>
      <c r="K273" s="46" t="n">
        <v>0</v>
      </c>
      <c r="L273" s="46">
        <f>H273+J273-K273</f>
        <v/>
      </c>
      <c r="M273" s="46" t="n">
        <v>2420000</v>
      </c>
      <c r="N273" s="46" t="n">
        <v>0</v>
      </c>
      <c r="O273" s="46">
        <f>MAX(0,M273-N273-L273)</f>
        <v/>
      </c>
      <c r="P273" s="46">
        <f>MAX(0,L273-(M273-N273))</f>
        <v/>
      </c>
      <c r="Q273" s="45" t="inlineStr">
        <is>
          <t>30/09/2026</t>
        </is>
      </c>
      <c r="R273" s="45" t="inlineStr">
        <is>
          <t>PT2026-00270</t>
        </is>
      </c>
      <c r="S273" s="45" t="inlineStr">
        <is>
          <t>Chưa nộp phí phụ đạo 1 môn</t>
        </is>
      </c>
    </row>
    <row r="274">
      <c r="A274" s="45" t="inlineStr">
        <is>
          <t>251230802</t>
        </is>
      </c>
      <c r="B274" s="45" t="inlineStr">
        <is>
          <t>NGUYỄN CÔNG TUẤN ANH</t>
        </is>
      </c>
      <c r="C274" s="45" t="inlineStr">
        <is>
          <t>Công nghệ thông tin 2 K66</t>
        </is>
      </c>
      <c r="D274" s="45" t="inlineStr">
        <is>
          <t>Năm 3</t>
        </is>
      </c>
      <c r="E274" s="45" t="inlineStr">
        <is>
          <t>2027_2028</t>
        </is>
      </c>
      <c r="F274" s="45" t="n">
        <v>4</v>
      </c>
      <c r="G274" s="46">
        <f>VLOOKUP(D274,'Cấu Hình Học Phí'!$A$8:$B$11,2,FALSE)</f>
        <v/>
      </c>
      <c r="H274" s="46">
        <f>F274*G274</f>
        <v/>
      </c>
      <c r="I274" s="45" t="n">
        <v>0</v>
      </c>
      <c r="J274" s="46">
        <f>I274*'Cấu Hình Học Phí'!$B$5</f>
        <v/>
      </c>
      <c r="K274" s="46" t="n">
        <v>0</v>
      </c>
      <c r="L274" s="46">
        <f>H274+J274-K274</f>
        <v/>
      </c>
      <c r="M274" s="46" t="n">
        <v>2662000</v>
      </c>
      <c r="N274" s="46" t="n">
        <v>0</v>
      </c>
      <c r="O274" s="46">
        <f>MAX(0,M274-N274-L274)</f>
        <v/>
      </c>
      <c r="P274" s="46">
        <f>MAX(0,L274-(M274-N274))</f>
        <v/>
      </c>
      <c r="Q274" s="45" t="inlineStr">
        <is>
          <t>30/09/2027</t>
        </is>
      </c>
      <c r="R274" s="45" t="inlineStr">
        <is>
          <t>PT2027-00271</t>
        </is>
      </c>
      <c r="S274" s="45" t="inlineStr"/>
    </row>
    <row r="275">
      <c r="A275" s="45" t="inlineStr">
        <is>
          <t>251230802</t>
        </is>
      </c>
      <c r="B275" s="45" t="inlineStr">
        <is>
          <t>NGUYỄN CÔNG TUẤN ANH</t>
        </is>
      </c>
      <c r="C275" s="45" t="inlineStr">
        <is>
          <t>Công nghệ thông tin 2 K66</t>
        </is>
      </c>
      <c r="D275" s="45" t="inlineStr">
        <is>
          <t>Năm 4</t>
        </is>
      </c>
      <c r="E275" s="45" t="inlineStr">
        <is>
          <t>2028_2029</t>
        </is>
      </c>
      <c r="F275" s="45" t="n">
        <v>1</v>
      </c>
      <c r="G275" s="46">
        <f>VLOOKUP(D275,'Cấu Hình Học Phí'!$A$8:$B$11,2,FALSE)</f>
        <v/>
      </c>
      <c r="H275" s="46">
        <f>F275*G275</f>
        <v/>
      </c>
      <c r="I275" s="45" t="n">
        <v>0</v>
      </c>
      <c r="J275" s="46">
        <f>I275*'Cấu Hình Học Phí'!$B$5</f>
        <v/>
      </c>
      <c r="K275" s="46" t="n">
        <v>0</v>
      </c>
      <c r="L275" s="46">
        <f>H275+J275-K275</f>
        <v/>
      </c>
      <c r="M275" s="46" t="n">
        <v>732050</v>
      </c>
      <c r="N275" s="46" t="n">
        <v>0</v>
      </c>
      <c r="O275" s="46">
        <f>MAX(0,M275-N275-L275)</f>
        <v/>
      </c>
      <c r="P275" s="46">
        <f>MAX(0,L275-(M275-N275))</f>
        <v/>
      </c>
      <c r="Q275" s="45" t="inlineStr">
        <is>
          <t>30/09/2028</t>
        </is>
      </c>
      <c r="R275" s="45" t="inlineStr">
        <is>
          <t>PT2028-00272</t>
        </is>
      </c>
      <c r="S275" s="45" t="inlineStr"/>
    </row>
    <row r="276">
      <c r="A276" s="45" t="inlineStr">
        <is>
          <t>251230806</t>
        </is>
      </c>
      <c r="B276" s="45" t="inlineStr">
        <is>
          <t>NGUYỄN TUẤN ANH</t>
        </is>
      </c>
      <c r="C276" s="45" t="inlineStr">
        <is>
          <t>Công nghệ thông tin 2 K66</t>
        </is>
      </c>
      <c r="D276" s="45" t="inlineStr">
        <is>
          <t>Năm 1</t>
        </is>
      </c>
      <c r="E276" s="45" t="inlineStr">
        <is>
          <t>2025_2026</t>
        </is>
      </c>
      <c r="F276" s="45" t="n">
        <v>4</v>
      </c>
      <c r="G276" s="46">
        <f>VLOOKUP(D276,'Cấu Hình Học Phí'!$A$8:$B$11,2,FALSE)</f>
        <v/>
      </c>
      <c r="H276" s="46">
        <f>F276*G276</f>
        <v/>
      </c>
      <c r="I276" s="45" t="n">
        <v>1</v>
      </c>
      <c r="J276" s="46">
        <f>I276*'Cấu Hình Học Phí'!$B$5</f>
        <v/>
      </c>
      <c r="K276" s="46" t="n">
        <v>0</v>
      </c>
      <c r="L276" s="46">
        <f>H276+J276-K276</f>
        <v/>
      </c>
      <c r="M276" s="46" t="n">
        <v>3200000</v>
      </c>
      <c r="N276" s="46" t="n">
        <v>0</v>
      </c>
      <c r="O276" s="46">
        <f>MAX(0,M276-N276-L276)</f>
        <v/>
      </c>
      <c r="P276" s="46">
        <f>MAX(0,L276-(M276-N276))</f>
        <v/>
      </c>
      <c r="Q276" s="45" t="inlineStr">
        <is>
          <t>30/09/2025</t>
        </is>
      </c>
      <c r="R276" s="45" t="inlineStr">
        <is>
          <t>PT2025-00273</t>
        </is>
      </c>
      <c r="S276" s="45" t="inlineStr"/>
    </row>
    <row r="277">
      <c r="A277" s="45" t="inlineStr">
        <is>
          <t>251230806</t>
        </is>
      </c>
      <c r="B277" s="45" t="inlineStr">
        <is>
          <t>NGUYỄN TUẤN ANH</t>
        </is>
      </c>
      <c r="C277" s="45" t="inlineStr">
        <is>
          <t>Công nghệ thông tin 2 K66</t>
        </is>
      </c>
      <c r="D277" s="45" t="inlineStr">
        <is>
          <t>Năm 2</t>
        </is>
      </c>
      <c r="E277" s="45" t="inlineStr">
        <is>
          <t>2026_2027</t>
        </is>
      </c>
      <c r="F277" s="45" t="n">
        <v>4</v>
      </c>
      <c r="G277" s="46">
        <f>VLOOKUP(D277,'Cấu Hình Học Phí'!$A$8:$B$11,2,FALSE)</f>
        <v/>
      </c>
      <c r="H277" s="46">
        <f>F277*G277</f>
        <v/>
      </c>
      <c r="I277" s="45" t="n">
        <v>0</v>
      </c>
      <c r="J277" s="46">
        <f>I277*'Cấu Hình Học Phí'!$B$5</f>
        <v/>
      </c>
      <c r="K277" s="46" t="n">
        <v>0</v>
      </c>
      <c r="L277" s="46">
        <f>H277+J277-K277</f>
        <v/>
      </c>
      <c r="M277" s="46" t="n">
        <v>2420000</v>
      </c>
      <c r="N277" s="46" t="n">
        <v>0</v>
      </c>
      <c r="O277" s="46">
        <f>MAX(0,M277-N277-L277)</f>
        <v/>
      </c>
      <c r="P277" s="46">
        <f>MAX(0,L277-(M277-N277))</f>
        <v/>
      </c>
      <c r="Q277" s="45" t="inlineStr">
        <is>
          <t>30/09/2026</t>
        </is>
      </c>
      <c r="R277" s="45" t="inlineStr">
        <is>
          <t>PT2026-00274</t>
        </is>
      </c>
      <c r="S277" s="45" t="inlineStr"/>
    </row>
    <row r="278">
      <c r="A278" s="45" t="inlineStr">
        <is>
          <t>251230806</t>
        </is>
      </c>
      <c r="B278" s="45" t="inlineStr">
        <is>
          <t>NGUYỄN TUẤN ANH</t>
        </is>
      </c>
      <c r="C278" s="45" t="inlineStr">
        <is>
          <t>Công nghệ thông tin 2 K66</t>
        </is>
      </c>
      <c r="D278" s="45" t="inlineStr">
        <is>
          <t>Năm 3</t>
        </is>
      </c>
      <c r="E278" s="45" t="inlineStr">
        <is>
          <t>2027_2028</t>
        </is>
      </c>
      <c r="F278" s="45" t="n">
        <v>4</v>
      </c>
      <c r="G278" s="46">
        <f>VLOOKUP(D278,'Cấu Hình Học Phí'!$A$8:$B$11,2,FALSE)</f>
        <v/>
      </c>
      <c r="H278" s="46">
        <f>F278*G278</f>
        <v/>
      </c>
      <c r="I278" s="45" t="n">
        <v>1</v>
      </c>
      <c r="J278" s="46">
        <f>I278*'Cấu Hình Học Phí'!$B$5</f>
        <v/>
      </c>
      <c r="K278" s="46" t="n">
        <v>0</v>
      </c>
      <c r="L278" s="46">
        <f>H278+J278-K278</f>
        <v/>
      </c>
      <c r="M278" s="46" t="n">
        <v>3662000</v>
      </c>
      <c r="N278" s="46" t="n">
        <v>0</v>
      </c>
      <c r="O278" s="46">
        <f>MAX(0,M278-N278-L278)</f>
        <v/>
      </c>
      <c r="P278" s="46">
        <f>MAX(0,L278-(M278-N278))</f>
        <v/>
      </c>
      <c r="Q278" s="45" t="inlineStr">
        <is>
          <t>30/09/2027</t>
        </is>
      </c>
      <c r="R278" s="45" t="inlineStr">
        <is>
          <t>PT2027-00275</t>
        </is>
      </c>
      <c r="S278" s="45" t="inlineStr"/>
    </row>
    <row r="279">
      <c r="A279" s="45" t="inlineStr">
        <is>
          <t>251230806</t>
        </is>
      </c>
      <c r="B279" s="45" t="inlineStr">
        <is>
          <t>NGUYỄN TUẤN ANH</t>
        </is>
      </c>
      <c r="C279" s="45" t="inlineStr">
        <is>
          <t>Công nghệ thông tin 2 K66</t>
        </is>
      </c>
      <c r="D279" s="45" t="inlineStr">
        <is>
          <t>Năm 4</t>
        </is>
      </c>
      <c r="E279" s="45" t="inlineStr">
        <is>
          <t>2028_2029</t>
        </is>
      </c>
      <c r="F279" s="45" t="n">
        <v>1</v>
      </c>
      <c r="G279" s="46">
        <f>VLOOKUP(D279,'Cấu Hình Học Phí'!$A$8:$B$11,2,FALSE)</f>
        <v/>
      </c>
      <c r="H279" s="46">
        <f>F279*G279</f>
        <v/>
      </c>
      <c r="I279" s="45" t="n">
        <v>0</v>
      </c>
      <c r="J279" s="46">
        <f>I279*'Cấu Hình Học Phí'!$B$5</f>
        <v/>
      </c>
      <c r="K279" s="46" t="n">
        <v>0</v>
      </c>
      <c r="L279" s="46">
        <f>H279+J279-K279</f>
        <v/>
      </c>
      <c r="M279" s="46" t="n">
        <v>732050</v>
      </c>
      <c r="N279" s="46" t="n">
        <v>0</v>
      </c>
      <c r="O279" s="46">
        <f>MAX(0,M279-N279-L279)</f>
        <v/>
      </c>
      <c r="P279" s="46">
        <f>MAX(0,L279-(M279-N279))</f>
        <v/>
      </c>
      <c r="Q279" s="45" t="inlineStr">
        <is>
          <t>30/09/2028</t>
        </is>
      </c>
      <c r="R279" s="45" t="inlineStr">
        <is>
          <t>PT2028-00276</t>
        </is>
      </c>
      <c r="S279" s="45" t="inlineStr"/>
    </row>
    <row r="280">
      <c r="A280" s="45" t="inlineStr">
        <is>
          <t>251230817</t>
        </is>
      </c>
      <c r="B280" s="45" t="inlineStr">
        <is>
          <t>LÊ CÔNG CƯƠNG</t>
        </is>
      </c>
      <c r="C280" s="45" t="inlineStr">
        <is>
          <t>Công nghệ thông tin 2 K66</t>
        </is>
      </c>
      <c r="D280" s="45" t="inlineStr">
        <is>
          <t>Năm 1</t>
        </is>
      </c>
      <c r="E280" s="45" t="inlineStr">
        <is>
          <t>2025_2026</t>
        </is>
      </c>
      <c r="F280" s="45" t="n">
        <v>4</v>
      </c>
      <c r="G280" s="46">
        <f>VLOOKUP(D280,'Cấu Hình Học Phí'!$A$8:$B$11,2,FALSE)</f>
        <v/>
      </c>
      <c r="H280" s="46">
        <f>F280*G280</f>
        <v/>
      </c>
      <c r="I280" s="45" t="n">
        <v>1</v>
      </c>
      <c r="J280" s="46">
        <f>I280*'Cấu Hình Học Phí'!$B$5</f>
        <v/>
      </c>
      <c r="K280" s="46" t="n">
        <v>0</v>
      </c>
      <c r="L280" s="46">
        <f>H280+J280-K280</f>
        <v/>
      </c>
      <c r="M280" s="46" t="n">
        <v>2200000</v>
      </c>
      <c r="N280" s="46" t="n">
        <v>0</v>
      </c>
      <c r="O280" s="46">
        <f>MAX(0,M280-N280-L280)</f>
        <v/>
      </c>
      <c r="P280" s="46">
        <f>MAX(0,L280-(M280-N280))</f>
        <v/>
      </c>
      <c r="Q280" s="45" t="inlineStr">
        <is>
          <t>30/09/2025</t>
        </is>
      </c>
      <c r="R280" s="45" t="inlineStr">
        <is>
          <t>PT2025-00277</t>
        </is>
      </c>
      <c r="S280" s="45" t="inlineStr">
        <is>
          <t>Chưa nộp phí phụ đạo 1 môn</t>
        </is>
      </c>
    </row>
    <row r="281">
      <c r="A281" s="45" t="inlineStr">
        <is>
          <t>251230817</t>
        </is>
      </c>
      <c r="B281" s="45" t="inlineStr">
        <is>
          <t>LÊ CÔNG CƯƠNG</t>
        </is>
      </c>
      <c r="C281" s="45" t="inlineStr">
        <is>
          <t>Công nghệ thông tin 2 K66</t>
        </is>
      </c>
      <c r="D281" s="45" t="inlineStr">
        <is>
          <t>Năm 2</t>
        </is>
      </c>
      <c r="E281" s="45" t="inlineStr">
        <is>
          <t>2026_2027</t>
        </is>
      </c>
      <c r="F281" s="45" t="n">
        <v>4</v>
      </c>
      <c r="G281" s="46">
        <f>VLOOKUP(D281,'Cấu Hình Học Phí'!$A$8:$B$11,2,FALSE)</f>
        <v/>
      </c>
      <c r="H281" s="46">
        <f>F281*G281</f>
        <v/>
      </c>
      <c r="I281" s="45" t="n">
        <v>0</v>
      </c>
      <c r="J281" s="46">
        <f>I281*'Cấu Hình Học Phí'!$B$5</f>
        <v/>
      </c>
      <c r="K281" s="46" t="n">
        <v>0</v>
      </c>
      <c r="L281" s="46">
        <f>H281+J281-K281</f>
        <v/>
      </c>
      <c r="M281" s="46" t="n">
        <v>2420000</v>
      </c>
      <c r="N281" s="46" t="n">
        <v>0</v>
      </c>
      <c r="O281" s="46">
        <f>MAX(0,M281-N281-L281)</f>
        <v/>
      </c>
      <c r="P281" s="46">
        <f>MAX(0,L281-(M281-N281))</f>
        <v/>
      </c>
      <c r="Q281" s="45" t="inlineStr">
        <is>
          <t>30/09/2026</t>
        </is>
      </c>
      <c r="R281" s="45" t="inlineStr">
        <is>
          <t>PT2026-00278</t>
        </is>
      </c>
      <c r="S281" s="45" t="inlineStr"/>
    </row>
    <row r="282">
      <c r="A282" s="45" t="inlineStr">
        <is>
          <t>251230817</t>
        </is>
      </c>
      <c r="B282" s="45" t="inlineStr">
        <is>
          <t>LÊ CÔNG CƯƠNG</t>
        </is>
      </c>
      <c r="C282" s="45" t="inlineStr">
        <is>
          <t>Công nghệ thông tin 2 K66</t>
        </is>
      </c>
      <c r="D282" s="45" t="inlineStr">
        <is>
          <t>Năm 3</t>
        </is>
      </c>
      <c r="E282" s="45" t="inlineStr">
        <is>
          <t>2027_2028</t>
        </is>
      </c>
      <c r="F282" s="45" t="n">
        <v>4</v>
      </c>
      <c r="G282" s="46">
        <f>VLOOKUP(D282,'Cấu Hình Học Phí'!$A$8:$B$11,2,FALSE)</f>
        <v/>
      </c>
      <c r="H282" s="46">
        <f>F282*G282</f>
        <v/>
      </c>
      <c r="I282" s="45" t="n">
        <v>0</v>
      </c>
      <c r="J282" s="46">
        <f>I282*'Cấu Hình Học Phí'!$B$5</f>
        <v/>
      </c>
      <c r="K282" s="46" t="n">
        <v>0</v>
      </c>
      <c r="L282" s="46">
        <f>H282+J282-K282</f>
        <v/>
      </c>
      <c r="M282" s="46" t="n">
        <v>2662000</v>
      </c>
      <c r="N282" s="46" t="n">
        <v>0</v>
      </c>
      <c r="O282" s="46">
        <f>MAX(0,M282-N282-L282)</f>
        <v/>
      </c>
      <c r="P282" s="46">
        <f>MAX(0,L282-(M282-N282))</f>
        <v/>
      </c>
      <c r="Q282" s="45" t="inlineStr">
        <is>
          <t>30/09/2027</t>
        </is>
      </c>
      <c r="R282" s="45" t="inlineStr">
        <is>
          <t>PT2027-00279</t>
        </is>
      </c>
      <c r="S282" s="45" t="inlineStr"/>
    </row>
    <row r="283">
      <c r="A283" s="45" t="inlineStr">
        <is>
          <t>251230817</t>
        </is>
      </c>
      <c r="B283" s="45" t="inlineStr">
        <is>
          <t>LÊ CÔNG CƯƠNG</t>
        </is>
      </c>
      <c r="C283" s="45" t="inlineStr">
        <is>
          <t>Công nghệ thông tin 2 K66</t>
        </is>
      </c>
      <c r="D283" s="45" t="inlineStr">
        <is>
          <t>Năm 4</t>
        </is>
      </c>
      <c r="E283" s="45" t="inlineStr">
        <is>
          <t>2028_2029</t>
        </is>
      </c>
      <c r="F283" s="45" t="n">
        <v>1</v>
      </c>
      <c r="G283" s="46">
        <f>VLOOKUP(D283,'Cấu Hình Học Phí'!$A$8:$B$11,2,FALSE)</f>
        <v/>
      </c>
      <c r="H283" s="46">
        <f>F283*G283</f>
        <v/>
      </c>
      <c r="I283" s="45" t="n">
        <v>0</v>
      </c>
      <c r="J283" s="46">
        <f>I283*'Cấu Hình Học Phí'!$B$5</f>
        <v/>
      </c>
      <c r="K283" s="46" t="n">
        <v>0</v>
      </c>
      <c r="L283" s="46">
        <f>H283+J283-K283</f>
        <v/>
      </c>
      <c r="M283" s="46" t="n">
        <v>732050</v>
      </c>
      <c r="N283" s="46" t="n">
        <v>0</v>
      </c>
      <c r="O283" s="46">
        <f>MAX(0,M283-N283-L283)</f>
        <v/>
      </c>
      <c r="P283" s="46">
        <f>MAX(0,L283-(M283-N283))</f>
        <v/>
      </c>
      <c r="Q283" s="45" t="inlineStr">
        <is>
          <t>30/09/2028</t>
        </is>
      </c>
      <c r="R283" s="45" t="inlineStr">
        <is>
          <t>PT2028-00280</t>
        </is>
      </c>
      <c r="S283" s="45" t="inlineStr"/>
    </row>
    <row r="284">
      <c r="A284" s="45" t="inlineStr">
        <is>
          <t>251230819</t>
        </is>
      </c>
      <c r="B284" s="45" t="inlineStr">
        <is>
          <t>NGUYỄN ĐẠI CƯƠNG</t>
        </is>
      </c>
      <c r="C284" s="45" t="inlineStr">
        <is>
          <t>Công nghệ thông tin 2 K66</t>
        </is>
      </c>
      <c r="D284" s="45" t="inlineStr">
        <is>
          <t>Năm 1</t>
        </is>
      </c>
      <c r="E284" s="45" t="inlineStr">
        <is>
          <t>2025_2026</t>
        </is>
      </c>
      <c r="F284" s="45" t="n">
        <v>4</v>
      </c>
      <c r="G284" s="46">
        <f>VLOOKUP(D284,'Cấu Hình Học Phí'!$A$8:$B$11,2,FALSE)</f>
        <v/>
      </c>
      <c r="H284" s="46">
        <f>F284*G284</f>
        <v/>
      </c>
      <c r="I284" s="45" t="n">
        <v>0</v>
      </c>
      <c r="J284" s="46">
        <f>I284*'Cấu Hình Học Phí'!$B$5</f>
        <v/>
      </c>
      <c r="K284" s="46" t="n">
        <v>0</v>
      </c>
      <c r="L284" s="46">
        <f>H284+J284-K284</f>
        <v/>
      </c>
      <c r="M284" s="46" t="n">
        <v>2200000</v>
      </c>
      <c r="N284" s="46" t="n">
        <v>0</v>
      </c>
      <c r="O284" s="46">
        <f>MAX(0,M284-N284-L284)</f>
        <v/>
      </c>
      <c r="P284" s="46">
        <f>MAX(0,L284-(M284-N284))</f>
        <v/>
      </c>
      <c r="Q284" s="45" t="inlineStr">
        <is>
          <t>30/09/2025</t>
        </is>
      </c>
      <c r="R284" s="45" t="inlineStr">
        <is>
          <t>PT2025-00281</t>
        </is>
      </c>
      <c r="S284" s="45" t="inlineStr"/>
    </row>
    <row r="285">
      <c r="A285" s="45" t="inlineStr">
        <is>
          <t>251230819</t>
        </is>
      </c>
      <c r="B285" s="45" t="inlineStr">
        <is>
          <t>NGUYỄN ĐẠI CƯƠNG</t>
        </is>
      </c>
      <c r="C285" s="45" t="inlineStr">
        <is>
          <t>Công nghệ thông tin 2 K66</t>
        </is>
      </c>
      <c r="D285" s="45" t="inlineStr">
        <is>
          <t>Năm 2</t>
        </is>
      </c>
      <c r="E285" s="45" t="inlineStr">
        <is>
          <t>2026_2027</t>
        </is>
      </c>
      <c r="F285" s="45" t="n">
        <v>4</v>
      </c>
      <c r="G285" s="46">
        <f>VLOOKUP(D285,'Cấu Hình Học Phí'!$A$8:$B$11,2,FALSE)</f>
        <v/>
      </c>
      <c r="H285" s="46">
        <f>F285*G285</f>
        <v/>
      </c>
      <c r="I285" s="45" t="n">
        <v>1</v>
      </c>
      <c r="J285" s="46">
        <f>I285*'Cấu Hình Học Phí'!$B$5</f>
        <v/>
      </c>
      <c r="K285" s="46" t="n">
        <v>0</v>
      </c>
      <c r="L285" s="46">
        <f>H285+J285-K285</f>
        <v/>
      </c>
      <c r="M285" s="46" t="n">
        <v>2420000</v>
      </c>
      <c r="N285" s="46" t="n">
        <v>0</v>
      </c>
      <c r="O285" s="46">
        <f>MAX(0,M285-N285-L285)</f>
        <v/>
      </c>
      <c r="P285" s="46">
        <f>MAX(0,L285-(M285-N285))</f>
        <v/>
      </c>
      <c r="Q285" s="45" t="inlineStr">
        <is>
          <t>30/09/2026</t>
        </is>
      </c>
      <c r="R285" s="45" t="inlineStr">
        <is>
          <t>PT2026-00282</t>
        </is>
      </c>
      <c r="S285" s="45" t="inlineStr">
        <is>
          <t>Chưa nộp phí phụ đạo 1 môn</t>
        </is>
      </c>
    </row>
    <row r="286">
      <c r="A286" s="45" t="inlineStr">
        <is>
          <t>251230819</t>
        </is>
      </c>
      <c r="B286" s="45" t="inlineStr">
        <is>
          <t>NGUYỄN ĐẠI CƯƠNG</t>
        </is>
      </c>
      <c r="C286" s="45" t="inlineStr">
        <is>
          <t>Công nghệ thông tin 2 K66</t>
        </is>
      </c>
      <c r="D286" s="45" t="inlineStr">
        <is>
          <t>Năm 3</t>
        </is>
      </c>
      <c r="E286" s="45" t="inlineStr">
        <is>
          <t>2027_2028</t>
        </is>
      </c>
      <c r="F286" s="45" t="n">
        <v>4</v>
      </c>
      <c r="G286" s="46">
        <f>VLOOKUP(D286,'Cấu Hình Học Phí'!$A$8:$B$11,2,FALSE)</f>
        <v/>
      </c>
      <c r="H286" s="46">
        <f>F286*G286</f>
        <v/>
      </c>
      <c r="I286" s="45" t="n">
        <v>0</v>
      </c>
      <c r="J286" s="46">
        <f>I286*'Cấu Hình Học Phí'!$B$5</f>
        <v/>
      </c>
      <c r="K286" s="46" t="n">
        <v>0</v>
      </c>
      <c r="L286" s="46">
        <f>H286+J286-K286</f>
        <v/>
      </c>
      <c r="M286" s="46" t="n">
        <v>2662000</v>
      </c>
      <c r="N286" s="46" t="n">
        <v>0</v>
      </c>
      <c r="O286" s="46">
        <f>MAX(0,M286-N286-L286)</f>
        <v/>
      </c>
      <c r="P286" s="46">
        <f>MAX(0,L286-(M286-N286))</f>
        <v/>
      </c>
      <c r="Q286" s="45" t="inlineStr">
        <is>
          <t>30/09/2027</t>
        </is>
      </c>
      <c r="R286" s="45" t="inlineStr">
        <is>
          <t>PT2027-00283</t>
        </is>
      </c>
      <c r="S286" s="45" t="inlineStr"/>
    </row>
    <row r="287">
      <c r="A287" s="45" t="inlineStr">
        <is>
          <t>251230819</t>
        </is>
      </c>
      <c r="B287" s="45" t="inlineStr">
        <is>
          <t>NGUYỄN ĐẠI CƯƠNG</t>
        </is>
      </c>
      <c r="C287" s="45" t="inlineStr">
        <is>
          <t>Công nghệ thông tin 2 K66</t>
        </is>
      </c>
      <c r="D287" s="45" t="inlineStr">
        <is>
          <t>Năm 4</t>
        </is>
      </c>
      <c r="E287" s="45" t="inlineStr">
        <is>
          <t>2028_2029</t>
        </is>
      </c>
      <c r="F287" s="45" t="n">
        <v>1</v>
      </c>
      <c r="G287" s="46">
        <f>VLOOKUP(D287,'Cấu Hình Học Phí'!$A$8:$B$11,2,FALSE)</f>
        <v/>
      </c>
      <c r="H287" s="46">
        <f>F287*G287</f>
        <v/>
      </c>
      <c r="I287" s="45" t="n">
        <v>0</v>
      </c>
      <c r="J287" s="46">
        <f>I287*'Cấu Hình Học Phí'!$B$5</f>
        <v/>
      </c>
      <c r="K287" s="46" t="n">
        <v>0</v>
      </c>
      <c r="L287" s="46">
        <f>H287+J287-K287</f>
        <v/>
      </c>
      <c r="M287" s="46" t="n">
        <v>732050</v>
      </c>
      <c r="N287" s="46" t="n">
        <v>0</v>
      </c>
      <c r="O287" s="46">
        <f>MAX(0,M287-N287-L287)</f>
        <v/>
      </c>
      <c r="P287" s="46">
        <f>MAX(0,L287-(M287-N287))</f>
        <v/>
      </c>
      <c r="Q287" s="45" t="inlineStr">
        <is>
          <t>30/09/2028</t>
        </is>
      </c>
      <c r="R287" s="45" t="inlineStr">
        <is>
          <t>PT2028-00284</t>
        </is>
      </c>
      <c r="S287" s="45" t="inlineStr"/>
    </row>
    <row r="288">
      <c r="A288" s="45" t="inlineStr">
        <is>
          <t>251210827</t>
        </is>
      </c>
      <c r="B288" s="45" t="inlineStr">
        <is>
          <t>NGUYỄN LÂN DŨNG</t>
        </is>
      </c>
      <c r="C288" s="45" t="inlineStr">
        <is>
          <t>Công nghệ thông tin 2 K66</t>
        </is>
      </c>
      <c r="D288" s="45" t="inlineStr">
        <is>
          <t>Năm 1</t>
        </is>
      </c>
      <c r="E288" s="45" t="inlineStr">
        <is>
          <t>2025_2026</t>
        </is>
      </c>
      <c r="F288" s="45" t="n">
        <v>4</v>
      </c>
      <c r="G288" s="46">
        <f>VLOOKUP(D288,'Cấu Hình Học Phí'!$A$8:$B$11,2,FALSE)</f>
        <v/>
      </c>
      <c r="H288" s="46">
        <f>F288*G288</f>
        <v/>
      </c>
      <c r="I288" s="45" t="n">
        <v>1</v>
      </c>
      <c r="J288" s="46">
        <f>I288*'Cấu Hình Học Phí'!$B$5</f>
        <v/>
      </c>
      <c r="K288" s="46" t="n">
        <v>0</v>
      </c>
      <c r="L288" s="46">
        <f>H288+J288-K288</f>
        <v/>
      </c>
      <c r="M288" s="46" t="n">
        <v>3200000</v>
      </c>
      <c r="N288" s="46" t="n">
        <v>0</v>
      </c>
      <c r="O288" s="46">
        <f>MAX(0,M288-N288-L288)</f>
        <v/>
      </c>
      <c r="P288" s="46">
        <f>MAX(0,L288-(M288-N288))</f>
        <v/>
      </c>
      <c r="Q288" s="45" t="inlineStr">
        <is>
          <t>30/09/2025</t>
        </is>
      </c>
      <c r="R288" s="45" t="inlineStr">
        <is>
          <t>PT2025-00285</t>
        </is>
      </c>
      <c r="S288" s="45" t="inlineStr"/>
    </row>
    <row r="289">
      <c r="A289" s="45" t="inlineStr">
        <is>
          <t>251210827</t>
        </is>
      </c>
      <c r="B289" s="45" t="inlineStr">
        <is>
          <t>NGUYỄN LÂN DŨNG</t>
        </is>
      </c>
      <c r="C289" s="45" t="inlineStr">
        <is>
          <t>Công nghệ thông tin 2 K66</t>
        </is>
      </c>
      <c r="D289" s="45" t="inlineStr">
        <is>
          <t>Năm 2</t>
        </is>
      </c>
      <c r="E289" s="45" t="inlineStr">
        <is>
          <t>2026_2027</t>
        </is>
      </c>
      <c r="F289" s="45" t="n">
        <v>4</v>
      </c>
      <c r="G289" s="46">
        <f>VLOOKUP(D289,'Cấu Hình Học Phí'!$A$8:$B$11,2,FALSE)</f>
        <v/>
      </c>
      <c r="H289" s="46">
        <f>F289*G289</f>
        <v/>
      </c>
      <c r="I289" s="45" t="n">
        <v>0</v>
      </c>
      <c r="J289" s="46">
        <f>I289*'Cấu Hình Học Phí'!$B$5</f>
        <v/>
      </c>
      <c r="K289" s="46" t="n">
        <v>0</v>
      </c>
      <c r="L289" s="46">
        <f>H289+J289-K289</f>
        <v/>
      </c>
      <c r="M289" s="46" t="n">
        <v>2420000</v>
      </c>
      <c r="N289" s="46" t="n">
        <v>0</v>
      </c>
      <c r="O289" s="46">
        <f>MAX(0,M289-N289-L289)</f>
        <v/>
      </c>
      <c r="P289" s="46">
        <f>MAX(0,L289-(M289-N289))</f>
        <v/>
      </c>
      <c r="Q289" s="45" t="inlineStr">
        <is>
          <t>30/09/2026</t>
        </is>
      </c>
      <c r="R289" s="45" t="inlineStr">
        <is>
          <t>PT2026-00286</t>
        </is>
      </c>
      <c r="S289" s="45" t="inlineStr"/>
    </row>
    <row r="290">
      <c r="A290" s="45" t="inlineStr">
        <is>
          <t>251210827</t>
        </is>
      </c>
      <c r="B290" s="45" t="inlineStr">
        <is>
          <t>NGUYỄN LÂN DŨNG</t>
        </is>
      </c>
      <c r="C290" s="45" t="inlineStr">
        <is>
          <t>Công nghệ thông tin 2 K66</t>
        </is>
      </c>
      <c r="D290" s="45" t="inlineStr">
        <is>
          <t>Năm 3</t>
        </is>
      </c>
      <c r="E290" s="45" t="inlineStr">
        <is>
          <t>2027_2028</t>
        </is>
      </c>
      <c r="F290" s="45" t="n">
        <v>4</v>
      </c>
      <c r="G290" s="46">
        <f>VLOOKUP(D290,'Cấu Hình Học Phí'!$A$8:$B$11,2,FALSE)</f>
        <v/>
      </c>
      <c r="H290" s="46">
        <f>F290*G290</f>
        <v/>
      </c>
      <c r="I290" s="45" t="n">
        <v>0</v>
      </c>
      <c r="J290" s="46">
        <f>I290*'Cấu Hình Học Phí'!$B$5</f>
        <v/>
      </c>
      <c r="K290" s="46" t="n">
        <v>0</v>
      </c>
      <c r="L290" s="46">
        <f>H290+J290-K290</f>
        <v/>
      </c>
      <c r="M290" s="46" t="n">
        <v>2662000</v>
      </c>
      <c r="N290" s="46" t="n">
        <v>0</v>
      </c>
      <c r="O290" s="46">
        <f>MAX(0,M290-N290-L290)</f>
        <v/>
      </c>
      <c r="P290" s="46">
        <f>MAX(0,L290-(M290-N290))</f>
        <v/>
      </c>
      <c r="Q290" s="45" t="inlineStr">
        <is>
          <t>30/09/2027</t>
        </is>
      </c>
      <c r="R290" s="45" t="inlineStr">
        <is>
          <t>PT2027-00287</t>
        </is>
      </c>
      <c r="S290" s="45" t="inlineStr"/>
    </row>
    <row r="291">
      <c r="A291" s="45" t="inlineStr">
        <is>
          <t>251210827</t>
        </is>
      </c>
      <c r="B291" s="45" t="inlineStr">
        <is>
          <t>NGUYỄN LÂN DŨNG</t>
        </is>
      </c>
      <c r="C291" s="45" t="inlineStr">
        <is>
          <t>Công nghệ thông tin 2 K66</t>
        </is>
      </c>
      <c r="D291" s="45" t="inlineStr">
        <is>
          <t>Năm 4</t>
        </is>
      </c>
      <c r="E291" s="45" t="inlineStr">
        <is>
          <t>2028_2029</t>
        </is>
      </c>
      <c r="F291" s="45" t="n">
        <v>1</v>
      </c>
      <c r="G291" s="46">
        <f>VLOOKUP(D291,'Cấu Hình Học Phí'!$A$8:$B$11,2,FALSE)</f>
        <v/>
      </c>
      <c r="H291" s="46">
        <f>F291*G291</f>
        <v/>
      </c>
      <c r="I291" s="45" t="n">
        <v>0</v>
      </c>
      <c r="J291" s="46">
        <f>I291*'Cấu Hình Học Phí'!$B$5</f>
        <v/>
      </c>
      <c r="K291" s="46" t="n">
        <v>0</v>
      </c>
      <c r="L291" s="46">
        <f>H291+J291-K291</f>
        <v/>
      </c>
      <c r="M291" s="46" t="n">
        <v>732050</v>
      </c>
      <c r="N291" s="46" t="n">
        <v>0</v>
      </c>
      <c r="O291" s="46">
        <f>MAX(0,M291-N291-L291)</f>
        <v/>
      </c>
      <c r="P291" s="46">
        <f>MAX(0,L291-(M291-N291))</f>
        <v/>
      </c>
      <c r="Q291" s="45" t="inlineStr">
        <is>
          <t>30/09/2028</t>
        </is>
      </c>
      <c r="R291" s="45" t="inlineStr">
        <is>
          <t>PT2028-00288</t>
        </is>
      </c>
      <c r="S291" s="45" t="inlineStr"/>
    </row>
    <row r="292">
      <c r="A292" s="45" t="inlineStr">
        <is>
          <t>251230828</t>
        </is>
      </c>
      <c r="B292" s="45" t="inlineStr">
        <is>
          <t>TRẦN QUỐC DŨNG</t>
        </is>
      </c>
      <c r="C292" s="45" t="inlineStr">
        <is>
          <t>Công nghệ thông tin 2 K66</t>
        </is>
      </c>
      <c r="D292" s="45" t="inlineStr">
        <is>
          <t>Năm 1</t>
        </is>
      </c>
      <c r="E292" s="45" t="inlineStr">
        <is>
          <t>2025_2026</t>
        </is>
      </c>
      <c r="F292" s="45" t="n">
        <v>4</v>
      </c>
      <c r="G292" s="46">
        <f>VLOOKUP(D292,'Cấu Hình Học Phí'!$A$8:$B$11,2,FALSE)</f>
        <v/>
      </c>
      <c r="H292" s="46">
        <f>F292*G292</f>
        <v/>
      </c>
      <c r="I292" s="45" t="n">
        <v>1</v>
      </c>
      <c r="J292" s="46">
        <f>I292*'Cấu Hình Học Phí'!$B$5</f>
        <v/>
      </c>
      <c r="K292" s="46" t="n">
        <v>0</v>
      </c>
      <c r="L292" s="46">
        <f>H292+J292-K292</f>
        <v/>
      </c>
      <c r="M292" s="46" t="n">
        <v>2200000</v>
      </c>
      <c r="N292" s="46" t="n">
        <v>0</v>
      </c>
      <c r="O292" s="46">
        <f>MAX(0,M292-N292-L292)</f>
        <v/>
      </c>
      <c r="P292" s="46">
        <f>MAX(0,L292-(M292-N292))</f>
        <v/>
      </c>
      <c r="Q292" s="45" t="inlineStr">
        <is>
          <t>30/09/2025</t>
        </is>
      </c>
      <c r="R292" s="45" t="inlineStr">
        <is>
          <t>PT2025-00289</t>
        </is>
      </c>
      <c r="S292" s="45" t="inlineStr">
        <is>
          <t>Chưa nộp phí phụ đạo 1 môn</t>
        </is>
      </c>
    </row>
    <row r="293">
      <c r="A293" s="45" t="inlineStr">
        <is>
          <t>251230828</t>
        </is>
      </c>
      <c r="B293" s="45" t="inlineStr">
        <is>
          <t>TRẦN QUỐC DŨNG</t>
        </is>
      </c>
      <c r="C293" s="45" t="inlineStr">
        <is>
          <t>Công nghệ thông tin 2 K66</t>
        </is>
      </c>
      <c r="D293" s="45" t="inlineStr">
        <is>
          <t>Năm 2</t>
        </is>
      </c>
      <c r="E293" s="45" t="inlineStr">
        <is>
          <t>2026_2027</t>
        </is>
      </c>
      <c r="F293" s="45" t="n">
        <v>4</v>
      </c>
      <c r="G293" s="46">
        <f>VLOOKUP(D293,'Cấu Hình Học Phí'!$A$8:$B$11,2,FALSE)</f>
        <v/>
      </c>
      <c r="H293" s="46">
        <f>F293*G293</f>
        <v/>
      </c>
      <c r="I293" s="45" t="n">
        <v>1</v>
      </c>
      <c r="J293" s="46">
        <f>I293*'Cấu Hình Học Phí'!$B$5</f>
        <v/>
      </c>
      <c r="K293" s="46" t="n">
        <v>0</v>
      </c>
      <c r="L293" s="46">
        <f>H293+J293-K293</f>
        <v/>
      </c>
      <c r="M293" s="46" t="n">
        <v>3420000</v>
      </c>
      <c r="N293" s="46" t="n">
        <v>0</v>
      </c>
      <c r="O293" s="46">
        <f>MAX(0,M293-N293-L293)</f>
        <v/>
      </c>
      <c r="P293" s="46">
        <f>MAX(0,L293-(M293-N293))</f>
        <v/>
      </c>
      <c r="Q293" s="45" t="inlineStr">
        <is>
          <t>30/09/2026</t>
        </is>
      </c>
      <c r="R293" s="45" t="inlineStr">
        <is>
          <t>PT2026-00290</t>
        </is>
      </c>
      <c r="S293" s="45" t="inlineStr"/>
    </row>
    <row r="294">
      <c r="A294" s="45" t="inlineStr">
        <is>
          <t>251230828</t>
        </is>
      </c>
      <c r="B294" s="45" t="inlineStr">
        <is>
          <t>TRẦN QUỐC DŨNG</t>
        </is>
      </c>
      <c r="C294" s="45" t="inlineStr">
        <is>
          <t>Công nghệ thông tin 2 K66</t>
        </is>
      </c>
      <c r="D294" s="45" t="inlineStr">
        <is>
          <t>Năm 3</t>
        </is>
      </c>
      <c r="E294" s="45" t="inlineStr">
        <is>
          <t>2027_2028</t>
        </is>
      </c>
      <c r="F294" s="45" t="n">
        <v>4</v>
      </c>
      <c r="G294" s="46">
        <f>VLOOKUP(D294,'Cấu Hình Học Phí'!$A$8:$B$11,2,FALSE)</f>
        <v/>
      </c>
      <c r="H294" s="46">
        <f>F294*G294</f>
        <v/>
      </c>
      <c r="I294" s="45" t="n">
        <v>1</v>
      </c>
      <c r="J294" s="46">
        <f>I294*'Cấu Hình Học Phí'!$B$5</f>
        <v/>
      </c>
      <c r="K294" s="46" t="n">
        <v>0</v>
      </c>
      <c r="L294" s="46">
        <f>H294+J294-K294</f>
        <v/>
      </c>
      <c r="M294" s="46" t="n">
        <v>2662000</v>
      </c>
      <c r="N294" s="46" t="n">
        <v>0</v>
      </c>
      <c r="O294" s="46">
        <f>MAX(0,M294-N294-L294)</f>
        <v/>
      </c>
      <c r="P294" s="46">
        <f>MAX(0,L294-(M294-N294))</f>
        <v/>
      </c>
      <c r="Q294" s="45" t="inlineStr">
        <is>
          <t>30/09/2027</t>
        </is>
      </c>
      <c r="R294" s="45" t="inlineStr">
        <is>
          <t>PT2027-00291</t>
        </is>
      </c>
      <c r="S294" s="45" t="inlineStr">
        <is>
          <t>Chưa nộp phí phụ đạo 1 môn</t>
        </is>
      </c>
    </row>
    <row r="295">
      <c r="A295" s="45" t="inlineStr">
        <is>
          <t>251230828</t>
        </is>
      </c>
      <c r="B295" s="45" t="inlineStr">
        <is>
          <t>TRẦN QUỐC DŨNG</t>
        </is>
      </c>
      <c r="C295" s="45" t="inlineStr">
        <is>
          <t>Công nghệ thông tin 2 K66</t>
        </is>
      </c>
      <c r="D295" s="45" t="inlineStr">
        <is>
          <t>Năm 4</t>
        </is>
      </c>
      <c r="E295" s="45" t="inlineStr">
        <is>
          <t>2028_2029</t>
        </is>
      </c>
      <c r="F295" s="45" t="n">
        <v>1</v>
      </c>
      <c r="G295" s="46">
        <f>VLOOKUP(D295,'Cấu Hình Học Phí'!$A$8:$B$11,2,FALSE)</f>
        <v/>
      </c>
      <c r="H295" s="46">
        <f>F295*G295</f>
        <v/>
      </c>
      <c r="I295" s="45" t="n">
        <v>1</v>
      </c>
      <c r="J295" s="46">
        <f>I295*'Cấu Hình Học Phí'!$B$5</f>
        <v/>
      </c>
      <c r="K295" s="46" t="n">
        <v>0</v>
      </c>
      <c r="L295" s="46">
        <f>H295+J295-K295</f>
        <v/>
      </c>
      <c r="M295" s="46" t="n">
        <v>732050</v>
      </c>
      <c r="N295" s="46" t="n">
        <v>0</v>
      </c>
      <c r="O295" s="46">
        <f>MAX(0,M295-N295-L295)</f>
        <v/>
      </c>
      <c r="P295" s="46">
        <f>MAX(0,L295-(M295-N295))</f>
        <v/>
      </c>
      <c r="Q295" s="45" t="inlineStr">
        <is>
          <t>30/09/2028</t>
        </is>
      </c>
      <c r="R295" s="45" t="inlineStr">
        <is>
          <t>PT2028-00292</t>
        </is>
      </c>
      <c r="S295" s="45" t="inlineStr">
        <is>
          <t>Chưa nộp phí phụ đạo 1 môn</t>
        </is>
      </c>
    </row>
    <row r="296">
      <c r="A296" s="45" t="inlineStr">
        <is>
          <t>251210831</t>
        </is>
      </c>
      <c r="B296" s="45" t="inlineStr">
        <is>
          <t>NGUYỄN BÁ DƯƠNG</t>
        </is>
      </c>
      <c r="C296" s="45" t="inlineStr">
        <is>
          <t>Công nghệ thông tin 2 K66</t>
        </is>
      </c>
      <c r="D296" s="45" t="inlineStr">
        <is>
          <t>Năm 1</t>
        </is>
      </c>
      <c r="E296" s="45" t="inlineStr">
        <is>
          <t>2025_2026</t>
        </is>
      </c>
      <c r="F296" s="45" t="n">
        <v>4</v>
      </c>
      <c r="G296" s="46">
        <f>VLOOKUP(D296,'Cấu Hình Học Phí'!$A$8:$B$11,2,FALSE)</f>
        <v/>
      </c>
      <c r="H296" s="46">
        <f>F296*G296</f>
        <v/>
      </c>
      <c r="I296" s="45" t="n">
        <v>0</v>
      </c>
      <c r="J296" s="46">
        <f>I296*'Cấu Hình Học Phí'!$B$5</f>
        <v/>
      </c>
      <c r="K296" s="46" t="n">
        <v>0</v>
      </c>
      <c r="L296" s="46">
        <f>H296+J296-K296</f>
        <v/>
      </c>
      <c r="M296" s="46" t="n">
        <v>2200000</v>
      </c>
      <c r="N296" s="46" t="n">
        <v>0</v>
      </c>
      <c r="O296" s="46">
        <f>MAX(0,M296-N296-L296)</f>
        <v/>
      </c>
      <c r="P296" s="46">
        <f>MAX(0,L296-(M296-N296))</f>
        <v/>
      </c>
      <c r="Q296" s="45" t="inlineStr">
        <is>
          <t>30/09/2025</t>
        </is>
      </c>
      <c r="R296" s="45" t="inlineStr">
        <is>
          <t>PT2025-00293</t>
        </is>
      </c>
      <c r="S296" s="45" t="inlineStr"/>
    </row>
    <row r="297">
      <c r="A297" s="45" t="inlineStr">
        <is>
          <t>251210831</t>
        </is>
      </c>
      <c r="B297" s="45" t="inlineStr">
        <is>
          <t>NGUYỄN BÁ DƯƠNG</t>
        </is>
      </c>
      <c r="C297" s="45" t="inlineStr">
        <is>
          <t>Công nghệ thông tin 2 K66</t>
        </is>
      </c>
      <c r="D297" s="45" t="inlineStr">
        <is>
          <t>Năm 2</t>
        </is>
      </c>
      <c r="E297" s="45" t="inlineStr">
        <is>
          <t>2026_2027</t>
        </is>
      </c>
      <c r="F297" s="45" t="n">
        <v>4</v>
      </c>
      <c r="G297" s="46">
        <f>VLOOKUP(D297,'Cấu Hình Học Phí'!$A$8:$B$11,2,FALSE)</f>
        <v/>
      </c>
      <c r="H297" s="46">
        <f>F297*G297</f>
        <v/>
      </c>
      <c r="I297" s="45" t="n">
        <v>1</v>
      </c>
      <c r="J297" s="46">
        <f>I297*'Cấu Hình Học Phí'!$B$5</f>
        <v/>
      </c>
      <c r="K297" s="46" t="n">
        <v>0</v>
      </c>
      <c r="L297" s="46">
        <f>H297+J297-K297</f>
        <v/>
      </c>
      <c r="M297" s="46" t="n">
        <v>3420000</v>
      </c>
      <c r="N297" s="46" t="n">
        <v>0</v>
      </c>
      <c r="O297" s="46">
        <f>MAX(0,M297-N297-L297)</f>
        <v/>
      </c>
      <c r="P297" s="46">
        <f>MAX(0,L297-(M297-N297))</f>
        <v/>
      </c>
      <c r="Q297" s="45" t="inlineStr">
        <is>
          <t>30/09/2026</t>
        </is>
      </c>
      <c r="R297" s="45" t="inlineStr">
        <is>
          <t>PT2026-00294</t>
        </is>
      </c>
      <c r="S297" s="45" t="inlineStr"/>
    </row>
    <row r="298">
      <c r="A298" s="45" t="inlineStr">
        <is>
          <t>251210831</t>
        </is>
      </c>
      <c r="B298" s="45" t="inlineStr">
        <is>
          <t>NGUYỄN BÁ DƯƠNG</t>
        </is>
      </c>
      <c r="C298" s="45" t="inlineStr">
        <is>
          <t>Công nghệ thông tin 2 K66</t>
        </is>
      </c>
      <c r="D298" s="45" t="inlineStr">
        <is>
          <t>Năm 3</t>
        </is>
      </c>
      <c r="E298" s="45" t="inlineStr">
        <is>
          <t>2027_2028</t>
        </is>
      </c>
      <c r="F298" s="45" t="n">
        <v>4</v>
      </c>
      <c r="G298" s="46">
        <f>VLOOKUP(D298,'Cấu Hình Học Phí'!$A$8:$B$11,2,FALSE)</f>
        <v/>
      </c>
      <c r="H298" s="46">
        <f>F298*G298</f>
        <v/>
      </c>
      <c r="I298" s="45" t="n">
        <v>2</v>
      </c>
      <c r="J298" s="46">
        <f>I298*'Cấu Hình Học Phí'!$B$5</f>
        <v/>
      </c>
      <c r="K298" s="46" t="n">
        <v>0</v>
      </c>
      <c r="L298" s="46">
        <f>H298+J298-K298</f>
        <v/>
      </c>
      <c r="M298" s="46" t="n">
        <v>4662000</v>
      </c>
      <c r="N298" s="46" t="n">
        <v>0</v>
      </c>
      <c r="O298" s="46">
        <f>MAX(0,M298-N298-L298)</f>
        <v/>
      </c>
      <c r="P298" s="46">
        <f>MAX(0,L298-(M298-N298))</f>
        <v/>
      </c>
      <c r="Q298" s="45" t="inlineStr">
        <is>
          <t>30/09/2027</t>
        </is>
      </c>
      <c r="R298" s="45" t="inlineStr">
        <is>
          <t>PT2027-00295</t>
        </is>
      </c>
      <c r="S298" s="45" t="inlineStr"/>
    </row>
    <row r="299">
      <c r="A299" s="45" t="inlineStr">
        <is>
          <t>251210831</t>
        </is>
      </c>
      <c r="B299" s="45" t="inlineStr">
        <is>
          <t>NGUYỄN BÁ DƯƠNG</t>
        </is>
      </c>
      <c r="C299" s="45" t="inlineStr">
        <is>
          <t>Công nghệ thông tin 2 K66</t>
        </is>
      </c>
      <c r="D299" s="45" t="inlineStr">
        <is>
          <t>Năm 4</t>
        </is>
      </c>
      <c r="E299" s="45" t="inlineStr">
        <is>
          <t>2028_2029</t>
        </is>
      </c>
      <c r="F299" s="45" t="n">
        <v>1</v>
      </c>
      <c r="G299" s="46">
        <f>VLOOKUP(D299,'Cấu Hình Học Phí'!$A$8:$B$11,2,FALSE)</f>
        <v/>
      </c>
      <c r="H299" s="46">
        <f>F299*G299</f>
        <v/>
      </c>
      <c r="I299" s="45" t="n">
        <v>0</v>
      </c>
      <c r="J299" s="46">
        <f>I299*'Cấu Hình Học Phí'!$B$5</f>
        <v/>
      </c>
      <c r="K299" s="46" t="n">
        <v>0</v>
      </c>
      <c r="L299" s="46">
        <f>H299+J299-K299</f>
        <v/>
      </c>
      <c r="M299" s="46" t="n">
        <v>732050</v>
      </c>
      <c r="N299" s="46" t="n">
        <v>0</v>
      </c>
      <c r="O299" s="46">
        <f>MAX(0,M299-N299-L299)</f>
        <v/>
      </c>
      <c r="P299" s="46">
        <f>MAX(0,L299-(M299-N299))</f>
        <v/>
      </c>
      <c r="Q299" s="45" t="inlineStr">
        <is>
          <t>30/09/2028</t>
        </is>
      </c>
      <c r="R299" s="45" t="inlineStr">
        <is>
          <t>PT2028-00296</t>
        </is>
      </c>
      <c r="S299" s="45" t="inlineStr"/>
    </row>
    <row r="300">
      <c r="A300" s="45" t="inlineStr">
        <is>
          <t>251230835</t>
        </is>
      </c>
      <c r="B300" s="45" t="inlineStr">
        <is>
          <t>PHAN TÙNG DƯƠNG</t>
        </is>
      </c>
      <c r="C300" s="45" t="inlineStr">
        <is>
          <t>Công nghệ thông tin 2 K66</t>
        </is>
      </c>
      <c r="D300" s="45" t="inlineStr">
        <is>
          <t>Năm 1</t>
        </is>
      </c>
      <c r="E300" s="45" t="inlineStr">
        <is>
          <t>2025_2026</t>
        </is>
      </c>
      <c r="F300" s="45" t="n">
        <v>4</v>
      </c>
      <c r="G300" s="46">
        <f>VLOOKUP(D300,'Cấu Hình Học Phí'!$A$8:$B$11,2,FALSE)</f>
        <v/>
      </c>
      <c r="H300" s="46">
        <f>F300*G300</f>
        <v/>
      </c>
      <c r="I300" s="45" t="n">
        <v>1</v>
      </c>
      <c r="J300" s="46">
        <f>I300*'Cấu Hình Học Phí'!$B$5</f>
        <v/>
      </c>
      <c r="K300" s="46" t="n">
        <v>0</v>
      </c>
      <c r="L300" s="46">
        <f>H300+J300-K300</f>
        <v/>
      </c>
      <c r="M300" s="46" t="n">
        <v>3200000</v>
      </c>
      <c r="N300" s="46" t="n">
        <v>0</v>
      </c>
      <c r="O300" s="46">
        <f>MAX(0,M300-N300-L300)</f>
        <v/>
      </c>
      <c r="P300" s="46">
        <f>MAX(0,L300-(M300-N300))</f>
        <v/>
      </c>
      <c r="Q300" s="45" t="inlineStr">
        <is>
          <t>30/09/2025</t>
        </is>
      </c>
      <c r="R300" s="45" t="inlineStr">
        <is>
          <t>PT2025-00297</t>
        </is>
      </c>
      <c r="S300" s="45" t="inlineStr"/>
    </row>
    <row r="301">
      <c r="A301" s="45" t="inlineStr">
        <is>
          <t>251230835</t>
        </is>
      </c>
      <c r="B301" s="45" t="inlineStr">
        <is>
          <t>PHAN TÙNG DƯƠNG</t>
        </is>
      </c>
      <c r="C301" s="45" t="inlineStr">
        <is>
          <t>Công nghệ thông tin 2 K66</t>
        </is>
      </c>
      <c r="D301" s="45" t="inlineStr">
        <is>
          <t>Năm 2</t>
        </is>
      </c>
      <c r="E301" s="45" t="inlineStr">
        <is>
          <t>2026_2027</t>
        </is>
      </c>
      <c r="F301" s="45" t="n">
        <v>4</v>
      </c>
      <c r="G301" s="46">
        <f>VLOOKUP(D301,'Cấu Hình Học Phí'!$A$8:$B$11,2,FALSE)</f>
        <v/>
      </c>
      <c r="H301" s="46">
        <f>F301*G301</f>
        <v/>
      </c>
      <c r="I301" s="45" t="n">
        <v>1</v>
      </c>
      <c r="J301" s="46">
        <f>I301*'Cấu Hình Học Phí'!$B$5</f>
        <v/>
      </c>
      <c r="K301" s="46" t="n">
        <v>0</v>
      </c>
      <c r="L301" s="46">
        <f>H301+J301-K301</f>
        <v/>
      </c>
      <c r="M301" s="46" t="n">
        <v>3420000</v>
      </c>
      <c r="N301" s="46" t="n">
        <v>0</v>
      </c>
      <c r="O301" s="46">
        <f>MAX(0,M301-N301-L301)</f>
        <v/>
      </c>
      <c r="P301" s="46">
        <f>MAX(0,L301-(M301-N301))</f>
        <v/>
      </c>
      <c r="Q301" s="45" t="inlineStr">
        <is>
          <t>30/09/2026</t>
        </is>
      </c>
      <c r="R301" s="45" t="inlineStr">
        <is>
          <t>PT2026-00298</t>
        </is>
      </c>
      <c r="S301" s="45" t="inlineStr"/>
    </row>
    <row r="302">
      <c r="A302" s="45" t="inlineStr">
        <is>
          <t>251230835</t>
        </is>
      </c>
      <c r="B302" s="45" t="inlineStr">
        <is>
          <t>PHAN TÙNG DƯƠNG</t>
        </is>
      </c>
      <c r="C302" s="45" t="inlineStr">
        <is>
          <t>Công nghệ thông tin 2 K66</t>
        </is>
      </c>
      <c r="D302" s="45" t="inlineStr">
        <is>
          <t>Năm 3</t>
        </is>
      </c>
      <c r="E302" s="45" t="inlineStr">
        <is>
          <t>2027_2028</t>
        </is>
      </c>
      <c r="F302" s="45" t="n">
        <v>4</v>
      </c>
      <c r="G302" s="46">
        <f>VLOOKUP(D302,'Cấu Hình Học Phí'!$A$8:$B$11,2,FALSE)</f>
        <v/>
      </c>
      <c r="H302" s="46">
        <f>F302*G302</f>
        <v/>
      </c>
      <c r="I302" s="45" t="n">
        <v>1</v>
      </c>
      <c r="J302" s="46">
        <f>I302*'Cấu Hình Học Phí'!$B$5</f>
        <v/>
      </c>
      <c r="K302" s="46" t="n">
        <v>0</v>
      </c>
      <c r="L302" s="46">
        <f>H302+J302-K302</f>
        <v/>
      </c>
      <c r="M302" s="46" t="n">
        <v>3662000</v>
      </c>
      <c r="N302" s="46" t="n">
        <v>0</v>
      </c>
      <c r="O302" s="46">
        <f>MAX(0,M302-N302-L302)</f>
        <v/>
      </c>
      <c r="P302" s="46">
        <f>MAX(0,L302-(M302-N302))</f>
        <v/>
      </c>
      <c r="Q302" s="45" t="inlineStr">
        <is>
          <t>30/09/2027</t>
        </is>
      </c>
      <c r="R302" s="45" t="inlineStr">
        <is>
          <t>PT2027-00299</t>
        </is>
      </c>
      <c r="S302" s="45" t="inlineStr"/>
    </row>
    <row r="303">
      <c r="A303" s="45" t="inlineStr">
        <is>
          <t>251230835</t>
        </is>
      </c>
      <c r="B303" s="45" t="inlineStr">
        <is>
          <t>PHAN TÙNG DƯƠNG</t>
        </is>
      </c>
      <c r="C303" s="45" t="inlineStr">
        <is>
          <t>Công nghệ thông tin 2 K66</t>
        </is>
      </c>
      <c r="D303" s="45" t="inlineStr">
        <is>
          <t>Năm 4</t>
        </is>
      </c>
      <c r="E303" s="45" t="inlineStr">
        <is>
          <t>2028_2029</t>
        </is>
      </c>
      <c r="F303" s="45" t="n">
        <v>1</v>
      </c>
      <c r="G303" s="46">
        <f>VLOOKUP(D303,'Cấu Hình Học Phí'!$A$8:$B$11,2,FALSE)</f>
        <v/>
      </c>
      <c r="H303" s="46">
        <f>F303*G303</f>
        <v/>
      </c>
      <c r="I303" s="45" t="n">
        <v>0</v>
      </c>
      <c r="J303" s="46">
        <f>I303*'Cấu Hình Học Phí'!$B$5</f>
        <v/>
      </c>
      <c r="K303" s="46" t="n">
        <v>0</v>
      </c>
      <c r="L303" s="46">
        <f>H303+J303-K303</f>
        <v/>
      </c>
      <c r="M303" s="46" t="n">
        <v>732050</v>
      </c>
      <c r="N303" s="46" t="n">
        <v>0</v>
      </c>
      <c r="O303" s="46">
        <f>MAX(0,M303-N303-L303)</f>
        <v/>
      </c>
      <c r="P303" s="46">
        <f>MAX(0,L303-(M303-N303))</f>
        <v/>
      </c>
      <c r="Q303" s="45" t="inlineStr">
        <is>
          <t>30/09/2028</t>
        </is>
      </c>
      <c r="R303" s="45" t="inlineStr">
        <is>
          <t>PT2028-00300</t>
        </is>
      </c>
      <c r="S303" s="45" t="inlineStr"/>
    </row>
    <row r="304">
      <c r="A304" s="45" t="inlineStr">
        <is>
          <t>251230829</t>
        </is>
      </c>
      <c r="B304" s="45" t="inlineStr">
        <is>
          <t>DOÃN CÔNG DUY</t>
        </is>
      </c>
      <c r="C304" s="45" t="inlineStr">
        <is>
          <t>Công nghệ thông tin 2 K66</t>
        </is>
      </c>
      <c r="D304" s="45" t="inlineStr">
        <is>
          <t>Năm 1</t>
        </is>
      </c>
      <c r="E304" s="45" t="inlineStr">
        <is>
          <t>2025_2026</t>
        </is>
      </c>
      <c r="F304" s="45" t="n">
        <v>4</v>
      </c>
      <c r="G304" s="46">
        <f>VLOOKUP(D304,'Cấu Hình Học Phí'!$A$8:$B$11,2,FALSE)</f>
        <v/>
      </c>
      <c r="H304" s="46">
        <f>F304*G304</f>
        <v/>
      </c>
      <c r="I304" s="45" t="n">
        <v>0</v>
      </c>
      <c r="J304" s="46">
        <f>I304*'Cấu Hình Học Phí'!$B$5</f>
        <v/>
      </c>
      <c r="K304" s="46" t="n">
        <v>0</v>
      </c>
      <c r="L304" s="46">
        <f>H304+J304-K304</f>
        <v/>
      </c>
      <c r="M304" s="46" t="n">
        <v>2200000</v>
      </c>
      <c r="N304" s="46" t="n">
        <v>0</v>
      </c>
      <c r="O304" s="46">
        <f>MAX(0,M304-N304-L304)</f>
        <v/>
      </c>
      <c r="P304" s="46">
        <f>MAX(0,L304-(M304-N304))</f>
        <v/>
      </c>
      <c r="Q304" s="45" t="inlineStr">
        <is>
          <t>30/09/2025</t>
        </is>
      </c>
      <c r="R304" s="45" t="inlineStr">
        <is>
          <t>PT2025-00301</t>
        </is>
      </c>
      <c r="S304" s="45" t="inlineStr"/>
    </row>
    <row r="305">
      <c r="A305" s="45" t="inlineStr">
        <is>
          <t>251230829</t>
        </is>
      </c>
      <c r="B305" s="45" t="inlineStr">
        <is>
          <t>DOÃN CÔNG DUY</t>
        </is>
      </c>
      <c r="C305" s="45" t="inlineStr">
        <is>
          <t>Công nghệ thông tin 2 K66</t>
        </is>
      </c>
      <c r="D305" s="45" t="inlineStr">
        <is>
          <t>Năm 2</t>
        </is>
      </c>
      <c r="E305" s="45" t="inlineStr">
        <is>
          <t>2026_2027</t>
        </is>
      </c>
      <c r="F305" s="45" t="n">
        <v>4</v>
      </c>
      <c r="G305" s="46">
        <f>VLOOKUP(D305,'Cấu Hình Học Phí'!$A$8:$B$11,2,FALSE)</f>
        <v/>
      </c>
      <c r="H305" s="46">
        <f>F305*G305</f>
        <v/>
      </c>
      <c r="I305" s="45" t="n">
        <v>0</v>
      </c>
      <c r="J305" s="46">
        <f>I305*'Cấu Hình Học Phí'!$B$5</f>
        <v/>
      </c>
      <c r="K305" s="46" t="n">
        <v>0</v>
      </c>
      <c r="L305" s="46">
        <f>H305+J305-K305</f>
        <v/>
      </c>
      <c r="M305" s="46" t="n">
        <v>2420000</v>
      </c>
      <c r="N305" s="46" t="n">
        <v>0</v>
      </c>
      <c r="O305" s="46">
        <f>MAX(0,M305-N305-L305)</f>
        <v/>
      </c>
      <c r="P305" s="46">
        <f>MAX(0,L305-(M305-N305))</f>
        <v/>
      </c>
      <c r="Q305" s="45" t="inlineStr">
        <is>
          <t>30/09/2026</t>
        </is>
      </c>
      <c r="R305" s="45" t="inlineStr">
        <is>
          <t>PT2026-00302</t>
        </is>
      </c>
      <c r="S305" s="45" t="inlineStr"/>
    </row>
    <row r="306">
      <c r="A306" s="45" t="inlineStr">
        <is>
          <t>251230829</t>
        </is>
      </c>
      <c r="B306" s="45" t="inlineStr">
        <is>
          <t>DOÃN CÔNG DUY</t>
        </is>
      </c>
      <c r="C306" s="45" t="inlineStr">
        <is>
          <t>Công nghệ thông tin 2 K66</t>
        </is>
      </c>
      <c r="D306" s="45" t="inlineStr">
        <is>
          <t>Năm 3</t>
        </is>
      </c>
      <c r="E306" s="45" t="inlineStr">
        <is>
          <t>2027_2028</t>
        </is>
      </c>
      <c r="F306" s="45" t="n">
        <v>4</v>
      </c>
      <c r="G306" s="46">
        <f>VLOOKUP(D306,'Cấu Hình Học Phí'!$A$8:$B$11,2,FALSE)</f>
        <v/>
      </c>
      <c r="H306" s="46">
        <f>F306*G306</f>
        <v/>
      </c>
      <c r="I306" s="45" t="n">
        <v>0</v>
      </c>
      <c r="J306" s="46">
        <f>I306*'Cấu Hình Học Phí'!$B$5</f>
        <v/>
      </c>
      <c r="K306" s="46" t="n">
        <v>0</v>
      </c>
      <c r="L306" s="46">
        <f>H306+J306-K306</f>
        <v/>
      </c>
      <c r="M306" s="46" t="n">
        <v>2662000</v>
      </c>
      <c r="N306" s="46" t="n">
        <v>0</v>
      </c>
      <c r="O306" s="46">
        <f>MAX(0,M306-N306-L306)</f>
        <v/>
      </c>
      <c r="P306" s="46">
        <f>MAX(0,L306-(M306-N306))</f>
        <v/>
      </c>
      <c r="Q306" s="45" t="inlineStr">
        <is>
          <t>30/09/2027</t>
        </is>
      </c>
      <c r="R306" s="45" t="inlineStr">
        <is>
          <t>PT2027-00303</t>
        </is>
      </c>
      <c r="S306" s="45" t="inlineStr"/>
    </row>
    <row r="307">
      <c r="A307" s="45" t="inlineStr">
        <is>
          <t>251230829</t>
        </is>
      </c>
      <c r="B307" s="45" t="inlineStr">
        <is>
          <t>DOÃN CÔNG DUY</t>
        </is>
      </c>
      <c r="C307" s="45" t="inlineStr">
        <is>
          <t>Công nghệ thông tin 2 K66</t>
        </is>
      </c>
      <c r="D307" s="45" t="inlineStr">
        <is>
          <t>Năm 4</t>
        </is>
      </c>
      <c r="E307" s="45" t="inlineStr">
        <is>
          <t>2028_2029</t>
        </is>
      </c>
      <c r="F307" s="45" t="n">
        <v>1</v>
      </c>
      <c r="G307" s="46">
        <f>VLOOKUP(D307,'Cấu Hình Học Phí'!$A$8:$B$11,2,FALSE)</f>
        <v/>
      </c>
      <c r="H307" s="46">
        <f>F307*G307</f>
        <v/>
      </c>
      <c r="I307" s="45" t="n">
        <v>0</v>
      </c>
      <c r="J307" s="46">
        <f>I307*'Cấu Hình Học Phí'!$B$5</f>
        <v/>
      </c>
      <c r="K307" s="46" t="n">
        <v>0</v>
      </c>
      <c r="L307" s="46">
        <f>H307+J307-K307</f>
        <v/>
      </c>
      <c r="M307" s="46" t="n">
        <v>732050</v>
      </c>
      <c r="N307" s="46" t="n">
        <v>0</v>
      </c>
      <c r="O307" s="46">
        <f>MAX(0,M307-N307-L307)</f>
        <v/>
      </c>
      <c r="P307" s="46">
        <f>MAX(0,L307-(M307-N307))</f>
        <v/>
      </c>
      <c r="Q307" s="45" t="inlineStr">
        <is>
          <t>30/09/2028</t>
        </is>
      </c>
      <c r="R307" s="45" t="inlineStr">
        <is>
          <t>PT2028-00304</t>
        </is>
      </c>
      <c r="S307" s="45" t="inlineStr"/>
    </row>
    <row r="308">
      <c r="A308" s="45" t="inlineStr">
        <is>
          <t>251230830</t>
        </is>
      </c>
      <c r="B308" s="45" t="inlineStr">
        <is>
          <t>NGUYỄN VĂN DUY</t>
        </is>
      </c>
      <c r="C308" s="45" t="inlineStr">
        <is>
          <t>Công nghệ thông tin 2 K66</t>
        </is>
      </c>
      <c r="D308" s="45" t="inlineStr">
        <is>
          <t>Năm 1</t>
        </is>
      </c>
      <c r="E308" s="45" t="inlineStr">
        <is>
          <t>2025_2026</t>
        </is>
      </c>
      <c r="F308" s="45" t="n">
        <v>4</v>
      </c>
      <c r="G308" s="46">
        <f>VLOOKUP(D308,'Cấu Hình Học Phí'!$A$8:$B$11,2,FALSE)</f>
        <v/>
      </c>
      <c r="H308" s="46">
        <f>F308*G308</f>
        <v/>
      </c>
      <c r="I308" s="45" t="n">
        <v>0</v>
      </c>
      <c r="J308" s="46">
        <f>I308*'Cấu Hình Học Phí'!$B$5</f>
        <v/>
      </c>
      <c r="K308" s="46" t="n">
        <v>0</v>
      </c>
      <c r="L308" s="46">
        <f>H308+J308-K308</f>
        <v/>
      </c>
      <c r="M308" s="46" t="n">
        <v>2200000</v>
      </c>
      <c r="N308" s="46" t="n">
        <v>0</v>
      </c>
      <c r="O308" s="46">
        <f>MAX(0,M308-N308-L308)</f>
        <v/>
      </c>
      <c r="P308" s="46">
        <f>MAX(0,L308-(M308-N308))</f>
        <v/>
      </c>
      <c r="Q308" s="45" t="inlineStr">
        <is>
          <t>30/09/2025</t>
        </is>
      </c>
      <c r="R308" s="45" t="inlineStr">
        <is>
          <t>PT2025-00305</t>
        </is>
      </c>
      <c r="S308" s="45" t="inlineStr"/>
    </row>
    <row r="309">
      <c r="A309" s="45" t="inlineStr">
        <is>
          <t>251230830</t>
        </is>
      </c>
      <c r="B309" s="45" t="inlineStr">
        <is>
          <t>NGUYỄN VĂN DUY</t>
        </is>
      </c>
      <c r="C309" s="45" t="inlineStr">
        <is>
          <t>Công nghệ thông tin 2 K66</t>
        </is>
      </c>
      <c r="D309" s="45" t="inlineStr">
        <is>
          <t>Năm 2</t>
        </is>
      </c>
      <c r="E309" s="45" t="inlineStr">
        <is>
          <t>2026_2027</t>
        </is>
      </c>
      <c r="F309" s="45" t="n">
        <v>4</v>
      </c>
      <c r="G309" s="46">
        <f>VLOOKUP(D309,'Cấu Hình Học Phí'!$A$8:$B$11,2,FALSE)</f>
        <v/>
      </c>
      <c r="H309" s="46">
        <f>F309*G309</f>
        <v/>
      </c>
      <c r="I309" s="45" t="n">
        <v>1</v>
      </c>
      <c r="J309" s="46">
        <f>I309*'Cấu Hình Học Phí'!$B$5</f>
        <v/>
      </c>
      <c r="K309" s="46" t="n">
        <v>0</v>
      </c>
      <c r="L309" s="46">
        <f>H309+J309-K309</f>
        <v/>
      </c>
      <c r="M309" s="46" t="n">
        <v>2420000</v>
      </c>
      <c r="N309" s="46" t="n">
        <v>0</v>
      </c>
      <c r="O309" s="46">
        <f>MAX(0,M309-N309-L309)</f>
        <v/>
      </c>
      <c r="P309" s="46">
        <f>MAX(0,L309-(M309-N309))</f>
        <v/>
      </c>
      <c r="Q309" s="45" t="inlineStr">
        <is>
          <t>30/09/2026</t>
        </is>
      </c>
      <c r="R309" s="45" t="inlineStr">
        <is>
          <t>PT2026-00306</t>
        </is>
      </c>
      <c r="S309" s="45" t="inlineStr">
        <is>
          <t>Chưa nộp phí phụ đạo 1 môn</t>
        </is>
      </c>
    </row>
    <row r="310">
      <c r="A310" s="45" t="inlineStr">
        <is>
          <t>251230830</t>
        </is>
      </c>
      <c r="B310" s="45" t="inlineStr">
        <is>
          <t>NGUYỄN VĂN DUY</t>
        </is>
      </c>
      <c r="C310" s="45" t="inlineStr">
        <is>
          <t>Công nghệ thông tin 2 K66</t>
        </is>
      </c>
      <c r="D310" s="45" t="inlineStr">
        <is>
          <t>Năm 3</t>
        </is>
      </c>
      <c r="E310" s="45" t="inlineStr">
        <is>
          <t>2027_2028</t>
        </is>
      </c>
      <c r="F310" s="45" t="n">
        <v>4</v>
      </c>
      <c r="G310" s="46">
        <f>VLOOKUP(D310,'Cấu Hình Học Phí'!$A$8:$B$11,2,FALSE)</f>
        <v/>
      </c>
      <c r="H310" s="46">
        <f>F310*G310</f>
        <v/>
      </c>
      <c r="I310" s="45" t="n">
        <v>0</v>
      </c>
      <c r="J310" s="46">
        <f>I310*'Cấu Hình Học Phí'!$B$5</f>
        <v/>
      </c>
      <c r="K310" s="46" t="n">
        <v>0</v>
      </c>
      <c r="L310" s="46">
        <f>H310+J310-K310</f>
        <v/>
      </c>
      <c r="M310" s="46" t="n">
        <v>2662000</v>
      </c>
      <c r="N310" s="46" t="n">
        <v>0</v>
      </c>
      <c r="O310" s="46">
        <f>MAX(0,M310-N310-L310)</f>
        <v/>
      </c>
      <c r="P310" s="46">
        <f>MAX(0,L310-(M310-N310))</f>
        <v/>
      </c>
      <c r="Q310" s="45" t="inlineStr">
        <is>
          <t>30/09/2027</t>
        </is>
      </c>
      <c r="R310" s="45" t="inlineStr">
        <is>
          <t>PT2027-00307</t>
        </is>
      </c>
      <c r="S310" s="45" t="inlineStr"/>
    </row>
    <row r="311">
      <c r="A311" s="45" t="inlineStr">
        <is>
          <t>251230830</t>
        </is>
      </c>
      <c r="B311" s="45" t="inlineStr">
        <is>
          <t>NGUYỄN VĂN DUY</t>
        </is>
      </c>
      <c r="C311" s="45" t="inlineStr">
        <is>
          <t>Công nghệ thông tin 2 K66</t>
        </is>
      </c>
      <c r="D311" s="45" t="inlineStr">
        <is>
          <t>Năm 4</t>
        </is>
      </c>
      <c r="E311" s="45" t="inlineStr">
        <is>
          <t>2028_2029</t>
        </is>
      </c>
      <c r="F311" s="45" t="n">
        <v>1</v>
      </c>
      <c r="G311" s="46">
        <f>VLOOKUP(D311,'Cấu Hình Học Phí'!$A$8:$B$11,2,FALSE)</f>
        <v/>
      </c>
      <c r="H311" s="46">
        <f>F311*G311</f>
        <v/>
      </c>
      <c r="I311" s="45" t="n">
        <v>0</v>
      </c>
      <c r="J311" s="46">
        <f>I311*'Cấu Hình Học Phí'!$B$5</f>
        <v/>
      </c>
      <c r="K311" s="46" t="n">
        <v>0</v>
      </c>
      <c r="L311" s="46">
        <f>H311+J311-K311</f>
        <v/>
      </c>
      <c r="M311" s="46" t="n">
        <v>732050</v>
      </c>
      <c r="N311" s="46" t="n">
        <v>0</v>
      </c>
      <c r="O311" s="46">
        <f>MAX(0,M311-N311-L311)</f>
        <v/>
      </c>
      <c r="P311" s="46">
        <f>MAX(0,L311-(M311-N311))</f>
        <v/>
      </c>
      <c r="Q311" s="45" t="inlineStr">
        <is>
          <t>30/09/2028</t>
        </is>
      </c>
      <c r="R311" s="45" t="inlineStr">
        <is>
          <t>PT2028-00308</t>
        </is>
      </c>
      <c r="S311" s="45" t="inlineStr"/>
    </row>
    <row r="312">
      <c r="A312" s="45" t="inlineStr">
        <is>
          <t>251230837</t>
        </is>
      </c>
      <c r="B312" s="45" t="inlineStr">
        <is>
          <t>HOÀNG THÀNH ĐẠT</t>
        </is>
      </c>
      <c r="C312" s="45" t="inlineStr">
        <is>
          <t>Công nghệ thông tin 2 K66</t>
        </is>
      </c>
      <c r="D312" s="45" t="inlineStr">
        <is>
          <t>Năm 1</t>
        </is>
      </c>
      <c r="E312" s="45" t="inlineStr">
        <is>
          <t>2025_2026</t>
        </is>
      </c>
      <c r="F312" s="45" t="n">
        <v>4</v>
      </c>
      <c r="G312" s="46">
        <f>VLOOKUP(D312,'Cấu Hình Học Phí'!$A$8:$B$11,2,FALSE)</f>
        <v/>
      </c>
      <c r="H312" s="46">
        <f>F312*G312</f>
        <v/>
      </c>
      <c r="I312" s="45" t="n">
        <v>1</v>
      </c>
      <c r="J312" s="46">
        <f>I312*'Cấu Hình Học Phí'!$B$5</f>
        <v/>
      </c>
      <c r="K312" s="46" t="n">
        <v>0</v>
      </c>
      <c r="L312" s="46">
        <f>H312+J312-K312</f>
        <v/>
      </c>
      <c r="M312" s="46" t="n">
        <v>2200000</v>
      </c>
      <c r="N312" s="46" t="n">
        <v>0</v>
      </c>
      <c r="O312" s="46">
        <f>MAX(0,M312-N312-L312)</f>
        <v/>
      </c>
      <c r="P312" s="46">
        <f>MAX(0,L312-(M312-N312))</f>
        <v/>
      </c>
      <c r="Q312" s="45" t="inlineStr">
        <is>
          <t>30/09/2025</t>
        </is>
      </c>
      <c r="R312" s="45" t="inlineStr">
        <is>
          <t>PT2025-00309</t>
        </is>
      </c>
      <c r="S312" s="45" t="inlineStr">
        <is>
          <t>Chưa nộp phí phụ đạo 1 môn</t>
        </is>
      </c>
    </row>
    <row r="313">
      <c r="A313" s="45" t="inlineStr">
        <is>
          <t>251230837</t>
        </is>
      </c>
      <c r="B313" s="45" t="inlineStr">
        <is>
          <t>HOÀNG THÀNH ĐẠT</t>
        </is>
      </c>
      <c r="C313" s="45" t="inlineStr">
        <is>
          <t>Công nghệ thông tin 2 K66</t>
        </is>
      </c>
      <c r="D313" s="45" t="inlineStr">
        <is>
          <t>Năm 2</t>
        </is>
      </c>
      <c r="E313" s="45" t="inlineStr">
        <is>
          <t>2026_2027</t>
        </is>
      </c>
      <c r="F313" s="45" t="n">
        <v>4</v>
      </c>
      <c r="G313" s="46">
        <f>VLOOKUP(D313,'Cấu Hình Học Phí'!$A$8:$B$11,2,FALSE)</f>
        <v/>
      </c>
      <c r="H313" s="46">
        <f>F313*G313</f>
        <v/>
      </c>
      <c r="I313" s="45" t="n">
        <v>0</v>
      </c>
      <c r="J313" s="46">
        <f>I313*'Cấu Hình Học Phí'!$B$5</f>
        <v/>
      </c>
      <c r="K313" s="46" t="n">
        <v>0</v>
      </c>
      <c r="L313" s="46">
        <f>H313+J313-K313</f>
        <v/>
      </c>
      <c r="M313" s="46" t="n">
        <v>2420000</v>
      </c>
      <c r="N313" s="46" t="n">
        <v>0</v>
      </c>
      <c r="O313" s="46">
        <f>MAX(0,M313-N313-L313)</f>
        <v/>
      </c>
      <c r="P313" s="46">
        <f>MAX(0,L313-(M313-N313))</f>
        <v/>
      </c>
      <c r="Q313" s="45" t="inlineStr">
        <is>
          <t>30/09/2026</t>
        </is>
      </c>
      <c r="R313" s="45" t="inlineStr">
        <is>
          <t>PT2026-00310</t>
        </is>
      </c>
      <c r="S313" s="45" t="inlineStr"/>
    </row>
    <row r="314">
      <c r="A314" s="45" t="inlineStr">
        <is>
          <t>251230837</t>
        </is>
      </c>
      <c r="B314" s="45" t="inlineStr">
        <is>
          <t>HOÀNG THÀNH ĐẠT</t>
        </is>
      </c>
      <c r="C314" s="45" t="inlineStr">
        <is>
          <t>Công nghệ thông tin 2 K66</t>
        </is>
      </c>
      <c r="D314" s="45" t="inlineStr">
        <is>
          <t>Năm 3</t>
        </is>
      </c>
      <c r="E314" s="45" t="inlineStr">
        <is>
          <t>2027_2028</t>
        </is>
      </c>
      <c r="F314" s="45" t="n">
        <v>4</v>
      </c>
      <c r="G314" s="46">
        <f>VLOOKUP(D314,'Cấu Hình Học Phí'!$A$8:$B$11,2,FALSE)</f>
        <v/>
      </c>
      <c r="H314" s="46">
        <f>F314*G314</f>
        <v/>
      </c>
      <c r="I314" s="45" t="n">
        <v>0</v>
      </c>
      <c r="J314" s="46">
        <f>I314*'Cấu Hình Học Phí'!$B$5</f>
        <v/>
      </c>
      <c r="K314" s="46" t="n">
        <v>0</v>
      </c>
      <c r="L314" s="46">
        <f>H314+J314-K314</f>
        <v/>
      </c>
      <c r="M314" s="46" t="n">
        <v>2662000</v>
      </c>
      <c r="N314" s="46" t="n">
        <v>0</v>
      </c>
      <c r="O314" s="46">
        <f>MAX(0,M314-N314-L314)</f>
        <v/>
      </c>
      <c r="P314" s="46">
        <f>MAX(0,L314-(M314-N314))</f>
        <v/>
      </c>
      <c r="Q314" s="45" t="inlineStr">
        <is>
          <t>30/09/2027</t>
        </is>
      </c>
      <c r="R314" s="45" t="inlineStr">
        <is>
          <t>PT2027-00311</t>
        </is>
      </c>
      <c r="S314" s="45" t="inlineStr"/>
    </row>
    <row r="315">
      <c r="A315" s="45" t="inlineStr">
        <is>
          <t>251230837</t>
        </is>
      </c>
      <c r="B315" s="45" t="inlineStr">
        <is>
          <t>HOÀNG THÀNH ĐẠT</t>
        </is>
      </c>
      <c r="C315" s="45" t="inlineStr">
        <is>
          <t>Công nghệ thông tin 2 K66</t>
        </is>
      </c>
      <c r="D315" s="45" t="inlineStr">
        <is>
          <t>Năm 4</t>
        </is>
      </c>
      <c r="E315" s="45" t="inlineStr">
        <is>
          <t>2028_2029</t>
        </is>
      </c>
      <c r="F315" s="45" t="n">
        <v>1</v>
      </c>
      <c r="G315" s="46">
        <f>VLOOKUP(D315,'Cấu Hình Học Phí'!$A$8:$B$11,2,FALSE)</f>
        <v/>
      </c>
      <c r="H315" s="46">
        <f>F315*G315</f>
        <v/>
      </c>
      <c r="I315" s="45" t="n">
        <v>0</v>
      </c>
      <c r="J315" s="46">
        <f>I315*'Cấu Hình Học Phí'!$B$5</f>
        <v/>
      </c>
      <c r="K315" s="46" t="n">
        <v>0</v>
      </c>
      <c r="L315" s="46">
        <f>H315+J315-K315</f>
        <v/>
      </c>
      <c r="M315" s="46" t="n">
        <v>732050</v>
      </c>
      <c r="N315" s="46" t="n">
        <v>0</v>
      </c>
      <c r="O315" s="46">
        <f>MAX(0,M315-N315-L315)</f>
        <v/>
      </c>
      <c r="P315" s="46">
        <f>MAX(0,L315-(M315-N315))</f>
        <v/>
      </c>
      <c r="Q315" s="45" t="inlineStr">
        <is>
          <t>30/09/2028</t>
        </is>
      </c>
      <c r="R315" s="45" t="inlineStr">
        <is>
          <t>PT2028-00312</t>
        </is>
      </c>
      <c r="S315" s="45" t="inlineStr"/>
    </row>
    <row r="316">
      <c r="A316" s="45" t="inlineStr">
        <is>
          <t>251210838</t>
        </is>
      </c>
      <c r="B316" s="45" t="inlineStr">
        <is>
          <t>LÊ TRẦN TIẾN ĐẠT</t>
        </is>
      </c>
      <c r="C316" s="45" t="inlineStr">
        <is>
          <t>Công nghệ thông tin 2 K66</t>
        </is>
      </c>
      <c r="D316" s="45" t="inlineStr">
        <is>
          <t>Năm 1</t>
        </is>
      </c>
      <c r="E316" s="45" t="inlineStr">
        <is>
          <t>2025_2026</t>
        </is>
      </c>
      <c r="F316" s="45" t="n">
        <v>4</v>
      </c>
      <c r="G316" s="46">
        <f>VLOOKUP(D316,'Cấu Hình Học Phí'!$A$8:$B$11,2,FALSE)</f>
        <v/>
      </c>
      <c r="H316" s="46">
        <f>F316*G316</f>
        <v/>
      </c>
      <c r="I316" s="45" t="n">
        <v>0</v>
      </c>
      <c r="J316" s="46">
        <f>I316*'Cấu Hình Học Phí'!$B$5</f>
        <v/>
      </c>
      <c r="K316" s="46" t="n">
        <v>0</v>
      </c>
      <c r="L316" s="46">
        <f>H316+J316-K316</f>
        <v/>
      </c>
      <c r="M316" s="46" t="n">
        <v>2200000</v>
      </c>
      <c r="N316" s="46" t="n">
        <v>0</v>
      </c>
      <c r="O316" s="46">
        <f>MAX(0,M316-N316-L316)</f>
        <v/>
      </c>
      <c r="P316" s="46">
        <f>MAX(0,L316-(M316-N316))</f>
        <v/>
      </c>
      <c r="Q316" s="45" t="inlineStr">
        <is>
          <t>30/09/2025</t>
        </is>
      </c>
      <c r="R316" s="45" t="inlineStr">
        <is>
          <t>PT2025-00313</t>
        </is>
      </c>
      <c r="S316" s="45" t="inlineStr"/>
    </row>
    <row r="317">
      <c r="A317" s="45" t="inlineStr">
        <is>
          <t>251210838</t>
        </is>
      </c>
      <c r="B317" s="45" t="inlineStr">
        <is>
          <t>LÊ TRẦN TIẾN ĐẠT</t>
        </is>
      </c>
      <c r="C317" s="45" t="inlineStr">
        <is>
          <t>Công nghệ thông tin 2 K66</t>
        </is>
      </c>
      <c r="D317" s="45" t="inlineStr">
        <is>
          <t>Năm 2</t>
        </is>
      </c>
      <c r="E317" s="45" t="inlineStr">
        <is>
          <t>2026_2027</t>
        </is>
      </c>
      <c r="F317" s="45" t="n">
        <v>4</v>
      </c>
      <c r="G317" s="46">
        <f>VLOOKUP(D317,'Cấu Hình Học Phí'!$A$8:$B$11,2,FALSE)</f>
        <v/>
      </c>
      <c r="H317" s="46">
        <f>F317*G317</f>
        <v/>
      </c>
      <c r="I317" s="45" t="n">
        <v>0</v>
      </c>
      <c r="J317" s="46">
        <f>I317*'Cấu Hình Học Phí'!$B$5</f>
        <v/>
      </c>
      <c r="K317" s="46" t="n">
        <v>0</v>
      </c>
      <c r="L317" s="46">
        <f>H317+J317-K317</f>
        <v/>
      </c>
      <c r="M317" s="46" t="n">
        <v>2420000</v>
      </c>
      <c r="N317" s="46" t="n">
        <v>0</v>
      </c>
      <c r="O317" s="46">
        <f>MAX(0,M317-N317-L317)</f>
        <v/>
      </c>
      <c r="P317" s="46">
        <f>MAX(0,L317-(M317-N317))</f>
        <v/>
      </c>
      <c r="Q317" s="45" t="inlineStr">
        <is>
          <t>30/09/2026</t>
        </is>
      </c>
      <c r="R317" s="45" t="inlineStr">
        <is>
          <t>PT2026-00314</t>
        </is>
      </c>
      <c r="S317" s="45" t="inlineStr"/>
    </row>
    <row r="318">
      <c r="A318" s="45" t="inlineStr">
        <is>
          <t>251210838</t>
        </is>
      </c>
      <c r="B318" s="45" t="inlineStr">
        <is>
          <t>LÊ TRẦN TIẾN ĐẠT</t>
        </is>
      </c>
      <c r="C318" s="45" t="inlineStr">
        <is>
          <t>Công nghệ thông tin 2 K66</t>
        </is>
      </c>
      <c r="D318" s="45" t="inlineStr">
        <is>
          <t>Năm 3</t>
        </is>
      </c>
      <c r="E318" s="45" t="inlineStr">
        <is>
          <t>2027_2028</t>
        </is>
      </c>
      <c r="F318" s="45" t="n">
        <v>4</v>
      </c>
      <c r="G318" s="46">
        <f>VLOOKUP(D318,'Cấu Hình Học Phí'!$A$8:$B$11,2,FALSE)</f>
        <v/>
      </c>
      <c r="H318" s="46">
        <f>F318*G318</f>
        <v/>
      </c>
      <c r="I318" s="45" t="n">
        <v>0</v>
      </c>
      <c r="J318" s="46">
        <f>I318*'Cấu Hình Học Phí'!$B$5</f>
        <v/>
      </c>
      <c r="K318" s="46" t="n">
        <v>0</v>
      </c>
      <c r="L318" s="46">
        <f>H318+J318-K318</f>
        <v/>
      </c>
      <c r="M318" s="46" t="n">
        <v>2662000</v>
      </c>
      <c r="N318" s="46" t="n">
        <v>0</v>
      </c>
      <c r="O318" s="46">
        <f>MAX(0,M318-N318-L318)</f>
        <v/>
      </c>
      <c r="P318" s="46">
        <f>MAX(0,L318-(M318-N318))</f>
        <v/>
      </c>
      <c r="Q318" s="45" t="inlineStr">
        <is>
          <t>30/09/2027</t>
        </is>
      </c>
      <c r="R318" s="45" t="inlineStr">
        <is>
          <t>PT2027-00315</t>
        </is>
      </c>
      <c r="S318" s="45" t="inlineStr"/>
    </row>
    <row r="319">
      <c r="A319" s="45" t="inlineStr">
        <is>
          <t>251210838</t>
        </is>
      </c>
      <c r="B319" s="45" t="inlineStr">
        <is>
          <t>LÊ TRẦN TIẾN ĐẠT</t>
        </is>
      </c>
      <c r="C319" s="45" t="inlineStr">
        <is>
          <t>Công nghệ thông tin 2 K66</t>
        </is>
      </c>
      <c r="D319" s="45" t="inlineStr">
        <is>
          <t>Năm 4</t>
        </is>
      </c>
      <c r="E319" s="45" t="inlineStr">
        <is>
          <t>2028_2029</t>
        </is>
      </c>
      <c r="F319" s="45" t="n">
        <v>1</v>
      </c>
      <c r="G319" s="46">
        <f>VLOOKUP(D319,'Cấu Hình Học Phí'!$A$8:$B$11,2,FALSE)</f>
        <v/>
      </c>
      <c r="H319" s="46">
        <f>F319*G319</f>
        <v/>
      </c>
      <c r="I319" s="45" t="n">
        <v>0</v>
      </c>
      <c r="J319" s="46">
        <f>I319*'Cấu Hình Học Phí'!$B$5</f>
        <v/>
      </c>
      <c r="K319" s="46" t="n">
        <v>0</v>
      </c>
      <c r="L319" s="46">
        <f>H319+J319-K319</f>
        <v/>
      </c>
      <c r="M319" s="46" t="n">
        <v>732050</v>
      </c>
      <c r="N319" s="46" t="n">
        <v>0</v>
      </c>
      <c r="O319" s="46">
        <f>MAX(0,M319-N319-L319)</f>
        <v/>
      </c>
      <c r="P319" s="46">
        <f>MAX(0,L319-(M319-N319))</f>
        <v/>
      </c>
      <c r="Q319" s="45" t="inlineStr">
        <is>
          <t>30/09/2028</t>
        </is>
      </c>
      <c r="R319" s="45" t="inlineStr">
        <is>
          <t>PT2028-00316</t>
        </is>
      </c>
      <c r="S319" s="45" t="inlineStr"/>
    </row>
    <row r="320">
      <c r="A320" s="45" t="inlineStr">
        <is>
          <t>251210839</t>
        </is>
      </c>
      <c r="B320" s="45" t="inlineStr">
        <is>
          <t>NGUYỄN TIẾN ĐẠT</t>
        </is>
      </c>
      <c r="C320" s="45" t="inlineStr">
        <is>
          <t>Công nghệ thông tin 2 K66</t>
        </is>
      </c>
      <c r="D320" s="45" t="inlineStr">
        <is>
          <t>Năm 1</t>
        </is>
      </c>
      <c r="E320" s="45" t="inlineStr">
        <is>
          <t>2025_2026</t>
        </is>
      </c>
      <c r="F320" s="45" t="n">
        <v>4</v>
      </c>
      <c r="G320" s="46">
        <f>VLOOKUP(D320,'Cấu Hình Học Phí'!$A$8:$B$11,2,FALSE)</f>
        <v/>
      </c>
      <c r="H320" s="46">
        <f>F320*G320</f>
        <v/>
      </c>
      <c r="I320" s="45" t="n">
        <v>1</v>
      </c>
      <c r="J320" s="46">
        <f>I320*'Cấu Hình Học Phí'!$B$5</f>
        <v/>
      </c>
      <c r="K320" s="46" t="n">
        <v>0</v>
      </c>
      <c r="L320" s="46">
        <f>H320+J320-K320</f>
        <v/>
      </c>
      <c r="M320" s="46" t="n">
        <v>3200000</v>
      </c>
      <c r="N320" s="46" t="n">
        <v>0</v>
      </c>
      <c r="O320" s="46">
        <f>MAX(0,M320-N320-L320)</f>
        <v/>
      </c>
      <c r="P320" s="46">
        <f>MAX(0,L320-(M320-N320))</f>
        <v/>
      </c>
      <c r="Q320" s="45" t="inlineStr">
        <is>
          <t>30/09/2025</t>
        </is>
      </c>
      <c r="R320" s="45" t="inlineStr">
        <is>
          <t>PT2025-00317</t>
        </is>
      </c>
      <c r="S320" s="45" t="inlineStr"/>
    </row>
    <row r="321">
      <c r="A321" s="45" t="inlineStr">
        <is>
          <t>251210839</t>
        </is>
      </c>
      <c r="B321" s="45" t="inlineStr">
        <is>
          <t>NGUYỄN TIẾN ĐẠT</t>
        </is>
      </c>
      <c r="C321" s="45" t="inlineStr">
        <is>
          <t>Công nghệ thông tin 2 K66</t>
        </is>
      </c>
      <c r="D321" s="45" t="inlineStr">
        <is>
          <t>Năm 2</t>
        </is>
      </c>
      <c r="E321" s="45" t="inlineStr">
        <is>
          <t>2026_2027</t>
        </is>
      </c>
      <c r="F321" s="45" t="n">
        <v>4</v>
      </c>
      <c r="G321" s="46">
        <f>VLOOKUP(D321,'Cấu Hình Học Phí'!$A$8:$B$11,2,FALSE)</f>
        <v/>
      </c>
      <c r="H321" s="46">
        <f>F321*G321</f>
        <v/>
      </c>
      <c r="I321" s="45" t="n">
        <v>0</v>
      </c>
      <c r="J321" s="46">
        <f>I321*'Cấu Hình Học Phí'!$B$5</f>
        <v/>
      </c>
      <c r="K321" s="46" t="n">
        <v>0</v>
      </c>
      <c r="L321" s="46">
        <f>H321+J321-K321</f>
        <v/>
      </c>
      <c r="M321" s="46" t="n">
        <v>2420000</v>
      </c>
      <c r="N321" s="46" t="n">
        <v>0</v>
      </c>
      <c r="O321" s="46">
        <f>MAX(0,M321-N321-L321)</f>
        <v/>
      </c>
      <c r="P321" s="46">
        <f>MAX(0,L321-(M321-N321))</f>
        <v/>
      </c>
      <c r="Q321" s="45" t="inlineStr">
        <is>
          <t>30/09/2026</t>
        </is>
      </c>
      <c r="R321" s="45" t="inlineStr">
        <is>
          <t>PT2026-00318</t>
        </is>
      </c>
      <c r="S321" s="45" t="inlineStr"/>
    </row>
    <row r="322">
      <c r="A322" s="45" t="inlineStr">
        <is>
          <t>251210839</t>
        </is>
      </c>
      <c r="B322" s="45" t="inlineStr">
        <is>
          <t>NGUYỄN TIẾN ĐẠT</t>
        </is>
      </c>
      <c r="C322" s="45" t="inlineStr">
        <is>
          <t>Công nghệ thông tin 2 K66</t>
        </is>
      </c>
      <c r="D322" s="45" t="inlineStr">
        <is>
          <t>Năm 3</t>
        </is>
      </c>
      <c r="E322" s="45" t="inlineStr">
        <is>
          <t>2027_2028</t>
        </is>
      </c>
      <c r="F322" s="45" t="n">
        <v>4</v>
      </c>
      <c r="G322" s="46">
        <f>VLOOKUP(D322,'Cấu Hình Học Phí'!$A$8:$B$11,2,FALSE)</f>
        <v/>
      </c>
      <c r="H322" s="46">
        <f>F322*G322</f>
        <v/>
      </c>
      <c r="I322" s="45" t="n">
        <v>0</v>
      </c>
      <c r="J322" s="46">
        <f>I322*'Cấu Hình Học Phí'!$B$5</f>
        <v/>
      </c>
      <c r="K322" s="46" t="n">
        <v>0</v>
      </c>
      <c r="L322" s="46">
        <f>H322+J322-K322</f>
        <v/>
      </c>
      <c r="M322" s="46" t="n">
        <v>2662000</v>
      </c>
      <c r="N322" s="46" t="n">
        <v>0</v>
      </c>
      <c r="O322" s="46">
        <f>MAX(0,M322-N322-L322)</f>
        <v/>
      </c>
      <c r="P322" s="46">
        <f>MAX(0,L322-(M322-N322))</f>
        <v/>
      </c>
      <c r="Q322" s="45" t="inlineStr">
        <is>
          <t>30/09/2027</t>
        </is>
      </c>
      <c r="R322" s="45" t="inlineStr">
        <is>
          <t>PT2027-00319</t>
        </is>
      </c>
      <c r="S322" s="45" t="inlineStr"/>
    </row>
    <row r="323">
      <c r="A323" s="45" t="inlineStr">
        <is>
          <t>251210839</t>
        </is>
      </c>
      <c r="B323" s="45" t="inlineStr">
        <is>
          <t>NGUYỄN TIẾN ĐẠT</t>
        </is>
      </c>
      <c r="C323" s="45" t="inlineStr">
        <is>
          <t>Công nghệ thông tin 2 K66</t>
        </is>
      </c>
      <c r="D323" s="45" t="inlineStr">
        <is>
          <t>Năm 4</t>
        </is>
      </c>
      <c r="E323" s="45" t="inlineStr">
        <is>
          <t>2028_2029</t>
        </is>
      </c>
      <c r="F323" s="45" t="n">
        <v>1</v>
      </c>
      <c r="G323" s="46">
        <f>VLOOKUP(D323,'Cấu Hình Học Phí'!$A$8:$B$11,2,FALSE)</f>
        <v/>
      </c>
      <c r="H323" s="46">
        <f>F323*G323</f>
        <v/>
      </c>
      <c r="I323" s="45" t="n">
        <v>0</v>
      </c>
      <c r="J323" s="46">
        <f>I323*'Cấu Hình Học Phí'!$B$5</f>
        <v/>
      </c>
      <c r="K323" s="46" t="n">
        <v>0</v>
      </c>
      <c r="L323" s="46">
        <f>H323+J323-K323</f>
        <v/>
      </c>
      <c r="M323" s="46" t="n">
        <v>732050</v>
      </c>
      <c r="N323" s="46" t="n">
        <v>0</v>
      </c>
      <c r="O323" s="46">
        <f>MAX(0,M323-N323-L323)</f>
        <v/>
      </c>
      <c r="P323" s="46">
        <f>MAX(0,L323-(M323-N323))</f>
        <v/>
      </c>
      <c r="Q323" s="45" t="inlineStr">
        <is>
          <t>30/09/2028</t>
        </is>
      </c>
      <c r="R323" s="45" t="inlineStr">
        <is>
          <t>PT2028-00320</t>
        </is>
      </c>
      <c r="S323" s="45" t="inlineStr"/>
    </row>
    <row r="324">
      <c r="A324" s="45" t="inlineStr">
        <is>
          <t>251230840</t>
        </is>
      </c>
      <c r="B324" s="45" t="inlineStr">
        <is>
          <t>PHẠM TIẾN ĐẠT</t>
        </is>
      </c>
      <c r="C324" s="45" t="inlineStr">
        <is>
          <t>Công nghệ thông tin 2 K66</t>
        </is>
      </c>
      <c r="D324" s="45" t="inlineStr">
        <is>
          <t>Năm 1</t>
        </is>
      </c>
      <c r="E324" s="45" t="inlineStr">
        <is>
          <t>2025_2026</t>
        </is>
      </c>
      <c r="F324" s="45" t="n">
        <v>4</v>
      </c>
      <c r="G324" s="46">
        <f>VLOOKUP(D324,'Cấu Hình Học Phí'!$A$8:$B$11,2,FALSE)</f>
        <v/>
      </c>
      <c r="H324" s="46">
        <f>F324*G324</f>
        <v/>
      </c>
      <c r="I324" s="45" t="n">
        <v>0</v>
      </c>
      <c r="J324" s="46">
        <f>I324*'Cấu Hình Học Phí'!$B$5</f>
        <v/>
      </c>
      <c r="K324" s="46" t="n">
        <v>0</v>
      </c>
      <c r="L324" s="46">
        <f>H324+J324-K324</f>
        <v/>
      </c>
      <c r="M324" s="46" t="n">
        <v>2200000</v>
      </c>
      <c r="N324" s="46" t="n">
        <v>0</v>
      </c>
      <c r="O324" s="46">
        <f>MAX(0,M324-N324-L324)</f>
        <v/>
      </c>
      <c r="P324" s="46">
        <f>MAX(0,L324-(M324-N324))</f>
        <v/>
      </c>
      <c r="Q324" s="45" t="inlineStr">
        <is>
          <t>30/09/2025</t>
        </is>
      </c>
      <c r="R324" s="45" t="inlineStr">
        <is>
          <t>PT2025-00321</t>
        </is>
      </c>
      <c r="S324" s="45" t="inlineStr"/>
    </row>
    <row r="325">
      <c r="A325" s="45" t="inlineStr">
        <is>
          <t>251230840</t>
        </is>
      </c>
      <c r="B325" s="45" t="inlineStr">
        <is>
          <t>PHẠM TIẾN ĐẠT</t>
        </is>
      </c>
      <c r="C325" s="45" t="inlineStr">
        <is>
          <t>Công nghệ thông tin 2 K66</t>
        </is>
      </c>
      <c r="D325" s="45" t="inlineStr">
        <is>
          <t>Năm 2</t>
        </is>
      </c>
      <c r="E325" s="45" t="inlineStr">
        <is>
          <t>2026_2027</t>
        </is>
      </c>
      <c r="F325" s="45" t="n">
        <v>4</v>
      </c>
      <c r="G325" s="46">
        <f>VLOOKUP(D325,'Cấu Hình Học Phí'!$A$8:$B$11,2,FALSE)</f>
        <v/>
      </c>
      <c r="H325" s="46">
        <f>F325*G325</f>
        <v/>
      </c>
      <c r="I325" s="45" t="n">
        <v>0</v>
      </c>
      <c r="J325" s="46">
        <f>I325*'Cấu Hình Học Phí'!$B$5</f>
        <v/>
      </c>
      <c r="K325" s="46" t="n">
        <v>0</v>
      </c>
      <c r="L325" s="46">
        <f>H325+J325-K325</f>
        <v/>
      </c>
      <c r="M325" s="46" t="n">
        <v>2420000</v>
      </c>
      <c r="N325" s="46" t="n">
        <v>0</v>
      </c>
      <c r="O325" s="46">
        <f>MAX(0,M325-N325-L325)</f>
        <v/>
      </c>
      <c r="P325" s="46">
        <f>MAX(0,L325-(M325-N325))</f>
        <v/>
      </c>
      <c r="Q325" s="45" t="inlineStr">
        <is>
          <t>30/09/2026</t>
        </is>
      </c>
      <c r="R325" s="45" t="inlineStr">
        <is>
          <t>PT2026-00322</t>
        </is>
      </c>
      <c r="S325" s="45" t="inlineStr"/>
    </row>
    <row r="326">
      <c r="A326" s="45" t="inlineStr">
        <is>
          <t>251230840</t>
        </is>
      </c>
      <c r="B326" s="45" t="inlineStr">
        <is>
          <t>PHẠM TIẾN ĐẠT</t>
        </is>
      </c>
      <c r="C326" s="45" t="inlineStr">
        <is>
          <t>Công nghệ thông tin 2 K66</t>
        </is>
      </c>
      <c r="D326" s="45" t="inlineStr">
        <is>
          <t>Năm 3</t>
        </is>
      </c>
      <c r="E326" s="45" t="inlineStr">
        <is>
          <t>2027_2028</t>
        </is>
      </c>
      <c r="F326" s="45" t="n">
        <v>4</v>
      </c>
      <c r="G326" s="46">
        <f>VLOOKUP(D326,'Cấu Hình Học Phí'!$A$8:$B$11,2,FALSE)</f>
        <v/>
      </c>
      <c r="H326" s="46">
        <f>F326*G326</f>
        <v/>
      </c>
      <c r="I326" s="45" t="n">
        <v>0</v>
      </c>
      <c r="J326" s="46">
        <f>I326*'Cấu Hình Học Phí'!$B$5</f>
        <v/>
      </c>
      <c r="K326" s="46" t="n">
        <v>0</v>
      </c>
      <c r="L326" s="46">
        <f>H326+J326-K326</f>
        <v/>
      </c>
      <c r="M326" s="46" t="n">
        <v>2662000</v>
      </c>
      <c r="N326" s="46" t="n">
        <v>0</v>
      </c>
      <c r="O326" s="46">
        <f>MAX(0,M326-N326-L326)</f>
        <v/>
      </c>
      <c r="P326" s="46">
        <f>MAX(0,L326-(M326-N326))</f>
        <v/>
      </c>
      <c r="Q326" s="45" t="inlineStr">
        <is>
          <t>30/09/2027</t>
        </is>
      </c>
      <c r="R326" s="45" t="inlineStr">
        <is>
          <t>PT2027-00323</t>
        </is>
      </c>
      <c r="S326" s="45" t="inlineStr"/>
    </row>
    <row r="327">
      <c r="A327" s="45" t="inlineStr">
        <is>
          <t>251230840</t>
        </is>
      </c>
      <c r="B327" s="45" t="inlineStr">
        <is>
          <t>PHẠM TIẾN ĐẠT</t>
        </is>
      </c>
      <c r="C327" s="45" t="inlineStr">
        <is>
          <t>Công nghệ thông tin 2 K66</t>
        </is>
      </c>
      <c r="D327" s="45" t="inlineStr">
        <is>
          <t>Năm 4</t>
        </is>
      </c>
      <c r="E327" s="45" t="inlineStr">
        <is>
          <t>2028_2029</t>
        </is>
      </c>
      <c r="F327" s="45" t="n">
        <v>1</v>
      </c>
      <c r="G327" s="46">
        <f>VLOOKUP(D327,'Cấu Hình Học Phí'!$A$8:$B$11,2,FALSE)</f>
        <v/>
      </c>
      <c r="H327" s="46">
        <f>F327*G327</f>
        <v/>
      </c>
      <c r="I327" s="45" t="n">
        <v>0</v>
      </c>
      <c r="J327" s="46">
        <f>I327*'Cấu Hình Học Phí'!$B$5</f>
        <v/>
      </c>
      <c r="K327" s="46" t="n">
        <v>0</v>
      </c>
      <c r="L327" s="46">
        <f>H327+J327-K327</f>
        <v/>
      </c>
      <c r="M327" s="46" t="n">
        <v>732050</v>
      </c>
      <c r="N327" s="46" t="n">
        <v>0</v>
      </c>
      <c r="O327" s="46">
        <f>MAX(0,M327-N327-L327)</f>
        <v/>
      </c>
      <c r="P327" s="46">
        <f>MAX(0,L327-(M327-N327))</f>
        <v/>
      </c>
      <c r="Q327" s="45" t="inlineStr">
        <is>
          <t>30/09/2028</t>
        </is>
      </c>
      <c r="R327" s="45" t="inlineStr">
        <is>
          <t>PT2028-00324</t>
        </is>
      </c>
      <c r="S327" s="45" t="inlineStr"/>
    </row>
    <row r="328">
      <c r="A328" s="45" t="inlineStr">
        <is>
          <t>251210842</t>
        </is>
      </c>
      <c r="B328" s="45" t="inlineStr">
        <is>
          <t>LƯƠNG ĐÌNH ĐOÀN</t>
        </is>
      </c>
      <c r="C328" s="45" t="inlineStr">
        <is>
          <t>Công nghệ thông tin 2 K66</t>
        </is>
      </c>
      <c r="D328" s="45" t="inlineStr">
        <is>
          <t>Năm 1</t>
        </is>
      </c>
      <c r="E328" s="45" t="inlineStr">
        <is>
          <t>2025_2026</t>
        </is>
      </c>
      <c r="F328" s="45" t="n">
        <v>4</v>
      </c>
      <c r="G328" s="46">
        <f>VLOOKUP(D328,'Cấu Hình Học Phí'!$A$8:$B$11,2,FALSE)</f>
        <v/>
      </c>
      <c r="H328" s="46">
        <f>F328*G328</f>
        <v/>
      </c>
      <c r="I328" s="45" t="n">
        <v>1</v>
      </c>
      <c r="J328" s="46">
        <f>I328*'Cấu Hình Học Phí'!$B$5</f>
        <v/>
      </c>
      <c r="K328" s="46" t="n">
        <v>0</v>
      </c>
      <c r="L328" s="46">
        <f>H328+J328-K328</f>
        <v/>
      </c>
      <c r="M328" s="46" t="n">
        <v>3200000</v>
      </c>
      <c r="N328" s="46" t="n">
        <v>0</v>
      </c>
      <c r="O328" s="46">
        <f>MAX(0,M328-N328-L328)</f>
        <v/>
      </c>
      <c r="P328" s="46">
        <f>MAX(0,L328-(M328-N328))</f>
        <v/>
      </c>
      <c r="Q328" s="45" t="inlineStr">
        <is>
          <t>30/09/2025</t>
        </is>
      </c>
      <c r="R328" s="45" t="inlineStr">
        <is>
          <t>PT2025-00325</t>
        </is>
      </c>
      <c r="S328" s="45" t="inlineStr"/>
    </row>
    <row r="329">
      <c r="A329" s="45" t="inlineStr">
        <is>
          <t>251210842</t>
        </is>
      </c>
      <c r="B329" s="45" t="inlineStr">
        <is>
          <t>LƯƠNG ĐÌNH ĐOÀN</t>
        </is>
      </c>
      <c r="C329" s="45" t="inlineStr">
        <is>
          <t>Công nghệ thông tin 2 K66</t>
        </is>
      </c>
      <c r="D329" s="45" t="inlineStr">
        <is>
          <t>Năm 2</t>
        </is>
      </c>
      <c r="E329" s="45" t="inlineStr">
        <is>
          <t>2026_2027</t>
        </is>
      </c>
      <c r="F329" s="45" t="n">
        <v>4</v>
      </c>
      <c r="G329" s="46">
        <f>VLOOKUP(D329,'Cấu Hình Học Phí'!$A$8:$B$11,2,FALSE)</f>
        <v/>
      </c>
      <c r="H329" s="46">
        <f>F329*G329</f>
        <v/>
      </c>
      <c r="I329" s="45" t="n">
        <v>0</v>
      </c>
      <c r="J329" s="46">
        <f>I329*'Cấu Hình Học Phí'!$B$5</f>
        <v/>
      </c>
      <c r="K329" s="46" t="n">
        <v>0</v>
      </c>
      <c r="L329" s="46">
        <f>H329+J329-K329</f>
        <v/>
      </c>
      <c r="M329" s="46" t="n">
        <v>2420000</v>
      </c>
      <c r="N329" s="46" t="n">
        <v>0</v>
      </c>
      <c r="O329" s="46">
        <f>MAX(0,M329-N329-L329)</f>
        <v/>
      </c>
      <c r="P329" s="46">
        <f>MAX(0,L329-(M329-N329))</f>
        <v/>
      </c>
      <c r="Q329" s="45" t="inlineStr">
        <is>
          <t>30/09/2026</t>
        </is>
      </c>
      <c r="R329" s="45" t="inlineStr">
        <is>
          <t>PT2026-00326</t>
        </is>
      </c>
      <c r="S329" s="45" t="inlineStr"/>
    </row>
    <row r="330">
      <c r="A330" s="45" t="inlineStr">
        <is>
          <t>251210842</t>
        </is>
      </c>
      <c r="B330" s="45" t="inlineStr">
        <is>
          <t>LƯƠNG ĐÌNH ĐOÀN</t>
        </is>
      </c>
      <c r="C330" s="45" t="inlineStr">
        <is>
          <t>Công nghệ thông tin 2 K66</t>
        </is>
      </c>
      <c r="D330" s="45" t="inlineStr">
        <is>
          <t>Năm 3</t>
        </is>
      </c>
      <c r="E330" s="45" t="inlineStr">
        <is>
          <t>2027_2028</t>
        </is>
      </c>
      <c r="F330" s="45" t="n">
        <v>4</v>
      </c>
      <c r="G330" s="46">
        <f>VLOOKUP(D330,'Cấu Hình Học Phí'!$A$8:$B$11,2,FALSE)</f>
        <v/>
      </c>
      <c r="H330" s="46">
        <f>F330*G330</f>
        <v/>
      </c>
      <c r="I330" s="45" t="n">
        <v>0</v>
      </c>
      <c r="J330" s="46">
        <f>I330*'Cấu Hình Học Phí'!$B$5</f>
        <v/>
      </c>
      <c r="K330" s="46" t="n">
        <v>0</v>
      </c>
      <c r="L330" s="46">
        <f>H330+J330-K330</f>
        <v/>
      </c>
      <c r="M330" s="46" t="n">
        <v>2662000</v>
      </c>
      <c r="N330" s="46" t="n">
        <v>0</v>
      </c>
      <c r="O330" s="46">
        <f>MAX(0,M330-N330-L330)</f>
        <v/>
      </c>
      <c r="P330" s="46">
        <f>MAX(0,L330-(M330-N330))</f>
        <v/>
      </c>
      <c r="Q330" s="45" t="inlineStr">
        <is>
          <t>30/09/2027</t>
        </is>
      </c>
      <c r="R330" s="45" t="inlineStr">
        <is>
          <t>PT2027-00327</t>
        </is>
      </c>
      <c r="S330" s="45" t="inlineStr"/>
    </row>
    <row r="331">
      <c r="A331" s="45" t="inlineStr">
        <is>
          <t>251210842</t>
        </is>
      </c>
      <c r="B331" s="45" t="inlineStr">
        <is>
          <t>LƯƠNG ĐÌNH ĐOÀN</t>
        </is>
      </c>
      <c r="C331" s="45" t="inlineStr">
        <is>
          <t>Công nghệ thông tin 2 K66</t>
        </is>
      </c>
      <c r="D331" s="45" t="inlineStr">
        <is>
          <t>Năm 4</t>
        </is>
      </c>
      <c r="E331" s="45" t="inlineStr">
        <is>
          <t>2028_2029</t>
        </is>
      </c>
      <c r="F331" s="45" t="n">
        <v>1</v>
      </c>
      <c r="G331" s="46">
        <f>VLOOKUP(D331,'Cấu Hình Học Phí'!$A$8:$B$11,2,FALSE)</f>
        <v/>
      </c>
      <c r="H331" s="46">
        <f>F331*G331</f>
        <v/>
      </c>
      <c r="I331" s="45" t="n">
        <v>1</v>
      </c>
      <c r="J331" s="46">
        <f>I331*'Cấu Hình Học Phí'!$B$5</f>
        <v/>
      </c>
      <c r="K331" s="46" t="n">
        <v>0</v>
      </c>
      <c r="L331" s="46">
        <f>H331+J331-K331</f>
        <v/>
      </c>
      <c r="M331" s="46" t="n">
        <v>1732050</v>
      </c>
      <c r="N331" s="46" t="n">
        <v>0</v>
      </c>
      <c r="O331" s="46">
        <f>MAX(0,M331-N331-L331)</f>
        <v/>
      </c>
      <c r="P331" s="46">
        <f>MAX(0,L331-(M331-N331))</f>
        <v/>
      </c>
      <c r="Q331" s="45" t="inlineStr">
        <is>
          <t>30/09/2028</t>
        </is>
      </c>
      <c r="R331" s="45" t="inlineStr">
        <is>
          <t>PT2028-00328</t>
        </is>
      </c>
      <c r="S331" s="45" t="inlineStr"/>
    </row>
    <row r="332">
      <c r="A332" s="45" t="inlineStr">
        <is>
          <t>251230844</t>
        </is>
      </c>
      <c r="B332" s="45" t="inlineStr">
        <is>
          <t>DƯƠNG VIỆT ĐỨC</t>
        </is>
      </c>
      <c r="C332" s="45" t="inlineStr">
        <is>
          <t>Công nghệ thông tin 2 K66</t>
        </is>
      </c>
      <c r="D332" s="45" t="inlineStr">
        <is>
          <t>Năm 1</t>
        </is>
      </c>
      <c r="E332" s="45" t="inlineStr">
        <is>
          <t>2025_2026</t>
        </is>
      </c>
      <c r="F332" s="45" t="n">
        <v>4</v>
      </c>
      <c r="G332" s="46">
        <f>VLOOKUP(D332,'Cấu Hình Học Phí'!$A$8:$B$11,2,FALSE)</f>
        <v/>
      </c>
      <c r="H332" s="46">
        <f>F332*G332</f>
        <v/>
      </c>
      <c r="I332" s="45" t="n">
        <v>2</v>
      </c>
      <c r="J332" s="46">
        <f>I332*'Cấu Hình Học Phí'!$B$5</f>
        <v/>
      </c>
      <c r="K332" s="46" t="n">
        <v>0</v>
      </c>
      <c r="L332" s="46">
        <f>H332+J332-K332</f>
        <v/>
      </c>
      <c r="M332" s="46" t="n">
        <v>4200000</v>
      </c>
      <c r="N332" s="46" t="n">
        <v>0</v>
      </c>
      <c r="O332" s="46">
        <f>MAX(0,M332-N332-L332)</f>
        <v/>
      </c>
      <c r="P332" s="46">
        <f>MAX(0,L332-(M332-N332))</f>
        <v/>
      </c>
      <c r="Q332" s="45" t="inlineStr">
        <is>
          <t>30/09/2025</t>
        </is>
      </c>
      <c r="R332" s="45" t="inlineStr">
        <is>
          <t>PT2025-00329</t>
        </is>
      </c>
      <c r="S332" s="45" t="inlineStr"/>
    </row>
    <row r="333">
      <c r="A333" s="45" t="inlineStr">
        <is>
          <t>251230844</t>
        </is>
      </c>
      <c r="B333" s="45" t="inlineStr">
        <is>
          <t>DƯƠNG VIỆT ĐỨC</t>
        </is>
      </c>
      <c r="C333" s="45" t="inlineStr">
        <is>
          <t>Công nghệ thông tin 2 K66</t>
        </is>
      </c>
      <c r="D333" s="45" t="inlineStr">
        <is>
          <t>Năm 2</t>
        </is>
      </c>
      <c r="E333" s="45" t="inlineStr">
        <is>
          <t>2026_2027</t>
        </is>
      </c>
      <c r="F333" s="45" t="n">
        <v>4</v>
      </c>
      <c r="G333" s="46">
        <f>VLOOKUP(D333,'Cấu Hình Học Phí'!$A$8:$B$11,2,FALSE)</f>
        <v/>
      </c>
      <c r="H333" s="46">
        <f>F333*G333</f>
        <v/>
      </c>
      <c r="I333" s="45" t="n">
        <v>0</v>
      </c>
      <c r="J333" s="46">
        <f>I333*'Cấu Hình Học Phí'!$B$5</f>
        <v/>
      </c>
      <c r="K333" s="46" t="n">
        <v>0</v>
      </c>
      <c r="L333" s="46">
        <f>H333+J333-K333</f>
        <v/>
      </c>
      <c r="M333" s="46" t="n">
        <v>2420000</v>
      </c>
      <c r="N333" s="46" t="n">
        <v>0</v>
      </c>
      <c r="O333" s="46">
        <f>MAX(0,M333-N333-L333)</f>
        <v/>
      </c>
      <c r="P333" s="46">
        <f>MAX(0,L333-(M333-N333))</f>
        <v/>
      </c>
      <c r="Q333" s="45" t="inlineStr">
        <is>
          <t>30/09/2026</t>
        </is>
      </c>
      <c r="R333" s="45" t="inlineStr">
        <is>
          <t>PT2026-00330</t>
        </is>
      </c>
      <c r="S333" s="45" t="inlineStr"/>
    </row>
    <row r="334">
      <c r="A334" s="45" t="inlineStr">
        <is>
          <t>251230844</t>
        </is>
      </c>
      <c r="B334" s="45" t="inlineStr">
        <is>
          <t>DƯƠNG VIỆT ĐỨC</t>
        </is>
      </c>
      <c r="C334" s="45" t="inlineStr">
        <is>
          <t>Công nghệ thông tin 2 K66</t>
        </is>
      </c>
      <c r="D334" s="45" t="inlineStr">
        <is>
          <t>Năm 3</t>
        </is>
      </c>
      <c r="E334" s="45" t="inlineStr">
        <is>
          <t>2027_2028</t>
        </is>
      </c>
      <c r="F334" s="45" t="n">
        <v>4</v>
      </c>
      <c r="G334" s="46">
        <f>VLOOKUP(D334,'Cấu Hình Học Phí'!$A$8:$B$11,2,FALSE)</f>
        <v/>
      </c>
      <c r="H334" s="46">
        <f>F334*G334</f>
        <v/>
      </c>
      <c r="I334" s="45" t="n">
        <v>1</v>
      </c>
      <c r="J334" s="46">
        <f>I334*'Cấu Hình Học Phí'!$B$5</f>
        <v/>
      </c>
      <c r="K334" s="46" t="n">
        <v>0</v>
      </c>
      <c r="L334" s="46">
        <f>H334+J334-K334</f>
        <v/>
      </c>
      <c r="M334" s="46" t="n">
        <v>3662000</v>
      </c>
      <c r="N334" s="46" t="n">
        <v>0</v>
      </c>
      <c r="O334" s="46">
        <f>MAX(0,M334-N334-L334)</f>
        <v/>
      </c>
      <c r="P334" s="46">
        <f>MAX(0,L334-(M334-N334))</f>
        <v/>
      </c>
      <c r="Q334" s="45" t="inlineStr">
        <is>
          <t>30/09/2027</t>
        </is>
      </c>
      <c r="R334" s="45" t="inlineStr">
        <is>
          <t>PT2027-00331</t>
        </is>
      </c>
      <c r="S334" s="45" t="inlineStr"/>
    </row>
    <row r="335">
      <c r="A335" s="45" t="inlineStr">
        <is>
          <t>251230844</t>
        </is>
      </c>
      <c r="B335" s="45" t="inlineStr">
        <is>
          <t>DƯƠNG VIỆT ĐỨC</t>
        </is>
      </c>
      <c r="C335" s="45" t="inlineStr">
        <is>
          <t>Công nghệ thông tin 2 K66</t>
        </is>
      </c>
      <c r="D335" s="45" t="inlineStr">
        <is>
          <t>Năm 4</t>
        </is>
      </c>
      <c r="E335" s="45" t="inlineStr">
        <is>
          <t>2028_2029</t>
        </is>
      </c>
      <c r="F335" s="45" t="n">
        <v>1</v>
      </c>
      <c r="G335" s="46">
        <f>VLOOKUP(D335,'Cấu Hình Học Phí'!$A$8:$B$11,2,FALSE)</f>
        <v/>
      </c>
      <c r="H335" s="46">
        <f>F335*G335</f>
        <v/>
      </c>
      <c r="I335" s="45" t="n">
        <v>0</v>
      </c>
      <c r="J335" s="46">
        <f>I335*'Cấu Hình Học Phí'!$B$5</f>
        <v/>
      </c>
      <c r="K335" s="46" t="n">
        <v>0</v>
      </c>
      <c r="L335" s="46">
        <f>H335+J335-K335</f>
        <v/>
      </c>
      <c r="M335" s="46" t="n">
        <v>732050</v>
      </c>
      <c r="N335" s="46" t="n">
        <v>0</v>
      </c>
      <c r="O335" s="46">
        <f>MAX(0,M335-N335-L335)</f>
        <v/>
      </c>
      <c r="P335" s="46">
        <f>MAX(0,L335-(M335-N335))</f>
        <v/>
      </c>
      <c r="Q335" s="45" t="inlineStr">
        <is>
          <t>30/09/2028</t>
        </is>
      </c>
      <c r="R335" s="45" t="inlineStr">
        <is>
          <t>PT2028-00332</t>
        </is>
      </c>
      <c r="S335" s="45" t="inlineStr"/>
    </row>
    <row r="336">
      <c r="A336" s="45" t="inlineStr">
        <is>
          <t>251210845</t>
        </is>
      </c>
      <c r="B336" s="45" t="inlineStr">
        <is>
          <t>MAI ANH ĐỨC</t>
        </is>
      </c>
      <c r="C336" s="45" t="inlineStr">
        <is>
          <t>Công nghệ thông tin 2 K66</t>
        </is>
      </c>
      <c r="D336" s="45" t="inlineStr">
        <is>
          <t>Năm 1</t>
        </is>
      </c>
      <c r="E336" s="45" t="inlineStr">
        <is>
          <t>2025_2026</t>
        </is>
      </c>
      <c r="F336" s="45" t="n">
        <v>4</v>
      </c>
      <c r="G336" s="46">
        <f>VLOOKUP(D336,'Cấu Hình Học Phí'!$A$8:$B$11,2,FALSE)</f>
        <v/>
      </c>
      <c r="H336" s="46">
        <f>F336*G336</f>
        <v/>
      </c>
      <c r="I336" s="45" t="n">
        <v>0</v>
      </c>
      <c r="J336" s="46">
        <f>I336*'Cấu Hình Học Phí'!$B$5</f>
        <v/>
      </c>
      <c r="K336" s="46" t="n">
        <v>0</v>
      </c>
      <c r="L336" s="46">
        <f>H336+J336-K336</f>
        <v/>
      </c>
      <c r="M336" s="46" t="n">
        <v>2200000</v>
      </c>
      <c r="N336" s="46" t="n">
        <v>0</v>
      </c>
      <c r="O336" s="46">
        <f>MAX(0,M336-N336-L336)</f>
        <v/>
      </c>
      <c r="P336" s="46">
        <f>MAX(0,L336-(M336-N336))</f>
        <v/>
      </c>
      <c r="Q336" s="45" t="inlineStr">
        <is>
          <t>30/09/2025</t>
        </is>
      </c>
      <c r="R336" s="45" t="inlineStr">
        <is>
          <t>PT2025-00333</t>
        </is>
      </c>
      <c r="S336" s="45" t="inlineStr"/>
    </row>
    <row r="337">
      <c r="A337" s="45" t="inlineStr">
        <is>
          <t>251210845</t>
        </is>
      </c>
      <c r="B337" s="45" t="inlineStr">
        <is>
          <t>MAI ANH ĐỨC</t>
        </is>
      </c>
      <c r="C337" s="45" t="inlineStr">
        <is>
          <t>Công nghệ thông tin 2 K66</t>
        </is>
      </c>
      <c r="D337" s="45" t="inlineStr">
        <is>
          <t>Năm 2</t>
        </is>
      </c>
      <c r="E337" s="45" t="inlineStr">
        <is>
          <t>2026_2027</t>
        </is>
      </c>
      <c r="F337" s="45" t="n">
        <v>4</v>
      </c>
      <c r="G337" s="46">
        <f>VLOOKUP(D337,'Cấu Hình Học Phí'!$A$8:$B$11,2,FALSE)</f>
        <v/>
      </c>
      <c r="H337" s="46">
        <f>F337*G337</f>
        <v/>
      </c>
      <c r="I337" s="45" t="n">
        <v>2</v>
      </c>
      <c r="J337" s="46">
        <f>I337*'Cấu Hình Học Phí'!$B$5</f>
        <v/>
      </c>
      <c r="K337" s="46" t="n">
        <v>0</v>
      </c>
      <c r="L337" s="46">
        <f>H337+J337-K337</f>
        <v/>
      </c>
      <c r="M337" s="46" t="n">
        <v>2420000</v>
      </c>
      <c r="N337" s="46" t="n">
        <v>0</v>
      </c>
      <c r="O337" s="46">
        <f>MAX(0,M337-N337-L337)</f>
        <v/>
      </c>
      <c r="P337" s="46">
        <f>MAX(0,L337-(M337-N337))</f>
        <v/>
      </c>
      <c r="Q337" s="45" t="inlineStr">
        <is>
          <t>30/09/2026</t>
        </is>
      </c>
      <c r="R337" s="45" t="inlineStr">
        <is>
          <t>PT2026-00334</t>
        </is>
      </c>
      <c r="S337" s="45" t="inlineStr">
        <is>
          <t>Chưa nộp phí phụ đạo 2 môn</t>
        </is>
      </c>
    </row>
    <row r="338">
      <c r="A338" s="45" t="inlineStr">
        <is>
          <t>251210845</t>
        </is>
      </c>
      <c r="B338" s="45" t="inlineStr">
        <is>
          <t>MAI ANH ĐỨC</t>
        </is>
      </c>
      <c r="C338" s="45" t="inlineStr">
        <is>
          <t>Công nghệ thông tin 2 K66</t>
        </is>
      </c>
      <c r="D338" s="45" t="inlineStr">
        <is>
          <t>Năm 3</t>
        </is>
      </c>
      <c r="E338" s="45" t="inlineStr">
        <is>
          <t>2027_2028</t>
        </is>
      </c>
      <c r="F338" s="45" t="n">
        <v>4</v>
      </c>
      <c r="G338" s="46">
        <f>VLOOKUP(D338,'Cấu Hình Học Phí'!$A$8:$B$11,2,FALSE)</f>
        <v/>
      </c>
      <c r="H338" s="46">
        <f>F338*G338</f>
        <v/>
      </c>
      <c r="I338" s="45" t="n">
        <v>1</v>
      </c>
      <c r="J338" s="46">
        <f>I338*'Cấu Hình Học Phí'!$B$5</f>
        <v/>
      </c>
      <c r="K338" s="46" t="n">
        <v>0</v>
      </c>
      <c r="L338" s="46">
        <f>H338+J338-K338</f>
        <v/>
      </c>
      <c r="M338" s="46" t="n">
        <v>3662000</v>
      </c>
      <c r="N338" s="46" t="n">
        <v>0</v>
      </c>
      <c r="O338" s="46">
        <f>MAX(0,M338-N338-L338)</f>
        <v/>
      </c>
      <c r="P338" s="46">
        <f>MAX(0,L338-(M338-N338))</f>
        <v/>
      </c>
      <c r="Q338" s="45" t="inlineStr">
        <is>
          <t>30/09/2027</t>
        </is>
      </c>
      <c r="R338" s="45" t="inlineStr">
        <is>
          <t>PT2027-00335</t>
        </is>
      </c>
      <c r="S338" s="45" t="inlineStr"/>
    </row>
    <row r="339">
      <c r="A339" s="45" t="inlineStr">
        <is>
          <t>251210845</t>
        </is>
      </c>
      <c r="B339" s="45" t="inlineStr">
        <is>
          <t>MAI ANH ĐỨC</t>
        </is>
      </c>
      <c r="C339" s="45" t="inlineStr">
        <is>
          <t>Công nghệ thông tin 2 K66</t>
        </is>
      </c>
      <c r="D339" s="45" t="inlineStr">
        <is>
          <t>Năm 4</t>
        </is>
      </c>
      <c r="E339" s="45" t="inlineStr">
        <is>
          <t>2028_2029</t>
        </is>
      </c>
      <c r="F339" s="45" t="n">
        <v>1</v>
      </c>
      <c r="G339" s="46">
        <f>VLOOKUP(D339,'Cấu Hình Học Phí'!$A$8:$B$11,2,FALSE)</f>
        <v/>
      </c>
      <c r="H339" s="46">
        <f>F339*G339</f>
        <v/>
      </c>
      <c r="I339" s="45" t="n">
        <v>0</v>
      </c>
      <c r="J339" s="46">
        <f>I339*'Cấu Hình Học Phí'!$B$5</f>
        <v/>
      </c>
      <c r="K339" s="46" t="n">
        <v>0</v>
      </c>
      <c r="L339" s="46">
        <f>H339+J339-K339</f>
        <v/>
      </c>
      <c r="M339" s="46" t="n">
        <v>732050</v>
      </c>
      <c r="N339" s="46" t="n">
        <v>0</v>
      </c>
      <c r="O339" s="46">
        <f>MAX(0,M339-N339-L339)</f>
        <v/>
      </c>
      <c r="P339" s="46">
        <f>MAX(0,L339-(M339-N339))</f>
        <v/>
      </c>
      <c r="Q339" s="45" t="inlineStr">
        <is>
          <t>30/09/2028</t>
        </is>
      </c>
      <c r="R339" s="45" t="inlineStr">
        <is>
          <t>PT2028-00336</t>
        </is>
      </c>
      <c r="S339" s="45" t="inlineStr"/>
    </row>
    <row r="340">
      <c r="A340" s="45" t="inlineStr">
        <is>
          <t>251210860</t>
        </is>
      </c>
      <c r="B340" s="45" t="inlineStr">
        <is>
          <t>ĐẶNG TRUNG HIẾU</t>
        </is>
      </c>
      <c r="C340" s="45" t="inlineStr">
        <is>
          <t>Công nghệ thông tin 2 K66</t>
        </is>
      </c>
      <c r="D340" s="45" t="inlineStr">
        <is>
          <t>Năm 1</t>
        </is>
      </c>
      <c r="E340" s="45" t="inlineStr">
        <is>
          <t>2025_2026</t>
        </is>
      </c>
      <c r="F340" s="45" t="n">
        <v>4</v>
      </c>
      <c r="G340" s="46">
        <f>VLOOKUP(D340,'Cấu Hình Học Phí'!$A$8:$B$11,2,FALSE)</f>
        <v/>
      </c>
      <c r="H340" s="46">
        <f>F340*G340</f>
        <v/>
      </c>
      <c r="I340" s="45" t="n">
        <v>0</v>
      </c>
      <c r="J340" s="46">
        <f>I340*'Cấu Hình Học Phí'!$B$5</f>
        <v/>
      </c>
      <c r="K340" s="46" t="n">
        <v>0</v>
      </c>
      <c r="L340" s="46">
        <f>H340+J340-K340</f>
        <v/>
      </c>
      <c r="M340" s="46" t="n">
        <v>2200000</v>
      </c>
      <c r="N340" s="46" t="n">
        <v>0</v>
      </c>
      <c r="O340" s="46">
        <f>MAX(0,M340-N340-L340)</f>
        <v/>
      </c>
      <c r="P340" s="46">
        <f>MAX(0,L340-(M340-N340))</f>
        <v/>
      </c>
      <c r="Q340" s="45" t="inlineStr">
        <is>
          <t>30/09/2025</t>
        </is>
      </c>
      <c r="R340" s="45" t="inlineStr">
        <is>
          <t>PT2025-00337</t>
        </is>
      </c>
      <c r="S340" s="45" t="inlineStr"/>
    </row>
    <row r="341">
      <c r="A341" s="45" t="inlineStr">
        <is>
          <t>251210860</t>
        </is>
      </c>
      <c r="B341" s="45" t="inlineStr">
        <is>
          <t>ĐẶNG TRUNG HIẾU</t>
        </is>
      </c>
      <c r="C341" s="45" t="inlineStr">
        <is>
          <t>Công nghệ thông tin 2 K66</t>
        </is>
      </c>
      <c r="D341" s="45" t="inlineStr">
        <is>
          <t>Năm 2</t>
        </is>
      </c>
      <c r="E341" s="45" t="inlineStr">
        <is>
          <t>2026_2027</t>
        </is>
      </c>
      <c r="F341" s="45" t="n">
        <v>4</v>
      </c>
      <c r="G341" s="46">
        <f>VLOOKUP(D341,'Cấu Hình Học Phí'!$A$8:$B$11,2,FALSE)</f>
        <v/>
      </c>
      <c r="H341" s="46">
        <f>F341*G341</f>
        <v/>
      </c>
      <c r="I341" s="45" t="n">
        <v>0</v>
      </c>
      <c r="J341" s="46">
        <f>I341*'Cấu Hình Học Phí'!$B$5</f>
        <v/>
      </c>
      <c r="K341" s="46" t="n">
        <v>0</v>
      </c>
      <c r="L341" s="46">
        <f>H341+J341-K341</f>
        <v/>
      </c>
      <c r="M341" s="46" t="n">
        <v>2420000</v>
      </c>
      <c r="N341" s="46" t="n">
        <v>0</v>
      </c>
      <c r="O341" s="46">
        <f>MAX(0,M341-N341-L341)</f>
        <v/>
      </c>
      <c r="P341" s="46">
        <f>MAX(0,L341-(M341-N341))</f>
        <v/>
      </c>
      <c r="Q341" s="45" t="inlineStr">
        <is>
          <t>30/09/2026</t>
        </is>
      </c>
      <c r="R341" s="45" t="inlineStr">
        <is>
          <t>PT2026-00338</t>
        </is>
      </c>
      <c r="S341" s="45" t="inlineStr"/>
    </row>
    <row r="342">
      <c r="A342" s="45" t="inlineStr">
        <is>
          <t>251210860</t>
        </is>
      </c>
      <c r="B342" s="45" t="inlineStr">
        <is>
          <t>ĐẶNG TRUNG HIẾU</t>
        </is>
      </c>
      <c r="C342" s="45" t="inlineStr">
        <is>
          <t>Công nghệ thông tin 2 K66</t>
        </is>
      </c>
      <c r="D342" s="45" t="inlineStr">
        <is>
          <t>Năm 3</t>
        </is>
      </c>
      <c r="E342" s="45" t="inlineStr">
        <is>
          <t>2027_2028</t>
        </is>
      </c>
      <c r="F342" s="45" t="n">
        <v>4</v>
      </c>
      <c r="G342" s="46">
        <f>VLOOKUP(D342,'Cấu Hình Học Phí'!$A$8:$B$11,2,FALSE)</f>
        <v/>
      </c>
      <c r="H342" s="46">
        <f>F342*G342</f>
        <v/>
      </c>
      <c r="I342" s="45" t="n">
        <v>1</v>
      </c>
      <c r="J342" s="46">
        <f>I342*'Cấu Hình Học Phí'!$B$5</f>
        <v/>
      </c>
      <c r="K342" s="46" t="n">
        <v>0</v>
      </c>
      <c r="L342" s="46">
        <f>H342+J342-K342</f>
        <v/>
      </c>
      <c r="M342" s="46" t="n">
        <v>3662000</v>
      </c>
      <c r="N342" s="46" t="n">
        <v>0</v>
      </c>
      <c r="O342" s="46">
        <f>MAX(0,M342-N342-L342)</f>
        <v/>
      </c>
      <c r="P342" s="46">
        <f>MAX(0,L342-(M342-N342))</f>
        <v/>
      </c>
      <c r="Q342" s="45" t="inlineStr">
        <is>
          <t>30/09/2027</t>
        </is>
      </c>
      <c r="R342" s="45" t="inlineStr">
        <is>
          <t>PT2027-00339</t>
        </is>
      </c>
      <c r="S342" s="45" t="inlineStr"/>
    </row>
    <row r="343">
      <c r="A343" s="45" t="inlineStr">
        <is>
          <t>251210860</t>
        </is>
      </c>
      <c r="B343" s="45" t="inlineStr">
        <is>
          <t>ĐẶNG TRUNG HIẾU</t>
        </is>
      </c>
      <c r="C343" s="45" t="inlineStr">
        <is>
          <t>Công nghệ thông tin 2 K66</t>
        </is>
      </c>
      <c r="D343" s="45" t="inlineStr">
        <is>
          <t>Năm 4</t>
        </is>
      </c>
      <c r="E343" s="45" t="inlineStr">
        <is>
          <t>2028_2029</t>
        </is>
      </c>
      <c r="F343" s="45" t="n">
        <v>1</v>
      </c>
      <c r="G343" s="46">
        <f>VLOOKUP(D343,'Cấu Hình Học Phí'!$A$8:$B$11,2,FALSE)</f>
        <v/>
      </c>
      <c r="H343" s="46">
        <f>F343*G343</f>
        <v/>
      </c>
      <c r="I343" s="45" t="n">
        <v>0</v>
      </c>
      <c r="J343" s="46">
        <f>I343*'Cấu Hình Học Phí'!$B$5</f>
        <v/>
      </c>
      <c r="K343" s="46" t="n">
        <v>0</v>
      </c>
      <c r="L343" s="46">
        <f>H343+J343-K343</f>
        <v/>
      </c>
      <c r="M343" s="46" t="n">
        <v>732050</v>
      </c>
      <c r="N343" s="46" t="n">
        <v>0</v>
      </c>
      <c r="O343" s="46">
        <f>MAX(0,M343-N343-L343)</f>
        <v/>
      </c>
      <c r="P343" s="46">
        <f>MAX(0,L343-(M343-N343))</f>
        <v/>
      </c>
      <c r="Q343" s="45" t="inlineStr">
        <is>
          <t>30/09/2028</t>
        </is>
      </c>
      <c r="R343" s="45" t="inlineStr">
        <is>
          <t>PT2028-00340</t>
        </is>
      </c>
      <c r="S343" s="45" t="inlineStr"/>
    </row>
    <row r="344">
      <c r="A344" s="45" t="inlineStr">
        <is>
          <t>251230859</t>
        </is>
      </c>
      <c r="B344" s="45" t="inlineStr">
        <is>
          <t>ĐINH NGUYỄN MINH HIẾU</t>
        </is>
      </c>
      <c r="C344" s="45" t="inlineStr">
        <is>
          <t>Công nghệ thông tin 2 K66</t>
        </is>
      </c>
      <c r="D344" s="45" t="inlineStr">
        <is>
          <t>Năm 1</t>
        </is>
      </c>
      <c r="E344" s="45" t="inlineStr">
        <is>
          <t>2025_2026</t>
        </is>
      </c>
      <c r="F344" s="45" t="n">
        <v>4</v>
      </c>
      <c r="G344" s="46">
        <f>VLOOKUP(D344,'Cấu Hình Học Phí'!$A$8:$B$11,2,FALSE)</f>
        <v/>
      </c>
      <c r="H344" s="46">
        <f>F344*G344</f>
        <v/>
      </c>
      <c r="I344" s="45" t="n">
        <v>0</v>
      </c>
      <c r="J344" s="46">
        <f>I344*'Cấu Hình Học Phí'!$B$5</f>
        <v/>
      </c>
      <c r="K344" s="46" t="n">
        <v>0</v>
      </c>
      <c r="L344" s="46">
        <f>H344+J344-K344</f>
        <v/>
      </c>
      <c r="M344" s="46" t="n">
        <v>2200000</v>
      </c>
      <c r="N344" s="46" t="n">
        <v>0</v>
      </c>
      <c r="O344" s="46">
        <f>MAX(0,M344-N344-L344)</f>
        <v/>
      </c>
      <c r="P344" s="46">
        <f>MAX(0,L344-(M344-N344))</f>
        <v/>
      </c>
      <c r="Q344" s="45" t="inlineStr">
        <is>
          <t>30/09/2025</t>
        </is>
      </c>
      <c r="R344" s="45" t="inlineStr">
        <is>
          <t>PT2025-00341</t>
        </is>
      </c>
      <c r="S344" s="45" t="inlineStr"/>
    </row>
    <row r="345">
      <c r="A345" s="45" t="inlineStr">
        <is>
          <t>251230859</t>
        </is>
      </c>
      <c r="B345" s="45" t="inlineStr">
        <is>
          <t>ĐINH NGUYỄN MINH HIẾU</t>
        </is>
      </c>
      <c r="C345" s="45" t="inlineStr">
        <is>
          <t>Công nghệ thông tin 2 K66</t>
        </is>
      </c>
      <c r="D345" s="45" t="inlineStr">
        <is>
          <t>Năm 2</t>
        </is>
      </c>
      <c r="E345" s="45" t="inlineStr">
        <is>
          <t>2026_2027</t>
        </is>
      </c>
      <c r="F345" s="45" t="n">
        <v>4</v>
      </c>
      <c r="G345" s="46">
        <f>VLOOKUP(D345,'Cấu Hình Học Phí'!$A$8:$B$11,2,FALSE)</f>
        <v/>
      </c>
      <c r="H345" s="46">
        <f>F345*G345</f>
        <v/>
      </c>
      <c r="I345" s="45" t="n">
        <v>0</v>
      </c>
      <c r="J345" s="46">
        <f>I345*'Cấu Hình Học Phí'!$B$5</f>
        <v/>
      </c>
      <c r="K345" s="46" t="n">
        <v>0</v>
      </c>
      <c r="L345" s="46">
        <f>H345+J345-K345</f>
        <v/>
      </c>
      <c r="M345" s="46" t="n">
        <v>2420000</v>
      </c>
      <c r="N345" s="46" t="n">
        <v>0</v>
      </c>
      <c r="O345" s="46">
        <f>MAX(0,M345-N345-L345)</f>
        <v/>
      </c>
      <c r="P345" s="46">
        <f>MAX(0,L345-(M345-N345))</f>
        <v/>
      </c>
      <c r="Q345" s="45" t="inlineStr">
        <is>
          <t>30/09/2026</t>
        </is>
      </c>
      <c r="R345" s="45" t="inlineStr">
        <is>
          <t>PT2026-00342</t>
        </is>
      </c>
      <c r="S345" s="45" t="inlineStr"/>
    </row>
    <row r="346">
      <c r="A346" s="45" t="inlineStr">
        <is>
          <t>251230859</t>
        </is>
      </c>
      <c r="B346" s="45" t="inlineStr">
        <is>
          <t>ĐINH NGUYỄN MINH HIẾU</t>
        </is>
      </c>
      <c r="C346" s="45" t="inlineStr">
        <is>
          <t>Công nghệ thông tin 2 K66</t>
        </is>
      </c>
      <c r="D346" s="45" t="inlineStr">
        <is>
          <t>Năm 3</t>
        </is>
      </c>
      <c r="E346" s="45" t="inlineStr">
        <is>
          <t>2027_2028</t>
        </is>
      </c>
      <c r="F346" s="45" t="n">
        <v>4</v>
      </c>
      <c r="G346" s="46">
        <f>VLOOKUP(D346,'Cấu Hình Học Phí'!$A$8:$B$11,2,FALSE)</f>
        <v/>
      </c>
      <c r="H346" s="46">
        <f>F346*G346</f>
        <v/>
      </c>
      <c r="I346" s="45" t="n">
        <v>0</v>
      </c>
      <c r="J346" s="46">
        <f>I346*'Cấu Hình Học Phí'!$B$5</f>
        <v/>
      </c>
      <c r="K346" s="46" t="n">
        <v>0</v>
      </c>
      <c r="L346" s="46">
        <f>H346+J346-K346</f>
        <v/>
      </c>
      <c r="M346" s="46" t="n">
        <v>2662000</v>
      </c>
      <c r="N346" s="46" t="n">
        <v>0</v>
      </c>
      <c r="O346" s="46">
        <f>MAX(0,M346-N346-L346)</f>
        <v/>
      </c>
      <c r="P346" s="46">
        <f>MAX(0,L346-(M346-N346))</f>
        <v/>
      </c>
      <c r="Q346" s="45" t="inlineStr">
        <is>
          <t>30/09/2027</t>
        </is>
      </c>
      <c r="R346" s="45" t="inlineStr">
        <is>
          <t>PT2027-00343</t>
        </is>
      </c>
      <c r="S346" s="45" t="inlineStr"/>
    </row>
    <row r="347">
      <c r="A347" s="45" t="inlineStr">
        <is>
          <t>251230859</t>
        </is>
      </c>
      <c r="B347" s="45" t="inlineStr">
        <is>
          <t>ĐINH NGUYỄN MINH HIẾU</t>
        </is>
      </c>
      <c r="C347" s="45" t="inlineStr">
        <is>
          <t>Công nghệ thông tin 2 K66</t>
        </is>
      </c>
      <c r="D347" s="45" t="inlineStr">
        <is>
          <t>Năm 4</t>
        </is>
      </c>
      <c r="E347" s="45" t="inlineStr">
        <is>
          <t>2028_2029</t>
        </is>
      </c>
      <c r="F347" s="45" t="n">
        <v>1</v>
      </c>
      <c r="G347" s="46">
        <f>VLOOKUP(D347,'Cấu Hình Học Phí'!$A$8:$B$11,2,FALSE)</f>
        <v/>
      </c>
      <c r="H347" s="46">
        <f>F347*G347</f>
        <v/>
      </c>
      <c r="I347" s="45" t="n">
        <v>0</v>
      </c>
      <c r="J347" s="46">
        <f>I347*'Cấu Hình Học Phí'!$B$5</f>
        <v/>
      </c>
      <c r="K347" s="46" t="n">
        <v>0</v>
      </c>
      <c r="L347" s="46">
        <f>H347+J347-K347</f>
        <v/>
      </c>
      <c r="M347" s="46" t="n">
        <v>732050</v>
      </c>
      <c r="N347" s="46" t="n">
        <v>0</v>
      </c>
      <c r="O347" s="46">
        <f>MAX(0,M347-N347-L347)</f>
        <v/>
      </c>
      <c r="P347" s="46">
        <f>MAX(0,L347-(M347-N347))</f>
        <v/>
      </c>
      <c r="Q347" s="45" t="inlineStr">
        <is>
          <t>30/09/2028</t>
        </is>
      </c>
      <c r="R347" s="45" t="inlineStr">
        <is>
          <t>PT2028-00344</t>
        </is>
      </c>
      <c r="S347" s="45" t="inlineStr"/>
    </row>
    <row r="348">
      <c r="A348" s="45" t="inlineStr">
        <is>
          <t>251210862</t>
        </is>
      </c>
      <c r="B348" s="45" t="inlineStr">
        <is>
          <t>NGUYỄN MINH HIẾU</t>
        </is>
      </c>
      <c r="C348" s="45" t="inlineStr">
        <is>
          <t>Công nghệ thông tin 2 K66</t>
        </is>
      </c>
      <c r="D348" s="45" t="inlineStr">
        <is>
          <t>Năm 1</t>
        </is>
      </c>
      <c r="E348" s="45" t="inlineStr">
        <is>
          <t>2025_2026</t>
        </is>
      </c>
      <c r="F348" s="45" t="n">
        <v>4</v>
      </c>
      <c r="G348" s="46">
        <f>VLOOKUP(D348,'Cấu Hình Học Phí'!$A$8:$B$11,2,FALSE)</f>
        <v/>
      </c>
      <c r="H348" s="46">
        <f>F348*G348</f>
        <v/>
      </c>
      <c r="I348" s="45" t="n">
        <v>1</v>
      </c>
      <c r="J348" s="46">
        <f>I348*'Cấu Hình Học Phí'!$B$5</f>
        <v/>
      </c>
      <c r="K348" s="46" t="n">
        <v>0</v>
      </c>
      <c r="L348" s="46">
        <f>H348+J348-K348</f>
        <v/>
      </c>
      <c r="M348" s="46" t="n">
        <v>3200000</v>
      </c>
      <c r="N348" s="46" t="n">
        <v>0</v>
      </c>
      <c r="O348" s="46">
        <f>MAX(0,M348-N348-L348)</f>
        <v/>
      </c>
      <c r="P348" s="46">
        <f>MAX(0,L348-(M348-N348))</f>
        <v/>
      </c>
      <c r="Q348" s="45" t="inlineStr">
        <is>
          <t>30/09/2025</t>
        </is>
      </c>
      <c r="R348" s="45" t="inlineStr">
        <is>
          <t>PT2025-00345</t>
        </is>
      </c>
      <c r="S348" s="45" t="inlineStr"/>
    </row>
    <row r="349">
      <c r="A349" s="45" t="inlineStr">
        <is>
          <t>251210862</t>
        </is>
      </c>
      <c r="B349" s="45" t="inlineStr">
        <is>
          <t>NGUYỄN MINH HIẾU</t>
        </is>
      </c>
      <c r="C349" s="45" t="inlineStr">
        <is>
          <t>Công nghệ thông tin 2 K66</t>
        </is>
      </c>
      <c r="D349" s="45" t="inlineStr">
        <is>
          <t>Năm 2</t>
        </is>
      </c>
      <c r="E349" s="45" t="inlineStr">
        <is>
          <t>2026_2027</t>
        </is>
      </c>
      <c r="F349" s="45" t="n">
        <v>4</v>
      </c>
      <c r="G349" s="46">
        <f>VLOOKUP(D349,'Cấu Hình Học Phí'!$A$8:$B$11,2,FALSE)</f>
        <v/>
      </c>
      <c r="H349" s="46">
        <f>F349*G349</f>
        <v/>
      </c>
      <c r="I349" s="45" t="n">
        <v>1</v>
      </c>
      <c r="J349" s="46">
        <f>I349*'Cấu Hình Học Phí'!$B$5</f>
        <v/>
      </c>
      <c r="K349" s="46" t="n">
        <v>0</v>
      </c>
      <c r="L349" s="46">
        <f>H349+J349-K349</f>
        <v/>
      </c>
      <c r="M349" s="46" t="n">
        <v>2420000</v>
      </c>
      <c r="N349" s="46" t="n">
        <v>0</v>
      </c>
      <c r="O349" s="46">
        <f>MAX(0,M349-N349-L349)</f>
        <v/>
      </c>
      <c r="P349" s="46">
        <f>MAX(0,L349-(M349-N349))</f>
        <v/>
      </c>
      <c r="Q349" s="45" t="inlineStr">
        <is>
          <t>30/09/2026</t>
        </is>
      </c>
      <c r="R349" s="45" t="inlineStr">
        <is>
          <t>PT2026-00346</t>
        </is>
      </c>
      <c r="S349" s="45" t="inlineStr">
        <is>
          <t>Chưa nộp phí phụ đạo 1 môn</t>
        </is>
      </c>
    </row>
    <row r="350">
      <c r="A350" s="45" t="inlineStr">
        <is>
          <t>251210862</t>
        </is>
      </c>
      <c r="B350" s="45" t="inlineStr">
        <is>
          <t>NGUYỄN MINH HIẾU</t>
        </is>
      </c>
      <c r="C350" s="45" t="inlineStr">
        <is>
          <t>Công nghệ thông tin 2 K66</t>
        </is>
      </c>
      <c r="D350" s="45" t="inlineStr">
        <is>
          <t>Năm 3</t>
        </is>
      </c>
      <c r="E350" s="45" t="inlineStr">
        <is>
          <t>2027_2028</t>
        </is>
      </c>
      <c r="F350" s="45" t="n">
        <v>4</v>
      </c>
      <c r="G350" s="46">
        <f>VLOOKUP(D350,'Cấu Hình Học Phí'!$A$8:$B$11,2,FALSE)</f>
        <v/>
      </c>
      <c r="H350" s="46">
        <f>F350*G350</f>
        <v/>
      </c>
      <c r="I350" s="45" t="n">
        <v>0</v>
      </c>
      <c r="J350" s="46">
        <f>I350*'Cấu Hình Học Phí'!$B$5</f>
        <v/>
      </c>
      <c r="K350" s="46" t="n">
        <v>0</v>
      </c>
      <c r="L350" s="46">
        <f>H350+J350-K350</f>
        <v/>
      </c>
      <c r="M350" s="46" t="n">
        <v>2662000</v>
      </c>
      <c r="N350" s="46" t="n">
        <v>0</v>
      </c>
      <c r="O350" s="46">
        <f>MAX(0,M350-N350-L350)</f>
        <v/>
      </c>
      <c r="P350" s="46">
        <f>MAX(0,L350-(M350-N350))</f>
        <v/>
      </c>
      <c r="Q350" s="45" t="inlineStr">
        <is>
          <t>30/09/2027</t>
        </is>
      </c>
      <c r="R350" s="45" t="inlineStr">
        <is>
          <t>PT2027-00347</t>
        </is>
      </c>
      <c r="S350" s="45" t="inlineStr"/>
    </row>
    <row r="351">
      <c r="A351" s="45" t="inlineStr">
        <is>
          <t>251210862</t>
        </is>
      </c>
      <c r="B351" s="45" t="inlineStr">
        <is>
          <t>NGUYỄN MINH HIẾU</t>
        </is>
      </c>
      <c r="C351" s="45" t="inlineStr">
        <is>
          <t>Công nghệ thông tin 2 K66</t>
        </is>
      </c>
      <c r="D351" s="45" t="inlineStr">
        <is>
          <t>Năm 4</t>
        </is>
      </c>
      <c r="E351" s="45" t="inlineStr">
        <is>
          <t>2028_2029</t>
        </is>
      </c>
      <c r="F351" s="45" t="n">
        <v>1</v>
      </c>
      <c r="G351" s="46">
        <f>VLOOKUP(D351,'Cấu Hình Học Phí'!$A$8:$B$11,2,FALSE)</f>
        <v/>
      </c>
      <c r="H351" s="46">
        <f>F351*G351</f>
        <v/>
      </c>
      <c r="I351" s="45" t="n">
        <v>0</v>
      </c>
      <c r="J351" s="46">
        <f>I351*'Cấu Hình Học Phí'!$B$5</f>
        <v/>
      </c>
      <c r="K351" s="46" t="n">
        <v>0</v>
      </c>
      <c r="L351" s="46">
        <f>H351+J351-K351</f>
        <v/>
      </c>
      <c r="M351" s="46" t="n">
        <v>732050</v>
      </c>
      <c r="N351" s="46" t="n">
        <v>0</v>
      </c>
      <c r="O351" s="46">
        <f>MAX(0,M351-N351-L351)</f>
        <v/>
      </c>
      <c r="P351" s="46">
        <f>MAX(0,L351-(M351-N351))</f>
        <v/>
      </c>
      <c r="Q351" s="45" t="inlineStr">
        <is>
          <t>30/09/2028</t>
        </is>
      </c>
      <c r="R351" s="45" t="inlineStr">
        <is>
          <t>PT2028-00348</t>
        </is>
      </c>
      <c r="S351" s="45" t="inlineStr"/>
    </row>
    <row r="352">
      <c r="A352" s="45" t="inlineStr">
        <is>
          <t>251230864</t>
        </is>
      </c>
      <c r="B352" s="45" t="inlineStr">
        <is>
          <t>ĐÀO VIỆT HOÀNG</t>
        </is>
      </c>
      <c r="C352" s="45" t="inlineStr">
        <is>
          <t>Công nghệ thông tin 2 K66</t>
        </is>
      </c>
      <c r="D352" s="45" t="inlineStr">
        <is>
          <t>Năm 1</t>
        </is>
      </c>
      <c r="E352" s="45" t="inlineStr">
        <is>
          <t>2025_2026</t>
        </is>
      </c>
      <c r="F352" s="45" t="n">
        <v>4</v>
      </c>
      <c r="G352" s="46">
        <f>VLOOKUP(D352,'Cấu Hình Học Phí'!$A$8:$B$11,2,FALSE)</f>
        <v/>
      </c>
      <c r="H352" s="46">
        <f>F352*G352</f>
        <v/>
      </c>
      <c r="I352" s="45" t="n">
        <v>0</v>
      </c>
      <c r="J352" s="46">
        <f>I352*'Cấu Hình Học Phí'!$B$5</f>
        <v/>
      </c>
      <c r="K352" s="46" t="n">
        <v>0</v>
      </c>
      <c r="L352" s="46">
        <f>H352+J352-K352</f>
        <v/>
      </c>
      <c r="M352" s="46" t="n">
        <v>2200000</v>
      </c>
      <c r="N352" s="46" t="n">
        <v>0</v>
      </c>
      <c r="O352" s="46">
        <f>MAX(0,M352-N352-L352)</f>
        <v/>
      </c>
      <c r="P352" s="46">
        <f>MAX(0,L352-(M352-N352))</f>
        <v/>
      </c>
      <c r="Q352" s="45" t="inlineStr">
        <is>
          <t>30/09/2025</t>
        </is>
      </c>
      <c r="R352" s="45" t="inlineStr">
        <is>
          <t>PT2025-00349</t>
        </is>
      </c>
      <c r="S352" s="45" t="inlineStr"/>
    </row>
    <row r="353">
      <c r="A353" s="45" t="inlineStr">
        <is>
          <t>251230864</t>
        </is>
      </c>
      <c r="B353" s="45" t="inlineStr">
        <is>
          <t>ĐÀO VIỆT HOÀNG</t>
        </is>
      </c>
      <c r="C353" s="45" t="inlineStr">
        <is>
          <t>Công nghệ thông tin 2 K66</t>
        </is>
      </c>
      <c r="D353" s="45" t="inlineStr">
        <is>
          <t>Năm 2</t>
        </is>
      </c>
      <c r="E353" s="45" t="inlineStr">
        <is>
          <t>2026_2027</t>
        </is>
      </c>
      <c r="F353" s="45" t="n">
        <v>4</v>
      </c>
      <c r="G353" s="46">
        <f>VLOOKUP(D353,'Cấu Hình Học Phí'!$A$8:$B$11,2,FALSE)</f>
        <v/>
      </c>
      <c r="H353" s="46">
        <f>F353*G353</f>
        <v/>
      </c>
      <c r="I353" s="45" t="n">
        <v>0</v>
      </c>
      <c r="J353" s="46">
        <f>I353*'Cấu Hình Học Phí'!$B$5</f>
        <v/>
      </c>
      <c r="K353" s="46" t="n">
        <v>0</v>
      </c>
      <c r="L353" s="46">
        <f>H353+J353-K353</f>
        <v/>
      </c>
      <c r="M353" s="46" t="n">
        <v>2420000</v>
      </c>
      <c r="N353" s="46" t="n">
        <v>0</v>
      </c>
      <c r="O353" s="46">
        <f>MAX(0,M353-N353-L353)</f>
        <v/>
      </c>
      <c r="P353" s="46">
        <f>MAX(0,L353-(M353-N353))</f>
        <v/>
      </c>
      <c r="Q353" s="45" t="inlineStr">
        <is>
          <t>30/09/2026</t>
        </is>
      </c>
      <c r="R353" s="45" t="inlineStr">
        <is>
          <t>PT2026-00350</t>
        </is>
      </c>
      <c r="S353" s="45" t="inlineStr"/>
    </row>
    <row r="354">
      <c r="A354" s="45" t="inlineStr">
        <is>
          <t>251230864</t>
        </is>
      </c>
      <c r="B354" s="45" t="inlineStr">
        <is>
          <t>ĐÀO VIỆT HOÀNG</t>
        </is>
      </c>
      <c r="C354" s="45" t="inlineStr">
        <is>
          <t>Công nghệ thông tin 2 K66</t>
        </is>
      </c>
      <c r="D354" s="45" t="inlineStr">
        <is>
          <t>Năm 3</t>
        </is>
      </c>
      <c r="E354" s="45" t="inlineStr">
        <is>
          <t>2027_2028</t>
        </is>
      </c>
      <c r="F354" s="45" t="n">
        <v>4</v>
      </c>
      <c r="G354" s="46">
        <f>VLOOKUP(D354,'Cấu Hình Học Phí'!$A$8:$B$11,2,FALSE)</f>
        <v/>
      </c>
      <c r="H354" s="46">
        <f>F354*G354</f>
        <v/>
      </c>
      <c r="I354" s="45" t="n">
        <v>1</v>
      </c>
      <c r="J354" s="46">
        <f>I354*'Cấu Hình Học Phí'!$B$5</f>
        <v/>
      </c>
      <c r="K354" s="46" t="n">
        <v>0</v>
      </c>
      <c r="L354" s="46">
        <f>H354+J354-K354</f>
        <v/>
      </c>
      <c r="M354" s="46" t="n">
        <v>3662000</v>
      </c>
      <c r="N354" s="46" t="n">
        <v>0</v>
      </c>
      <c r="O354" s="46">
        <f>MAX(0,M354-N354-L354)</f>
        <v/>
      </c>
      <c r="P354" s="46">
        <f>MAX(0,L354-(M354-N354))</f>
        <v/>
      </c>
      <c r="Q354" s="45" t="inlineStr">
        <is>
          <t>30/09/2027</t>
        </is>
      </c>
      <c r="R354" s="45" t="inlineStr">
        <is>
          <t>PT2027-00351</t>
        </is>
      </c>
      <c r="S354" s="45" t="inlineStr"/>
    </row>
    <row r="355">
      <c r="A355" s="45" t="inlineStr">
        <is>
          <t>251230864</t>
        </is>
      </c>
      <c r="B355" s="45" t="inlineStr">
        <is>
          <t>ĐÀO VIỆT HOÀNG</t>
        </is>
      </c>
      <c r="C355" s="45" t="inlineStr">
        <is>
          <t>Công nghệ thông tin 2 K66</t>
        </is>
      </c>
      <c r="D355" s="45" t="inlineStr">
        <is>
          <t>Năm 4</t>
        </is>
      </c>
      <c r="E355" s="45" t="inlineStr">
        <is>
          <t>2028_2029</t>
        </is>
      </c>
      <c r="F355" s="45" t="n">
        <v>1</v>
      </c>
      <c r="G355" s="46">
        <f>VLOOKUP(D355,'Cấu Hình Học Phí'!$A$8:$B$11,2,FALSE)</f>
        <v/>
      </c>
      <c r="H355" s="46">
        <f>F355*G355</f>
        <v/>
      </c>
      <c r="I355" s="45" t="n">
        <v>0</v>
      </c>
      <c r="J355" s="46">
        <f>I355*'Cấu Hình Học Phí'!$B$5</f>
        <v/>
      </c>
      <c r="K355" s="46" t="n">
        <v>0</v>
      </c>
      <c r="L355" s="46">
        <f>H355+J355-K355</f>
        <v/>
      </c>
      <c r="M355" s="46" t="n">
        <v>732050</v>
      </c>
      <c r="N355" s="46" t="n">
        <v>0</v>
      </c>
      <c r="O355" s="46">
        <f>MAX(0,M355-N355-L355)</f>
        <v/>
      </c>
      <c r="P355" s="46">
        <f>MAX(0,L355-(M355-N355))</f>
        <v/>
      </c>
      <c r="Q355" s="45" t="inlineStr">
        <is>
          <t>30/09/2028</t>
        </is>
      </c>
      <c r="R355" s="45" t="inlineStr">
        <is>
          <t>PT2028-00352</t>
        </is>
      </c>
      <c r="S355" s="45" t="inlineStr"/>
    </row>
    <row r="356">
      <c r="A356" s="45" t="inlineStr">
        <is>
          <t>251230868</t>
        </is>
      </c>
      <c r="B356" s="45" t="inlineStr">
        <is>
          <t>NGÔ XUÂN HUÂN</t>
        </is>
      </c>
      <c r="C356" s="45" t="inlineStr">
        <is>
          <t>Công nghệ thông tin 2 K66</t>
        </is>
      </c>
      <c r="D356" s="45" t="inlineStr">
        <is>
          <t>Năm 1</t>
        </is>
      </c>
      <c r="E356" s="45" t="inlineStr">
        <is>
          <t>2025_2026</t>
        </is>
      </c>
      <c r="F356" s="45" t="n">
        <v>4</v>
      </c>
      <c r="G356" s="46">
        <f>VLOOKUP(D356,'Cấu Hình Học Phí'!$A$8:$B$11,2,FALSE)</f>
        <v/>
      </c>
      <c r="H356" s="46">
        <f>F356*G356</f>
        <v/>
      </c>
      <c r="I356" s="45" t="n">
        <v>1</v>
      </c>
      <c r="J356" s="46">
        <f>I356*'Cấu Hình Học Phí'!$B$5</f>
        <v/>
      </c>
      <c r="K356" s="46" t="n">
        <v>0</v>
      </c>
      <c r="L356" s="46">
        <f>H356+J356-K356</f>
        <v/>
      </c>
      <c r="M356" s="46" t="n">
        <v>2200000</v>
      </c>
      <c r="N356" s="46" t="n">
        <v>0</v>
      </c>
      <c r="O356" s="46">
        <f>MAX(0,M356-N356-L356)</f>
        <v/>
      </c>
      <c r="P356" s="46">
        <f>MAX(0,L356-(M356-N356))</f>
        <v/>
      </c>
      <c r="Q356" s="45" t="inlineStr">
        <is>
          <t>30/09/2025</t>
        </is>
      </c>
      <c r="R356" s="45" t="inlineStr">
        <is>
          <t>PT2025-00353</t>
        </is>
      </c>
      <c r="S356" s="45" t="inlineStr">
        <is>
          <t>Chưa nộp phí phụ đạo 1 môn</t>
        </is>
      </c>
    </row>
    <row r="357">
      <c r="A357" s="45" t="inlineStr">
        <is>
          <t>251230868</t>
        </is>
      </c>
      <c r="B357" s="45" t="inlineStr">
        <is>
          <t>NGÔ XUÂN HUÂN</t>
        </is>
      </c>
      <c r="C357" s="45" t="inlineStr">
        <is>
          <t>Công nghệ thông tin 2 K66</t>
        </is>
      </c>
      <c r="D357" s="45" t="inlineStr">
        <is>
          <t>Năm 2</t>
        </is>
      </c>
      <c r="E357" s="45" t="inlineStr">
        <is>
          <t>2026_2027</t>
        </is>
      </c>
      <c r="F357" s="45" t="n">
        <v>4</v>
      </c>
      <c r="G357" s="46">
        <f>VLOOKUP(D357,'Cấu Hình Học Phí'!$A$8:$B$11,2,FALSE)</f>
        <v/>
      </c>
      <c r="H357" s="46">
        <f>F357*G357</f>
        <v/>
      </c>
      <c r="I357" s="45" t="n">
        <v>0</v>
      </c>
      <c r="J357" s="46">
        <f>I357*'Cấu Hình Học Phí'!$B$5</f>
        <v/>
      </c>
      <c r="K357" s="46" t="n">
        <v>0</v>
      </c>
      <c r="L357" s="46">
        <f>H357+J357-K357</f>
        <v/>
      </c>
      <c r="M357" s="46" t="n">
        <v>2420000</v>
      </c>
      <c r="N357" s="46" t="n">
        <v>0</v>
      </c>
      <c r="O357" s="46">
        <f>MAX(0,M357-N357-L357)</f>
        <v/>
      </c>
      <c r="P357" s="46">
        <f>MAX(0,L357-(M357-N357))</f>
        <v/>
      </c>
      <c r="Q357" s="45" t="inlineStr">
        <is>
          <t>30/09/2026</t>
        </is>
      </c>
      <c r="R357" s="45" t="inlineStr">
        <is>
          <t>PT2026-00354</t>
        </is>
      </c>
      <c r="S357" s="45" t="inlineStr"/>
    </row>
    <row r="358">
      <c r="A358" s="45" t="inlineStr">
        <is>
          <t>251230868</t>
        </is>
      </c>
      <c r="B358" s="45" t="inlineStr">
        <is>
          <t>NGÔ XUÂN HUÂN</t>
        </is>
      </c>
      <c r="C358" s="45" t="inlineStr">
        <is>
          <t>Công nghệ thông tin 2 K66</t>
        </is>
      </c>
      <c r="D358" s="45" t="inlineStr">
        <is>
          <t>Năm 3</t>
        </is>
      </c>
      <c r="E358" s="45" t="inlineStr">
        <is>
          <t>2027_2028</t>
        </is>
      </c>
      <c r="F358" s="45" t="n">
        <v>4</v>
      </c>
      <c r="G358" s="46">
        <f>VLOOKUP(D358,'Cấu Hình Học Phí'!$A$8:$B$11,2,FALSE)</f>
        <v/>
      </c>
      <c r="H358" s="46">
        <f>F358*G358</f>
        <v/>
      </c>
      <c r="I358" s="45" t="n">
        <v>0</v>
      </c>
      <c r="J358" s="46">
        <f>I358*'Cấu Hình Học Phí'!$B$5</f>
        <v/>
      </c>
      <c r="K358" s="46" t="n">
        <v>0</v>
      </c>
      <c r="L358" s="46">
        <f>H358+J358-K358</f>
        <v/>
      </c>
      <c r="M358" s="46" t="n">
        <v>2662000</v>
      </c>
      <c r="N358" s="46" t="n">
        <v>0</v>
      </c>
      <c r="O358" s="46">
        <f>MAX(0,M358-N358-L358)</f>
        <v/>
      </c>
      <c r="P358" s="46">
        <f>MAX(0,L358-(M358-N358))</f>
        <v/>
      </c>
      <c r="Q358" s="45" t="inlineStr">
        <is>
          <t>30/09/2027</t>
        </is>
      </c>
      <c r="R358" s="45" t="inlineStr">
        <is>
          <t>PT2027-00355</t>
        </is>
      </c>
      <c r="S358" s="45" t="inlineStr"/>
    </row>
    <row r="359">
      <c r="A359" s="45" t="inlineStr">
        <is>
          <t>251230868</t>
        </is>
      </c>
      <c r="B359" s="45" t="inlineStr">
        <is>
          <t>NGÔ XUÂN HUÂN</t>
        </is>
      </c>
      <c r="C359" s="45" t="inlineStr">
        <is>
          <t>Công nghệ thông tin 2 K66</t>
        </is>
      </c>
      <c r="D359" s="45" t="inlineStr">
        <is>
          <t>Năm 4</t>
        </is>
      </c>
      <c r="E359" s="45" t="inlineStr">
        <is>
          <t>2028_2029</t>
        </is>
      </c>
      <c r="F359" s="45" t="n">
        <v>1</v>
      </c>
      <c r="G359" s="46">
        <f>VLOOKUP(D359,'Cấu Hình Học Phí'!$A$8:$B$11,2,FALSE)</f>
        <v/>
      </c>
      <c r="H359" s="46">
        <f>F359*G359</f>
        <v/>
      </c>
      <c r="I359" s="45" t="n">
        <v>0</v>
      </c>
      <c r="J359" s="46">
        <f>I359*'Cấu Hình Học Phí'!$B$5</f>
        <v/>
      </c>
      <c r="K359" s="46" t="n">
        <v>0</v>
      </c>
      <c r="L359" s="46">
        <f>H359+J359-K359</f>
        <v/>
      </c>
      <c r="M359" s="46" t="n">
        <v>732050</v>
      </c>
      <c r="N359" s="46" t="n">
        <v>0</v>
      </c>
      <c r="O359" s="46">
        <f>MAX(0,M359-N359-L359)</f>
        <v/>
      </c>
      <c r="P359" s="46">
        <f>MAX(0,L359-(M359-N359))</f>
        <v/>
      </c>
      <c r="Q359" s="45" t="inlineStr">
        <is>
          <t>30/09/2028</t>
        </is>
      </c>
      <c r="R359" s="45" t="inlineStr">
        <is>
          <t>PT2028-00356</t>
        </is>
      </c>
      <c r="S359" s="45" t="inlineStr"/>
    </row>
    <row r="360">
      <c r="A360" s="45" t="inlineStr">
        <is>
          <t>251230869</t>
        </is>
      </c>
      <c r="B360" s="45" t="inlineStr">
        <is>
          <t>TRẦN ĐỨC HUÂN</t>
        </is>
      </c>
      <c r="C360" s="45" t="inlineStr">
        <is>
          <t>Công nghệ thông tin 2 K66</t>
        </is>
      </c>
      <c r="D360" s="45" t="inlineStr">
        <is>
          <t>Năm 1</t>
        </is>
      </c>
      <c r="E360" s="45" t="inlineStr">
        <is>
          <t>2025_2026</t>
        </is>
      </c>
      <c r="F360" s="45" t="n">
        <v>4</v>
      </c>
      <c r="G360" s="46">
        <f>VLOOKUP(D360,'Cấu Hình Học Phí'!$A$8:$B$11,2,FALSE)</f>
        <v/>
      </c>
      <c r="H360" s="46">
        <f>F360*G360</f>
        <v/>
      </c>
      <c r="I360" s="45" t="n">
        <v>1</v>
      </c>
      <c r="J360" s="46">
        <f>I360*'Cấu Hình Học Phí'!$B$5</f>
        <v/>
      </c>
      <c r="K360" s="46" t="n">
        <v>0</v>
      </c>
      <c r="L360" s="46">
        <f>H360+J360-K360</f>
        <v/>
      </c>
      <c r="M360" s="46" t="n">
        <v>2200000</v>
      </c>
      <c r="N360" s="46" t="n">
        <v>0</v>
      </c>
      <c r="O360" s="46">
        <f>MAX(0,M360-N360-L360)</f>
        <v/>
      </c>
      <c r="P360" s="46">
        <f>MAX(0,L360-(M360-N360))</f>
        <v/>
      </c>
      <c r="Q360" s="45" t="inlineStr">
        <is>
          <t>30/09/2025</t>
        </is>
      </c>
      <c r="R360" s="45" t="inlineStr">
        <is>
          <t>PT2025-00357</t>
        </is>
      </c>
      <c r="S360" s="45" t="inlineStr">
        <is>
          <t>Chưa nộp phí phụ đạo 1 môn</t>
        </is>
      </c>
    </row>
    <row r="361">
      <c r="A361" s="45" t="inlineStr">
        <is>
          <t>251230869</t>
        </is>
      </c>
      <c r="B361" s="45" t="inlineStr">
        <is>
          <t>TRẦN ĐỨC HUÂN</t>
        </is>
      </c>
      <c r="C361" s="45" t="inlineStr">
        <is>
          <t>Công nghệ thông tin 2 K66</t>
        </is>
      </c>
      <c r="D361" s="45" t="inlineStr">
        <is>
          <t>Năm 2</t>
        </is>
      </c>
      <c r="E361" s="45" t="inlineStr">
        <is>
          <t>2026_2027</t>
        </is>
      </c>
      <c r="F361" s="45" t="n">
        <v>4</v>
      </c>
      <c r="G361" s="46">
        <f>VLOOKUP(D361,'Cấu Hình Học Phí'!$A$8:$B$11,2,FALSE)</f>
        <v/>
      </c>
      <c r="H361" s="46">
        <f>F361*G361</f>
        <v/>
      </c>
      <c r="I361" s="45" t="n">
        <v>0</v>
      </c>
      <c r="J361" s="46">
        <f>I361*'Cấu Hình Học Phí'!$B$5</f>
        <v/>
      </c>
      <c r="K361" s="46" t="n">
        <v>0</v>
      </c>
      <c r="L361" s="46">
        <f>H361+J361-K361</f>
        <v/>
      </c>
      <c r="M361" s="46" t="n">
        <v>2420000</v>
      </c>
      <c r="N361" s="46" t="n">
        <v>0</v>
      </c>
      <c r="O361" s="46">
        <f>MAX(0,M361-N361-L361)</f>
        <v/>
      </c>
      <c r="P361" s="46">
        <f>MAX(0,L361-(M361-N361))</f>
        <v/>
      </c>
      <c r="Q361" s="45" t="inlineStr">
        <is>
          <t>30/09/2026</t>
        </is>
      </c>
      <c r="R361" s="45" t="inlineStr">
        <is>
          <t>PT2026-00358</t>
        </is>
      </c>
      <c r="S361" s="45" t="inlineStr"/>
    </row>
    <row r="362">
      <c r="A362" s="45" t="inlineStr">
        <is>
          <t>251230869</t>
        </is>
      </c>
      <c r="B362" s="45" t="inlineStr">
        <is>
          <t>TRẦN ĐỨC HUÂN</t>
        </is>
      </c>
      <c r="C362" s="45" t="inlineStr">
        <is>
          <t>Công nghệ thông tin 2 K66</t>
        </is>
      </c>
      <c r="D362" s="45" t="inlineStr">
        <is>
          <t>Năm 3</t>
        </is>
      </c>
      <c r="E362" s="45" t="inlineStr">
        <is>
          <t>2027_2028</t>
        </is>
      </c>
      <c r="F362" s="45" t="n">
        <v>4</v>
      </c>
      <c r="G362" s="46">
        <f>VLOOKUP(D362,'Cấu Hình Học Phí'!$A$8:$B$11,2,FALSE)</f>
        <v/>
      </c>
      <c r="H362" s="46">
        <f>F362*G362</f>
        <v/>
      </c>
      <c r="I362" s="45" t="n">
        <v>0</v>
      </c>
      <c r="J362" s="46">
        <f>I362*'Cấu Hình Học Phí'!$B$5</f>
        <v/>
      </c>
      <c r="K362" s="46" t="n">
        <v>0</v>
      </c>
      <c r="L362" s="46">
        <f>H362+J362-K362</f>
        <v/>
      </c>
      <c r="M362" s="46" t="n">
        <v>2662000</v>
      </c>
      <c r="N362" s="46" t="n">
        <v>0</v>
      </c>
      <c r="O362" s="46">
        <f>MAX(0,M362-N362-L362)</f>
        <v/>
      </c>
      <c r="P362" s="46">
        <f>MAX(0,L362-(M362-N362))</f>
        <v/>
      </c>
      <c r="Q362" s="45" t="inlineStr">
        <is>
          <t>30/09/2027</t>
        </is>
      </c>
      <c r="R362" s="45" t="inlineStr">
        <is>
          <t>PT2027-00359</t>
        </is>
      </c>
      <c r="S362" s="45" t="inlineStr"/>
    </row>
    <row r="363">
      <c r="A363" s="45" t="inlineStr">
        <is>
          <t>251230869</t>
        </is>
      </c>
      <c r="B363" s="45" t="inlineStr">
        <is>
          <t>TRẦN ĐỨC HUÂN</t>
        </is>
      </c>
      <c r="C363" s="45" t="inlineStr">
        <is>
          <t>Công nghệ thông tin 2 K66</t>
        </is>
      </c>
      <c r="D363" s="45" t="inlineStr">
        <is>
          <t>Năm 4</t>
        </is>
      </c>
      <c r="E363" s="45" t="inlineStr">
        <is>
          <t>2028_2029</t>
        </is>
      </c>
      <c r="F363" s="45" t="n">
        <v>1</v>
      </c>
      <c r="G363" s="46">
        <f>VLOOKUP(D363,'Cấu Hình Học Phí'!$A$8:$B$11,2,FALSE)</f>
        <v/>
      </c>
      <c r="H363" s="46">
        <f>F363*G363</f>
        <v/>
      </c>
      <c r="I363" s="45" t="n">
        <v>0</v>
      </c>
      <c r="J363" s="46">
        <f>I363*'Cấu Hình Học Phí'!$B$5</f>
        <v/>
      </c>
      <c r="K363" s="46" t="n">
        <v>0</v>
      </c>
      <c r="L363" s="46">
        <f>H363+J363-K363</f>
        <v/>
      </c>
      <c r="M363" s="46" t="n">
        <v>732050</v>
      </c>
      <c r="N363" s="46" t="n">
        <v>0</v>
      </c>
      <c r="O363" s="46">
        <f>MAX(0,M363-N363-L363)</f>
        <v/>
      </c>
      <c r="P363" s="46">
        <f>MAX(0,L363-(M363-N363))</f>
        <v/>
      </c>
      <c r="Q363" s="45" t="inlineStr">
        <is>
          <t>30/09/2028</t>
        </is>
      </c>
      <c r="R363" s="45" t="inlineStr">
        <is>
          <t>PT2028-00360</t>
        </is>
      </c>
      <c r="S363" s="45" t="inlineStr"/>
    </row>
    <row r="364">
      <c r="A364" s="45" t="inlineStr">
        <is>
          <t>251210875</t>
        </is>
      </c>
      <c r="B364" s="45" t="inlineStr">
        <is>
          <t>HOÀNG TRỌNG HƯNG</t>
        </is>
      </c>
      <c r="C364" s="45" t="inlineStr">
        <is>
          <t>Công nghệ thông tin 2 K66</t>
        </is>
      </c>
      <c r="D364" s="45" t="inlineStr">
        <is>
          <t>Năm 1</t>
        </is>
      </c>
      <c r="E364" s="45" t="inlineStr">
        <is>
          <t>2025_2026</t>
        </is>
      </c>
      <c r="F364" s="45" t="n">
        <v>4</v>
      </c>
      <c r="G364" s="46">
        <f>VLOOKUP(D364,'Cấu Hình Học Phí'!$A$8:$B$11,2,FALSE)</f>
        <v/>
      </c>
      <c r="H364" s="46">
        <f>F364*G364</f>
        <v/>
      </c>
      <c r="I364" s="45" t="n">
        <v>0</v>
      </c>
      <c r="J364" s="46">
        <f>I364*'Cấu Hình Học Phí'!$B$5</f>
        <v/>
      </c>
      <c r="K364" s="46" t="n">
        <v>0</v>
      </c>
      <c r="L364" s="46">
        <f>H364+J364-K364</f>
        <v/>
      </c>
      <c r="M364" s="46" t="n">
        <v>2200000</v>
      </c>
      <c r="N364" s="46" t="n">
        <v>0</v>
      </c>
      <c r="O364" s="46">
        <f>MAX(0,M364-N364-L364)</f>
        <v/>
      </c>
      <c r="P364" s="46">
        <f>MAX(0,L364-(M364-N364))</f>
        <v/>
      </c>
      <c r="Q364" s="45" t="inlineStr">
        <is>
          <t>30/09/2025</t>
        </is>
      </c>
      <c r="R364" s="45" t="inlineStr">
        <is>
          <t>PT2025-00361</t>
        </is>
      </c>
      <c r="S364" s="45" t="inlineStr"/>
    </row>
    <row r="365">
      <c r="A365" s="45" t="inlineStr">
        <is>
          <t>251210875</t>
        </is>
      </c>
      <c r="B365" s="45" t="inlineStr">
        <is>
          <t>HOÀNG TRỌNG HƯNG</t>
        </is>
      </c>
      <c r="C365" s="45" t="inlineStr">
        <is>
          <t>Công nghệ thông tin 2 K66</t>
        </is>
      </c>
      <c r="D365" s="45" t="inlineStr">
        <is>
          <t>Năm 2</t>
        </is>
      </c>
      <c r="E365" s="45" t="inlineStr">
        <is>
          <t>2026_2027</t>
        </is>
      </c>
      <c r="F365" s="45" t="n">
        <v>4</v>
      </c>
      <c r="G365" s="46">
        <f>VLOOKUP(D365,'Cấu Hình Học Phí'!$A$8:$B$11,2,FALSE)</f>
        <v/>
      </c>
      <c r="H365" s="46">
        <f>F365*G365</f>
        <v/>
      </c>
      <c r="I365" s="45" t="n">
        <v>0</v>
      </c>
      <c r="J365" s="46">
        <f>I365*'Cấu Hình Học Phí'!$B$5</f>
        <v/>
      </c>
      <c r="K365" s="46" t="n">
        <v>0</v>
      </c>
      <c r="L365" s="46">
        <f>H365+J365-K365</f>
        <v/>
      </c>
      <c r="M365" s="46" t="n">
        <v>2420000</v>
      </c>
      <c r="N365" s="46" t="n">
        <v>0</v>
      </c>
      <c r="O365" s="46">
        <f>MAX(0,M365-N365-L365)</f>
        <v/>
      </c>
      <c r="P365" s="46">
        <f>MAX(0,L365-(M365-N365))</f>
        <v/>
      </c>
      <c r="Q365" s="45" t="inlineStr">
        <is>
          <t>30/09/2026</t>
        </is>
      </c>
      <c r="R365" s="45" t="inlineStr">
        <is>
          <t>PT2026-00362</t>
        </is>
      </c>
      <c r="S365" s="45" t="inlineStr"/>
    </row>
    <row r="366">
      <c r="A366" s="45" t="inlineStr">
        <is>
          <t>251210875</t>
        </is>
      </c>
      <c r="B366" s="45" t="inlineStr">
        <is>
          <t>HOÀNG TRỌNG HƯNG</t>
        </is>
      </c>
      <c r="C366" s="45" t="inlineStr">
        <is>
          <t>Công nghệ thông tin 2 K66</t>
        </is>
      </c>
      <c r="D366" s="45" t="inlineStr">
        <is>
          <t>Năm 3</t>
        </is>
      </c>
      <c r="E366" s="45" t="inlineStr">
        <is>
          <t>2027_2028</t>
        </is>
      </c>
      <c r="F366" s="45" t="n">
        <v>4</v>
      </c>
      <c r="G366" s="46">
        <f>VLOOKUP(D366,'Cấu Hình Học Phí'!$A$8:$B$11,2,FALSE)</f>
        <v/>
      </c>
      <c r="H366" s="46">
        <f>F366*G366</f>
        <v/>
      </c>
      <c r="I366" s="45" t="n">
        <v>0</v>
      </c>
      <c r="J366" s="46">
        <f>I366*'Cấu Hình Học Phí'!$B$5</f>
        <v/>
      </c>
      <c r="K366" s="46" t="n">
        <v>0</v>
      </c>
      <c r="L366" s="46">
        <f>H366+J366-K366</f>
        <v/>
      </c>
      <c r="M366" s="46" t="n">
        <v>2662000</v>
      </c>
      <c r="N366" s="46" t="n">
        <v>0</v>
      </c>
      <c r="O366" s="46">
        <f>MAX(0,M366-N366-L366)</f>
        <v/>
      </c>
      <c r="P366" s="46">
        <f>MAX(0,L366-(M366-N366))</f>
        <v/>
      </c>
      <c r="Q366" s="45" t="inlineStr">
        <is>
          <t>30/09/2027</t>
        </is>
      </c>
      <c r="R366" s="45" t="inlineStr">
        <is>
          <t>PT2027-00363</t>
        </is>
      </c>
      <c r="S366" s="45" t="inlineStr"/>
    </row>
    <row r="367">
      <c r="A367" s="45" t="inlineStr">
        <is>
          <t>251210875</t>
        </is>
      </c>
      <c r="B367" s="45" t="inlineStr">
        <is>
          <t>HOÀNG TRỌNG HƯNG</t>
        </is>
      </c>
      <c r="C367" s="45" t="inlineStr">
        <is>
          <t>Công nghệ thông tin 2 K66</t>
        </is>
      </c>
      <c r="D367" s="45" t="inlineStr">
        <is>
          <t>Năm 4</t>
        </is>
      </c>
      <c r="E367" s="45" t="inlineStr">
        <is>
          <t>2028_2029</t>
        </is>
      </c>
      <c r="F367" s="45" t="n">
        <v>1</v>
      </c>
      <c r="G367" s="46">
        <f>VLOOKUP(D367,'Cấu Hình Học Phí'!$A$8:$B$11,2,FALSE)</f>
        <v/>
      </c>
      <c r="H367" s="46">
        <f>F367*G367</f>
        <v/>
      </c>
      <c r="I367" s="45" t="n">
        <v>0</v>
      </c>
      <c r="J367" s="46">
        <f>I367*'Cấu Hình Học Phí'!$B$5</f>
        <v/>
      </c>
      <c r="K367" s="46" t="n">
        <v>0</v>
      </c>
      <c r="L367" s="46">
        <f>H367+J367-K367</f>
        <v/>
      </c>
      <c r="M367" s="46" t="n">
        <v>732050</v>
      </c>
      <c r="N367" s="46" t="n">
        <v>0</v>
      </c>
      <c r="O367" s="46">
        <f>MAX(0,M367-N367-L367)</f>
        <v/>
      </c>
      <c r="P367" s="46">
        <f>MAX(0,L367-(M367-N367))</f>
        <v/>
      </c>
      <c r="Q367" s="45" t="inlineStr">
        <is>
          <t>30/09/2028</t>
        </is>
      </c>
      <c r="R367" s="45" t="inlineStr">
        <is>
          <t>PT2028-00364</t>
        </is>
      </c>
      <c r="S367" s="45" t="inlineStr"/>
    </row>
    <row r="368">
      <c r="A368" s="45" t="inlineStr">
        <is>
          <t>251230877</t>
        </is>
      </c>
      <c r="B368" s="45" t="inlineStr">
        <is>
          <t>NGUYỄN DUY HƯNG</t>
        </is>
      </c>
      <c r="C368" s="45" t="inlineStr">
        <is>
          <t>Công nghệ thông tin 2 K66</t>
        </is>
      </c>
      <c r="D368" s="45" t="inlineStr">
        <is>
          <t>Năm 1</t>
        </is>
      </c>
      <c r="E368" s="45" t="inlineStr">
        <is>
          <t>2025_2026</t>
        </is>
      </c>
      <c r="F368" s="45" t="n">
        <v>4</v>
      </c>
      <c r="G368" s="46">
        <f>VLOOKUP(D368,'Cấu Hình Học Phí'!$A$8:$B$11,2,FALSE)</f>
        <v/>
      </c>
      <c r="H368" s="46">
        <f>F368*G368</f>
        <v/>
      </c>
      <c r="I368" s="45" t="n">
        <v>1</v>
      </c>
      <c r="J368" s="46">
        <f>I368*'Cấu Hình Học Phí'!$B$5</f>
        <v/>
      </c>
      <c r="K368" s="46" t="n">
        <v>0</v>
      </c>
      <c r="L368" s="46">
        <f>H368+J368-K368</f>
        <v/>
      </c>
      <c r="M368" s="46" t="n">
        <v>3200000</v>
      </c>
      <c r="N368" s="46" t="n">
        <v>0</v>
      </c>
      <c r="O368" s="46">
        <f>MAX(0,M368-N368-L368)</f>
        <v/>
      </c>
      <c r="P368" s="46">
        <f>MAX(0,L368-(M368-N368))</f>
        <v/>
      </c>
      <c r="Q368" s="45" t="inlineStr">
        <is>
          <t>30/09/2025</t>
        </is>
      </c>
      <c r="R368" s="45" t="inlineStr">
        <is>
          <t>PT2025-00365</t>
        </is>
      </c>
      <c r="S368" s="45" t="inlineStr"/>
    </row>
    <row r="369">
      <c r="A369" s="45" t="inlineStr">
        <is>
          <t>251230877</t>
        </is>
      </c>
      <c r="B369" s="45" t="inlineStr">
        <is>
          <t>NGUYỄN DUY HƯNG</t>
        </is>
      </c>
      <c r="C369" s="45" t="inlineStr">
        <is>
          <t>Công nghệ thông tin 2 K66</t>
        </is>
      </c>
      <c r="D369" s="45" t="inlineStr">
        <is>
          <t>Năm 2</t>
        </is>
      </c>
      <c r="E369" s="45" t="inlineStr">
        <is>
          <t>2026_2027</t>
        </is>
      </c>
      <c r="F369" s="45" t="n">
        <v>4</v>
      </c>
      <c r="G369" s="46">
        <f>VLOOKUP(D369,'Cấu Hình Học Phí'!$A$8:$B$11,2,FALSE)</f>
        <v/>
      </c>
      <c r="H369" s="46">
        <f>F369*G369</f>
        <v/>
      </c>
      <c r="I369" s="45" t="n">
        <v>0</v>
      </c>
      <c r="J369" s="46">
        <f>I369*'Cấu Hình Học Phí'!$B$5</f>
        <v/>
      </c>
      <c r="K369" s="46" t="n">
        <v>0</v>
      </c>
      <c r="L369" s="46">
        <f>H369+J369-K369</f>
        <v/>
      </c>
      <c r="M369" s="46" t="n">
        <v>2420000</v>
      </c>
      <c r="N369" s="46" t="n">
        <v>0</v>
      </c>
      <c r="O369" s="46">
        <f>MAX(0,M369-N369-L369)</f>
        <v/>
      </c>
      <c r="P369" s="46">
        <f>MAX(0,L369-(M369-N369))</f>
        <v/>
      </c>
      <c r="Q369" s="45" t="inlineStr">
        <is>
          <t>30/09/2026</t>
        </is>
      </c>
      <c r="R369" s="45" t="inlineStr">
        <is>
          <t>PT2026-00366</t>
        </is>
      </c>
      <c r="S369" s="45" t="inlineStr"/>
    </row>
    <row r="370">
      <c r="A370" s="45" t="inlineStr">
        <is>
          <t>251230877</t>
        </is>
      </c>
      <c r="B370" s="45" t="inlineStr">
        <is>
          <t>NGUYỄN DUY HƯNG</t>
        </is>
      </c>
      <c r="C370" s="45" t="inlineStr">
        <is>
          <t>Công nghệ thông tin 2 K66</t>
        </is>
      </c>
      <c r="D370" s="45" t="inlineStr">
        <is>
          <t>Năm 3</t>
        </is>
      </c>
      <c r="E370" s="45" t="inlineStr">
        <is>
          <t>2027_2028</t>
        </is>
      </c>
      <c r="F370" s="45" t="n">
        <v>4</v>
      </c>
      <c r="G370" s="46">
        <f>VLOOKUP(D370,'Cấu Hình Học Phí'!$A$8:$B$11,2,FALSE)</f>
        <v/>
      </c>
      <c r="H370" s="46">
        <f>F370*G370</f>
        <v/>
      </c>
      <c r="I370" s="45" t="n">
        <v>0</v>
      </c>
      <c r="J370" s="46">
        <f>I370*'Cấu Hình Học Phí'!$B$5</f>
        <v/>
      </c>
      <c r="K370" s="46" t="n">
        <v>0</v>
      </c>
      <c r="L370" s="46">
        <f>H370+J370-K370</f>
        <v/>
      </c>
      <c r="M370" s="46" t="n">
        <v>2662000</v>
      </c>
      <c r="N370" s="46" t="n">
        <v>0</v>
      </c>
      <c r="O370" s="46">
        <f>MAX(0,M370-N370-L370)</f>
        <v/>
      </c>
      <c r="P370" s="46">
        <f>MAX(0,L370-(M370-N370))</f>
        <v/>
      </c>
      <c r="Q370" s="45" t="inlineStr">
        <is>
          <t>30/09/2027</t>
        </is>
      </c>
      <c r="R370" s="45" t="inlineStr">
        <is>
          <t>PT2027-00367</t>
        </is>
      </c>
      <c r="S370" s="45" t="inlineStr"/>
    </row>
    <row r="371">
      <c r="A371" s="45" t="inlineStr">
        <is>
          <t>251230877</t>
        </is>
      </c>
      <c r="B371" s="45" t="inlineStr">
        <is>
          <t>NGUYỄN DUY HƯNG</t>
        </is>
      </c>
      <c r="C371" s="45" t="inlineStr">
        <is>
          <t>Công nghệ thông tin 2 K66</t>
        </is>
      </c>
      <c r="D371" s="45" t="inlineStr">
        <is>
          <t>Năm 4</t>
        </is>
      </c>
      <c r="E371" s="45" t="inlineStr">
        <is>
          <t>2028_2029</t>
        </is>
      </c>
      <c r="F371" s="45" t="n">
        <v>1</v>
      </c>
      <c r="G371" s="46">
        <f>VLOOKUP(D371,'Cấu Hình Học Phí'!$A$8:$B$11,2,FALSE)</f>
        <v/>
      </c>
      <c r="H371" s="46">
        <f>F371*G371</f>
        <v/>
      </c>
      <c r="I371" s="45" t="n">
        <v>1</v>
      </c>
      <c r="J371" s="46">
        <f>I371*'Cấu Hình Học Phí'!$B$5</f>
        <v/>
      </c>
      <c r="K371" s="46" t="n">
        <v>0</v>
      </c>
      <c r="L371" s="46">
        <f>H371+J371-K371</f>
        <v/>
      </c>
      <c r="M371" s="46" t="n">
        <v>1732050</v>
      </c>
      <c r="N371" s="46" t="n">
        <v>0</v>
      </c>
      <c r="O371" s="46">
        <f>MAX(0,M371-N371-L371)</f>
        <v/>
      </c>
      <c r="P371" s="46">
        <f>MAX(0,L371-(M371-N371))</f>
        <v/>
      </c>
      <c r="Q371" s="45" t="inlineStr">
        <is>
          <t>30/09/2028</t>
        </is>
      </c>
      <c r="R371" s="45" t="inlineStr">
        <is>
          <t>PT2028-00368</t>
        </is>
      </c>
      <c r="S371" s="45" t="inlineStr"/>
    </row>
    <row r="372">
      <c r="A372" s="45" t="inlineStr">
        <is>
          <t>251230884</t>
        </is>
      </c>
      <c r="B372" s="45" t="inlineStr">
        <is>
          <t>HOÀNG KỲ KHANG</t>
        </is>
      </c>
      <c r="C372" s="45" t="inlineStr">
        <is>
          <t>Công nghệ thông tin 2 K66</t>
        </is>
      </c>
      <c r="D372" s="45" t="inlineStr">
        <is>
          <t>Năm 1</t>
        </is>
      </c>
      <c r="E372" s="45" t="inlineStr">
        <is>
          <t>2025_2026</t>
        </is>
      </c>
      <c r="F372" s="45" t="n">
        <v>4</v>
      </c>
      <c r="G372" s="46">
        <f>VLOOKUP(D372,'Cấu Hình Học Phí'!$A$8:$B$11,2,FALSE)</f>
        <v/>
      </c>
      <c r="H372" s="46">
        <f>F372*G372</f>
        <v/>
      </c>
      <c r="I372" s="45" t="n">
        <v>1</v>
      </c>
      <c r="J372" s="46">
        <f>I372*'Cấu Hình Học Phí'!$B$5</f>
        <v/>
      </c>
      <c r="K372" s="46" t="n">
        <v>0</v>
      </c>
      <c r="L372" s="46">
        <f>H372+J372-K372</f>
        <v/>
      </c>
      <c r="M372" s="46" t="n">
        <v>2200000</v>
      </c>
      <c r="N372" s="46" t="n">
        <v>0</v>
      </c>
      <c r="O372" s="46">
        <f>MAX(0,M372-N372-L372)</f>
        <v/>
      </c>
      <c r="P372" s="46">
        <f>MAX(0,L372-(M372-N372))</f>
        <v/>
      </c>
      <c r="Q372" s="45" t="inlineStr">
        <is>
          <t>30/09/2025</t>
        </is>
      </c>
      <c r="R372" s="45" t="inlineStr">
        <is>
          <t>PT2025-00369</t>
        </is>
      </c>
      <c r="S372" s="45" t="inlineStr">
        <is>
          <t>Chưa nộp phí phụ đạo 1 môn</t>
        </is>
      </c>
    </row>
    <row r="373">
      <c r="A373" s="45" t="inlineStr">
        <is>
          <t>251230884</t>
        </is>
      </c>
      <c r="B373" s="45" t="inlineStr">
        <is>
          <t>HOÀNG KỲ KHANG</t>
        </is>
      </c>
      <c r="C373" s="45" t="inlineStr">
        <is>
          <t>Công nghệ thông tin 2 K66</t>
        </is>
      </c>
      <c r="D373" s="45" t="inlineStr">
        <is>
          <t>Năm 2</t>
        </is>
      </c>
      <c r="E373" s="45" t="inlineStr">
        <is>
          <t>2026_2027</t>
        </is>
      </c>
      <c r="F373" s="45" t="n">
        <v>4</v>
      </c>
      <c r="G373" s="46">
        <f>VLOOKUP(D373,'Cấu Hình Học Phí'!$A$8:$B$11,2,FALSE)</f>
        <v/>
      </c>
      <c r="H373" s="46">
        <f>F373*G373</f>
        <v/>
      </c>
      <c r="I373" s="45" t="n">
        <v>1</v>
      </c>
      <c r="J373" s="46">
        <f>I373*'Cấu Hình Học Phí'!$B$5</f>
        <v/>
      </c>
      <c r="K373" s="46" t="n">
        <v>0</v>
      </c>
      <c r="L373" s="46">
        <f>H373+J373-K373</f>
        <v/>
      </c>
      <c r="M373" s="46" t="n">
        <v>2420000</v>
      </c>
      <c r="N373" s="46" t="n">
        <v>0</v>
      </c>
      <c r="O373" s="46">
        <f>MAX(0,M373-N373-L373)</f>
        <v/>
      </c>
      <c r="P373" s="46">
        <f>MAX(0,L373-(M373-N373))</f>
        <v/>
      </c>
      <c r="Q373" s="45" t="inlineStr">
        <is>
          <t>30/09/2026</t>
        </is>
      </c>
      <c r="R373" s="45" t="inlineStr">
        <is>
          <t>PT2026-00370</t>
        </is>
      </c>
      <c r="S373" s="45" t="inlineStr">
        <is>
          <t>Chưa nộp phí phụ đạo 1 môn</t>
        </is>
      </c>
    </row>
    <row r="374">
      <c r="A374" s="45" t="inlineStr">
        <is>
          <t>251230884</t>
        </is>
      </c>
      <c r="B374" s="45" t="inlineStr">
        <is>
          <t>HOÀNG KỲ KHANG</t>
        </is>
      </c>
      <c r="C374" s="45" t="inlineStr">
        <is>
          <t>Công nghệ thông tin 2 K66</t>
        </is>
      </c>
      <c r="D374" s="45" t="inlineStr">
        <is>
          <t>Năm 3</t>
        </is>
      </c>
      <c r="E374" s="45" t="inlineStr">
        <is>
          <t>2027_2028</t>
        </is>
      </c>
      <c r="F374" s="45" t="n">
        <v>4</v>
      </c>
      <c r="G374" s="46">
        <f>VLOOKUP(D374,'Cấu Hình Học Phí'!$A$8:$B$11,2,FALSE)</f>
        <v/>
      </c>
      <c r="H374" s="46">
        <f>F374*G374</f>
        <v/>
      </c>
      <c r="I374" s="45" t="n">
        <v>0</v>
      </c>
      <c r="J374" s="46">
        <f>I374*'Cấu Hình Học Phí'!$B$5</f>
        <v/>
      </c>
      <c r="K374" s="46" t="n">
        <v>0</v>
      </c>
      <c r="L374" s="46">
        <f>H374+J374-K374</f>
        <v/>
      </c>
      <c r="M374" s="46" t="n">
        <v>2662000</v>
      </c>
      <c r="N374" s="46" t="n">
        <v>0</v>
      </c>
      <c r="O374" s="46">
        <f>MAX(0,M374-N374-L374)</f>
        <v/>
      </c>
      <c r="P374" s="46">
        <f>MAX(0,L374-(M374-N374))</f>
        <v/>
      </c>
      <c r="Q374" s="45" t="inlineStr">
        <is>
          <t>30/09/2027</t>
        </is>
      </c>
      <c r="R374" s="45" t="inlineStr">
        <is>
          <t>PT2027-00371</t>
        </is>
      </c>
      <c r="S374" s="45" t="inlineStr"/>
    </row>
    <row r="375">
      <c r="A375" s="45" t="inlineStr">
        <is>
          <t>251230884</t>
        </is>
      </c>
      <c r="B375" s="45" t="inlineStr">
        <is>
          <t>HOÀNG KỲ KHANG</t>
        </is>
      </c>
      <c r="C375" s="45" t="inlineStr">
        <is>
          <t>Công nghệ thông tin 2 K66</t>
        </is>
      </c>
      <c r="D375" s="45" t="inlineStr">
        <is>
          <t>Năm 4</t>
        </is>
      </c>
      <c r="E375" s="45" t="inlineStr">
        <is>
          <t>2028_2029</t>
        </is>
      </c>
      <c r="F375" s="45" t="n">
        <v>1</v>
      </c>
      <c r="G375" s="46">
        <f>VLOOKUP(D375,'Cấu Hình Học Phí'!$A$8:$B$11,2,FALSE)</f>
        <v/>
      </c>
      <c r="H375" s="46">
        <f>F375*G375</f>
        <v/>
      </c>
      <c r="I375" s="45" t="n">
        <v>0</v>
      </c>
      <c r="J375" s="46">
        <f>I375*'Cấu Hình Học Phí'!$B$5</f>
        <v/>
      </c>
      <c r="K375" s="46" t="n">
        <v>0</v>
      </c>
      <c r="L375" s="46">
        <f>H375+J375-K375</f>
        <v/>
      </c>
      <c r="M375" s="46" t="n">
        <v>732050</v>
      </c>
      <c r="N375" s="46" t="n">
        <v>0</v>
      </c>
      <c r="O375" s="46">
        <f>MAX(0,M375-N375-L375)</f>
        <v/>
      </c>
      <c r="P375" s="46">
        <f>MAX(0,L375-(M375-N375))</f>
        <v/>
      </c>
      <c r="Q375" s="45" t="inlineStr">
        <is>
          <t>30/09/2028</t>
        </is>
      </c>
      <c r="R375" s="45" t="inlineStr">
        <is>
          <t>PT2028-00372</t>
        </is>
      </c>
      <c r="S375" s="45" t="inlineStr"/>
    </row>
    <row r="376">
      <c r="A376" s="45" t="inlineStr">
        <is>
          <t>251210885</t>
        </is>
      </c>
      <c r="B376" s="45" t="inlineStr">
        <is>
          <t>LÊ HOÀNG GIA KHÁNH</t>
        </is>
      </c>
      <c r="C376" s="45" t="inlineStr">
        <is>
          <t>Công nghệ thông tin 2 K66</t>
        </is>
      </c>
      <c r="D376" s="45" t="inlineStr">
        <is>
          <t>Năm 1</t>
        </is>
      </c>
      <c r="E376" s="45" t="inlineStr">
        <is>
          <t>2025_2026</t>
        </is>
      </c>
      <c r="F376" s="45" t="n">
        <v>4</v>
      </c>
      <c r="G376" s="46">
        <f>VLOOKUP(D376,'Cấu Hình Học Phí'!$A$8:$B$11,2,FALSE)</f>
        <v/>
      </c>
      <c r="H376" s="46">
        <f>F376*G376</f>
        <v/>
      </c>
      <c r="I376" s="45" t="n">
        <v>0</v>
      </c>
      <c r="J376" s="46">
        <f>I376*'Cấu Hình Học Phí'!$B$5</f>
        <v/>
      </c>
      <c r="K376" s="46" t="n">
        <v>0</v>
      </c>
      <c r="L376" s="46">
        <f>H376+J376-K376</f>
        <v/>
      </c>
      <c r="M376" s="46" t="n">
        <v>2200000</v>
      </c>
      <c r="N376" s="46" t="n">
        <v>0</v>
      </c>
      <c r="O376" s="46">
        <f>MAX(0,M376-N376-L376)</f>
        <v/>
      </c>
      <c r="P376" s="46">
        <f>MAX(0,L376-(M376-N376))</f>
        <v/>
      </c>
      <c r="Q376" s="45" t="inlineStr">
        <is>
          <t>30/09/2025</t>
        </is>
      </c>
      <c r="R376" s="45" t="inlineStr">
        <is>
          <t>PT2025-00373</t>
        </is>
      </c>
      <c r="S376" s="45" t="inlineStr"/>
    </row>
    <row r="377">
      <c r="A377" s="45" t="inlineStr">
        <is>
          <t>251210885</t>
        </is>
      </c>
      <c r="B377" s="45" t="inlineStr">
        <is>
          <t>LÊ HOÀNG GIA KHÁNH</t>
        </is>
      </c>
      <c r="C377" s="45" t="inlineStr">
        <is>
          <t>Công nghệ thông tin 2 K66</t>
        </is>
      </c>
      <c r="D377" s="45" t="inlineStr">
        <is>
          <t>Năm 2</t>
        </is>
      </c>
      <c r="E377" s="45" t="inlineStr">
        <is>
          <t>2026_2027</t>
        </is>
      </c>
      <c r="F377" s="45" t="n">
        <v>4</v>
      </c>
      <c r="G377" s="46">
        <f>VLOOKUP(D377,'Cấu Hình Học Phí'!$A$8:$B$11,2,FALSE)</f>
        <v/>
      </c>
      <c r="H377" s="46">
        <f>F377*G377</f>
        <v/>
      </c>
      <c r="I377" s="45" t="n">
        <v>0</v>
      </c>
      <c r="J377" s="46">
        <f>I377*'Cấu Hình Học Phí'!$B$5</f>
        <v/>
      </c>
      <c r="K377" s="46" t="n">
        <v>0</v>
      </c>
      <c r="L377" s="46">
        <f>H377+J377-K377</f>
        <v/>
      </c>
      <c r="M377" s="46" t="n">
        <v>2420000</v>
      </c>
      <c r="N377" s="46" t="n">
        <v>0</v>
      </c>
      <c r="O377" s="46">
        <f>MAX(0,M377-N377-L377)</f>
        <v/>
      </c>
      <c r="P377" s="46">
        <f>MAX(0,L377-(M377-N377))</f>
        <v/>
      </c>
      <c r="Q377" s="45" t="inlineStr">
        <is>
          <t>30/09/2026</t>
        </is>
      </c>
      <c r="R377" s="45" t="inlineStr">
        <is>
          <t>PT2026-00374</t>
        </is>
      </c>
      <c r="S377" s="45" t="inlineStr"/>
    </row>
    <row r="378">
      <c r="A378" s="45" t="inlineStr">
        <is>
          <t>251210885</t>
        </is>
      </c>
      <c r="B378" s="45" t="inlineStr">
        <is>
          <t>LÊ HOÀNG GIA KHÁNH</t>
        </is>
      </c>
      <c r="C378" s="45" t="inlineStr">
        <is>
          <t>Công nghệ thông tin 2 K66</t>
        </is>
      </c>
      <c r="D378" s="45" t="inlineStr">
        <is>
          <t>Năm 3</t>
        </is>
      </c>
      <c r="E378" s="45" t="inlineStr">
        <is>
          <t>2027_2028</t>
        </is>
      </c>
      <c r="F378" s="45" t="n">
        <v>4</v>
      </c>
      <c r="G378" s="46">
        <f>VLOOKUP(D378,'Cấu Hình Học Phí'!$A$8:$B$11,2,FALSE)</f>
        <v/>
      </c>
      <c r="H378" s="46">
        <f>F378*G378</f>
        <v/>
      </c>
      <c r="I378" s="45" t="n">
        <v>0</v>
      </c>
      <c r="J378" s="46">
        <f>I378*'Cấu Hình Học Phí'!$B$5</f>
        <v/>
      </c>
      <c r="K378" s="46" t="n">
        <v>0</v>
      </c>
      <c r="L378" s="46">
        <f>H378+J378-K378</f>
        <v/>
      </c>
      <c r="M378" s="46" t="n">
        <v>2662000</v>
      </c>
      <c r="N378" s="46" t="n">
        <v>0</v>
      </c>
      <c r="O378" s="46">
        <f>MAX(0,M378-N378-L378)</f>
        <v/>
      </c>
      <c r="P378" s="46">
        <f>MAX(0,L378-(M378-N378))</f>
        <v/>
      </c>
      <c r="Q378" s="45" t="inlineStr">
        <is>
          <t>30/09/2027</t>
        </is>
      </c>
      <c r="R378" s="45" t="inlineStr">
        <is>
          <t>PT2027-00375</t>
        </is>
      </c>
      <c r="S378" s="45" t="inlineStr"/>
    </row>
    <row r="379">
      <c r="A379" s="45" t="inlineStr">
        <is>
          <t>251210885</t>
        </is>
      </c>
      <c r="B379" s="45" t="inlineStr">
        <is>
          <t>LÊ HOÀNG GIA KHÁNH</t>
        </is>
      </c>
      <c r="C379" s="45" t="inlineStr">
        <is>
          <t>Công nghệ thông tin 2 K66</t>
        </is>
      </c>
      <c r="D379" s="45" t="inlineStr">
        <is>
          <t>Năm 4</t>
        </is>
      </c>
      <c r="E379" s="45" t="inlineStr">
        <is>
          <t>2028_2029</t>
        </is>
      </c>
      <c r="F379" s="45" t="n">
        <v>1</v>
      </c>
      <c r="G379" s="46">
        <f>VLOOKUP(D379,'Cấu Hình Học Phí'!$A$8:$B$11,2,FALSE)</f>
        <v/>
      </c>
      <c r="H379" s="46">
        <f>F379*G379</f>
        <v/>
      </c>
      <c r="I379" s="45" t="n">
        <v>0</v>
      </c>
      <c r="J379" s="46">
        <f>I379*'Cấu Hình Học Phí'!$B$5</f>
        <v/>
      </c>
      <c r="K379" s="46" t="n">
        <v>0</v>
      </c>
      <c r="L379" s="46">
        <f>H379+J379-K379</f>
        <v/>
      </c>
      <c r="M379" s="46" t="n">
        <v>732050</v>
      </c>
      <c r="N379" s="46" t="n">
        <v>0</v>
      </c>
      <c r="O379" s="46">
        <f>MAX(0,M379-N379-L379)</f>
        <v/>
      </c>
      <c r="P379" s="46">
        <f>MAX(0,L379-(M379-N379))</f>
        <v/>
      </c>
      <c r="Q379" s="45" t="inlineStr">
        <is>
          <t>30/09/2028</t>
        </is>
      </c>
      <c r="R379" s="45" t="inlineStr">
        <is>
          <t>PT2028-00376</t>
        </is>
      </c>
      <c r="S379" s="45" t="inlineStr"/>
    </row>
    <row r="380">
      <c r="A380" s="45" t="inlineStr">
        <is>
          <t>251210888</t>
        </is>
      </c>
      <c r="B380" s="45" t="inlineStr">
        <is>
          <t>NGUYỄN TRỌNG KHÁNH</t>
        </is>
      </c>
      <c r="C380" s="45" t="inlineStr">
        <is>
          <t>Công nghệ thông tin 2 K66</t>
        </is>
      </c>
      <c r="D380" s="45" t="inlineStr">
        <is>
          <t>Năm 1</t>
        </is>
      </c>
      <c r="E380" s="45" t="inlineStr">
        <is>
          <t>2025_2026</t>
        </is>
      </c>
      <c r="F380" s="45" t="n">
        <v>4</v>
      </c>
      <c r="G380" s="46">
        <f>VLOOKUP(D380,'Cấu Hình Học Phí'!$A$8:$B$11,2,FALSE)</f>
        <v/>
      </c>
      <c r="H380" s="46">
        <f>F380*G380</f>
        <v/>
      </c>
      <c r="I380" s="45" t="n">
        <v>0</v>
      </c>
      <c r="J380" s="46">
        <f>I380*'Cấu Hình Học Phí'!$B$5</f>
        <v/>
      </c>
      <c r="K380" s="46" t="n">
        <v>0</v>
      </c>
      <c r="L380" s="46">
        <f>H380+J380-K380</f>
        <v/>
      </c>
      <c r="M380" s="46" t="n">
        <v>2200000</v>
      </c>
      <c r="N380" s="46" t="n">
        <v>0</v>
      </c>
      <c r="O380" s="46">
        <f>MAX(0,M380-N380-L380)</f>
        <v/>
      </c>
      <c r="P380" s="46">
        <f>MAX(0,L380-(M380-N380))</f>
        <v/>
      </c>
      <c r="Q380" s="45" t="inlineStr">
        <is>
          <t>30/09/2025</t>
        </is>
      </c>
      <c r="R380" s="45" t="inlineStr">
        <is>
          <t>PT2025-00377</t>
        </is>
      </c>
      <c r="S380" s="45" t="inlineStr"/>
    </row>
    <row r="381">
      <c r="A381" s="45" t="inlineStr">
        <is>
          <t>251210888</t>
        </is>
      </c>
      <c r="B381" s="45" t="inlineStr">
        <is>
          <t>NGUYỄN TRỌNG KHÁNH</t>
        </is>
      </c>
      <c r="C381" s="45" t="inlineStr">
        <is>
          <t>Công nghệ thông tin 2 K66</t>
        </is>
      </c>
      <c r="D381" s="45" t="inlineStr">
        <is>
          <t>Năm 2</t>
        </is>
      </c>
      <c r="E381" s="45" t="inlineStr">
        <is>
          <t>2026_2027</t>
        </is>
      </c>
      <c r="F381" s="45" t="n">
        <v>4</v>
      </c>
      <c r="G381" s="46">
        <f>VLOOKUP(D381,'Cấu Hình Học Phí'!$A$8:$B$11,2,FALSE)</f>
        <v/>
      </c>
      <c r="H381" s="46">
        <f>F381*G381</f>
        <v/>
      </c>
      <c r="I381" s="45" t="n">
        <v>0</v>
      </c>
      <c r="J381" s="46">
        <f>I381*'Cấu Hình Học Phí'!$B$5</f>
        <v/>
      </c>
      <c r="K381" s="46" t="n">
        <v>0</v>
      </c>
      <c r="L381" s="46">
        <f>H381+J381-K381</f>
        <v/>
      </c>
      <c r="M381" s="46" t="n">
        <v>2420000</v>
      </c>
      <c r="N381" s="46" t="n">
        <v>0</v>
      </c>
      <c r="O381" s="46">
        <f>MAX(0,M381-N381-L381)</f>
        <v/>
      </c>
      <c r="P381" s="46">
        <f>MAX(0,L381-(M381-N381))</f>
        <v/>
      </c>
      <c r="Q381" s="45" t="inlineStr">
        <is>
          <t>30/09/2026</t>
        </is>
      </c>
      <c r="R381" s="45" t="inlineStr">
        <is>
          <t>PT2026-00378</t>
        </is>
      </c>
      <c r="S381" s="45" t="inlineStr"/>
    </row>
    <row r="382">
      <c r="A382" s="45" t="inlineStr">
        <is>
          <t>251210888</t>
        </is>
      </c>
      <c r="B382" s="45" t="inlineStr">
        <is>
          <t>NGUYỄN TRỌNG KHÁNH</t>
        </is>
      </c>
      <c r="C382" s="45" t="inlineStr">
        <is>
          <t>Công nghệ thông tin 2 K66</t>
        </is>
      </c>
      <c r="D382" s="45" t="inlineStr">
        <is>
          <t>Năm 3</t>
        </is>
      </c>
      <c r="E382" s="45" t="inlineStr">
        <is>
          <t>2027_2028</t>
        </is>
      </c>
      <c r="F382" s="45" t="n">
        <v>4</v>
      </c>
      <c r="G382" s="46">
        <f>VLOOKUP(D382,'Cấu Hình Học Phí'!$A$8:$B$11,2,FALSE)</f>
        <v/>
      </c>
      <c r="H382" s="46">
        <f>F382*G382</f>
        <v/>
      </c>
      <c r="I382" s="45" t="n">
        <v>1</v>
      </c>
      <c r="J382" s="46">
        <f>I382*'Cấu Hình Học Phí'!$B$5</f>
        <v/>
      </c>
      <c r="K382" s="46" t="n">
        <v>0</v>
      </c>
      <c r="L382" s="46">
        <f>H382+J382-K382</f>
        <v/>
      </c>
      <c r="M382" s="46" t="n">
        <v>2662000</v>
      </c>
      <c r="N382" s="46" t="n">
        <v>0</v>
      </c>
      <c r="O382" s="46">
        <f>MAX(0,M382-N382-L382)</f>
        <v/>
      </c>
      <c r="P382" s="46">
        <f>MAX(0,L382-(M382-N382))</f>
        <v/>
      </c>
      <c r="Q382" s="45" t="inlineStr">
        <is>
          <t>30/09/2027</t>
        </is>
      </c>
      <c r="R382" s="45" t="inlineStr">
        <is>
          <t>PT2027-00379</t>
        </is>
      </c>
      <c r="S382" s="45" t="inlineStr">
        <is>
          <t>Chưa nộp phí phụ đạo 1 môn</t>
        </is>
      </c>
    </row>
    <row r="383">
      <c r="A383" s="45" t="inlineStr">
        <is>
          <t>251210888</t>
        </is>
      </c>
      <c r="B383" s="45" t="inlineStr">
        <is>
          <t>NGUYỄN TRỌNG KHÁNH</t>
        </is>
      </c>
      <c r="C383" s="45" t="inlineStr">
        <is>
          <t>Công nghệ thông tin 2 K66</t>
        </is>
      </c>
      <c r="D383" s="45" t="inlineStr">
        <is>
          <t>Năm 4</t>
        </is>
      </c>
      <c r="E383" s="45" t="inlineStr">
        <is>
          <t>2028_2029</t>
        </is>
      </c>
      <c r="F383" s="45" t="n">
        <v>1</v>
      </c>
      <c r="G383" s="46">
        <f>VLOOKUP(D383,'Cấu Hình Học Phí'!$A$8:$B$11,2,FALSE)</f>
        <v/>
      </c>
      <c r="H383" s="46">
        <f>F383*G383</f>
        <v/>
      </c>
      <c r="I383" s="45" t="n">
        <v>0</v>
      </c>
      <c r="J383" s="46">
        <f>I383*'Cấu Hình Học Phí'!$B$5</f>
        <v/>
      </c>
      <c r="K383" s="46" t="n">
        <v>0</v>
      </c>
      <c r="L383" s="46">
        <f>H383+J383-K383</f>
        <v/>
      </c>
      <c r="M383" s="46" t="n">
        <v>732050</v>
      </c>
      <c r="N383" s="46" t="n">
        <v>0</v>
      </c>
      <c r="O383" s="46">
        <f>MAX(0,M383-N383-L383)</f>
        <v/>
      </c>
      <c r="P383" s="46">
        <f>MAX(0,L383-(M383-N383))</f>
        <v/>
      </c>
      <c r="Q383" s="45" t="inlineStr">
        <is>
          <t>30/09/2028</t>
        </is>
      </c>
      <c r="R383" s="45" t="inlineStr">
        <is>
          <t>PT2028-00380</t>
        </is>
      </c>
      <c r="S383" s="45" t="inlineStr"/>
    </row>
    <row r="384">
      <c r="A384" s="45" t="inlineStr">
        <is>
          <t>251230892</t>
        </is>
      </c>
      <c r="B384" s="45" t="inlineStr">
        <is>
          <t>NGUYỄN ANH KHOA</t>
        </is>
      </c>
      <c r="C384" s="45" t="inlineStr">
        <is>
          <t>Công nghệ thông tin 2 K66</t>
        </is>
      </c>
      <c r="D384" s="45" t="inlineStr">
        <is>
          <t>Năm 1</t>
        </is>
      </c>
      <c r="E384" s="45" t="inlineStr">
        <is>
          <t>2025_2026</t>
        </is>
      </c>
      <c r="F384" s="45" t="n">
        <v>4</v>
      </c>
      <c r="G384" s="46">
        <f>VLOOKUP(D384,'Cấu Hình Học Phí'!$A$8:$B$11,2,FALSE)</f>
        <v/>
      </c>
      <c r="H384" s="46">
        <f>F384*G384</f>
        <v/>
      </c>
      <c r="I384" s="45" t="n">
        <v>0</v>
      </c>
      <c r="J384" s="46">
        <f>I384*'Cấu Hình Học Phí'!$B$5</f>
        <v/>
      </c>
      <c r="K384" s="46" t="n">
        <v>0</v>
      </c>
      <c r="L384" s="46">
        <f>H384+J384-K384</f>
        <v/>
      </c>
      <c r="M384" s="46" t="n">
        <v>2200000</v>
      </c>
      <c r="N384" s="46" t="n">
        <v>0</v>
      </c>
      <c r="O384" s="46">
        <f>MAX(0,M384-N384-L384)</f>
        <v/>
      </c>
      <c r="P384" s="46">
        <f>MAX(0,L384-(M384-N384))</f>
        <v/>
      </c>
      <c r="Q384" s="45" t="inlineStr">
        <is>
          <t>30/09/2025</t>
        </is>
      </c>
      <c r="R384" s="45" t="inlineStr">
        <is>
          <t>PT2025-00381</t>
        </is>
      </c>
      <c r="S384" s="45" t="inlineStr"/>
    </row>
    <row r="385">
      <c r="A385" s="45" t="inlineStr">
        <is>
          <t>251230892</t>
        </is>
      </c>
      <c r="B385" s="45" t="inlineStr">
        <is>
          <t>NGUYỄN ANH KHOA</t>
        </is>
      </c>
      <c r="C385" s="45" t="inlineStr">
        <is>
          <t>Công nghệ thông tin 2 K66</t>
        </is>
      </c>
      <c r="D385" s="45" t="inlineStr">
        <is>
          <t>Năm 2</t>
        </is>
      </c>
      <c r="E385" s="45" t="inlineStr">
        <is>
          <t>2026_2027</t>
        </is>
      </c>
      <c r="F385" s="45" t="n">
        <v>4</v>
      </c>
      <c r="G385" s="46">
        <f>VLOOKUP(D385,'Cấu Hình Học Phí'!$A$8:$B$11,2,FALSE)</f>
        <v/>
      </c>
      <c r="H385" s="46">
        <f>F385*G385</f>
        <v/>
      </c>
      <c r="I385" s="45" t="n">
        <v>0</v>
      </c>
      <c r="J385" s="46">
        <f>I385*'Cấu Hình Học Phí'!$B$5</f>
        <v/>
      </c>
      <c r="K385" s="46" t="n">
        <v>0</v>
      </c>
      <c r="L385" s="46">
        <f>H385+J385-K385</f>
        <v/>
      </c>
      <c r="M385" s="46" t="n">
        <v>2420000</v>
      </c>
      <c r="N385" s="46" t="n">
        <v>0</v>
      </c>
      <c r="O385" s="46">
        <f>MAX(0,M385-N385-L385)</f>
        <v/>
      </c>
      <c r="P385" s="46">
        <f>MAX(0,L385-(M385-N385))</f>
        <v/>
      </c>
      <c r="Q385" s="45" t="inlineStr">
        <is>
          <t>30/09/2026</t>
        </is>
      </c>
      <c r="R385" s="45" t="inlineStr">
        <is>
          <t>PT2026-00382</t>
        </is>
      </c>
      <c r="S385" s="45" t="inlineStr"/>
    </row>
    <row r="386">
      <c r="A386" s="45" t="inlineStr">
        <is>
          <t>251230892</t>
        </is>
      </c>
      <c r="B386" s="45" t="inlineStr">
        <is>
          <t>NGUYỄN ANH KHOA</t>
        </is>
      </c>
      <c r="C386" s="45" t="inlineStr">
        <is>
          <t>Công nghệ thông tin 2 K66</t>
        </is>
      </c>
      <c r="D386" s="45" t="inlineStr">
        <is>
          <t>Năm 3</t>
        </is>
      </c>
      <c r="E386" s="45" t="inlineStr">
        <is>
          <t>2027_2028</t>
        </is>
      </c>
      <c r="F386" s="45" t="n">
        <v>4</v>
      </c>
      <c r="G386" s="46">
        <f>VLOOKUP(D386,'Cấu Hình Học Phí'!$A$8:$B$11,2,FALSE)</f>
        <v/>
      </c>
      <c r="H386" s="46">
        <f>F386*G386</f>
        <v/>
      </c>
      <c r="I386" s="45" t="n">
        <v>0</v>
      </c>
      <c r="J386" s="46">
        <f>I386*'Cấu Hình Học Phí'!$B$5</f>
        <v/>
      </c>
      <c r="K386" s="46" t="n">
        <v>0</v>
      </c>
      <c r="L386" s="46">
        <f>H386+J386-K386</f>
        <v/>
      </c>
      <c r="M386" s="46" t="n">
        <v>2662000</v>
      </c>
      <c r="N386" s="46" t="n">
        <v>0</v>
      </c>
      <c r="O386" s="46">
        <f>MAX(0,M386-N386-L386)</f>
        <v/>
      </c>
      <c r="P386" s="46">
        <f>MAX(0,L386-(M386-N386))</f>
        <v/>
      </c>
      <c r="Q386" s="45" t="inlineStr">
        <is>
          <t>30/09/2027</t>
        </is>
      </c>
      <c r="R386" s="45" t="inlineStr">
        <is>
          <t>PT2027-00383</t>
        </is>
      </c>
      <c r="S386" s="45" t="inlineStr"/>
    </row>
    <row r="387">
      <c r="A387" s="45" t="inlineStr">
        <is>
          <t>251230892</t>
        </is>
      </c>
      <c r="B387" s="45" t="inlineStr">
        <is>
          <t>NGUYỄN ANH KHOA</t>
        </is>
      </c>
      <c r="C387" s="45" t="inlineStr">
        <is>
          <t>Công nghệ thông tin 2 K66</t>
        </is>
      </c>
      <c r="D387" s="45" t="inlineStr">
        <is>
          <t>Năm 4</t>
        </is>
      </c>
      <c r="E387" s="45" t="inlineStr">
        <is>
          <t>2028_2029</t>
        </is>
      </c>
      <c r="F387" s="45" t="n">
        <v>1</v>
      </c>
      <c r="G387" s="46">
        <f>VLOOKUP(D387,'Cấu Hình Học Phí'!$A$8:$B$11,2,FALSE)</f>
        <v/>
      </c>
      <c r="H387" s="46">
        <f>F387*G387</f>
        <v/>
      </c>
      <c r="I387" s="45" t="n">
        <v>0</v>
      </c>
      <c r="J387" s="46">
        <f>I387*'Cấu Hình Học Phí'!$B$5</f>
        <v/>
      </c>
      <c r="K387" s="46" t="n">
        <v>0</v>
      </c>
      <c r="L387" s="46">
        <f>H387+J387-K387</f>
        <v/>
      </c>
      <c r="M387" s="46" t="n">
        <v>732050</v>
      </c>
      <c r="N387" s="46" t="n">
        <v>0</v>
      </c>
      <c r="O387" s="46">
        <f>MAX(0,M387-N387-L387)</f>
        <v/>
      </c>
      <c r="P387" s="46">
        <f>MAX(0,L387-(M387-N387))</f>
        <v/>
      </c>
      <c r="Q387" s="45" t="inlineStr">
        <is>
          <t>30/09/2028</t>
        </is>
      </c>
      <c r="R387" s="45" t="inlineStr">
        <is>
          <t>PT2028-00384</t>
        </is>
      </c>
      <c r="S387" s="45" t="inlineStr"/>
    </row>
    <row r="388">
      <c r="A388" s="45" t="inlineStr">
        <is>
          <t>251230895</t>
        </is>
      </c>
      <c r="B388" s="45" t="inlineStr">
        <is>
          <t>HÀ VĂN KIÊN</t>
        </is>
      </c>
      <c r="C388" s="45" t="inlineStr">
        <is>
          <t>Công nghệ thông tin 2 K66</t>
        </is>
      </c>
      <c r="D388" s="45" t="inlineStr">
        <is>
          <t>Năm 1</t>
        </is>
      </c>
      <c r="E388" s="45" t="inlineStr">
        <is>
          <t>2025_2026</t>
        </is>
      </c>
      <c r="F388" s="45" t="n">
        <v>4</v>
      </c>
      <c r="G388" s="46">
        <f>VLOOKUP(D388,'Cấu Hình Học Phí'!$A$8:$B$11,2,FALSE)</f>
        <v/>
      </c>
      <c r="H388" s="46">
        <f>F388*G388</f>
        <v/>
      </c>
      <c r="I388" s="45" t="n">
        <v>1</v>
      </c>
      <c r="J388" s="46">
        <f>I388*'Cấu Hình Học Phí'!$B$5</f>
        <v/>
      </c>
      <c r="K388" s="46" t="n">
        <v>0</v>
      </c>
      <c r="L388" s="46">
        <f>H388+J388-K388</f>
        <v/>
      </c>
      <c r="M388" s="46" t="n">
        <v>3200000</v>
      </c>
      <c r="N388" s="46" t="n">
        <v>0</v>
      </c>
      <c r="O388" s="46">
        <f>MAX(0,M388-N388-L388)</f>
        <v/>
      </c>
      <c r="P388" s="46">
        <f>MAX(0,L388-(M388-N388))</f>
        <v/>
      </c>
      <c r="Q388" s="45" t="inlineStr">
        <is>
          <t>30/09/2025</t>
        </is>
      </c>
      <c r="R388" s="45" t="inlineStr">
        <is>
          <t>PT2025-00385</t>
        </is>
      </c>
      <c r="S388" s="45" t="inlineStr"/>
    </row>
    <row r="389">
      <c r="A389" s="45" t="inlineStr">
        <is>
          <t>251230895</t>
        </is>
      </c>
      <c r="B389" s="45" t="inlineStr">
        <is>
          <t>HÀ VĂN KIÊN</t>
        </is>
      </c>
      <c r="C389" s="45" t="inlineStr">
        <is>
          <t>Công nghệ thông tin 2 K66</t>
        </is>
      </c>
      <c r="D389" s="45" t="inlineStr">
        <is>
          <t>Năm 2</t>
        </is>
      </c>
      <c r="E389" s="45" t="inlineStr">
        <is>
          <t>2026_2027</t>
        </is>
      </c>
      <c r="F389" s="45" t="n">
        <v>4</v>
      </c>
      <c r="G389" s="46">
        <f>VLOOKUP(D389,'Cấu Hình Học Phí'!$A$8:$B$11,2,FALSE)</f>
        <v/>
      </c>
      <c r="H389" s="46">
        <f>F389*G389</f>
        <v/>
      </c>
      <c r="I389" s="45" t="n">
        <v>0</v>
      </c>
      <c r="J389" s="46">
        <f>I389*'Cấu Hình Học Phí'!$B$5</f>
        <v/>
      </c>
      <c r="K389" s="46" t="n">
        <v>0</v>
      </c>
      <c r="L389" s="46">
        <f>H389+J389-K389</f>
        <v/>
      </c>
      <c r="M389" s="46" t="n">
        <v>2420000</v>
      </c>
      <c r="N389" s="46" t="n">
        <v>0</v>
      </c>
      <c r="O389" s="46">
        <f>MAX(0,M389-N389-L389)</f>
        <v/>
      </c>
      <c r="P389" s="46">
        <f>MAX(0,L389-(M389-N389))</f>
        <v/>
      </c>
      <c r="Q389" s="45" t="inlineStr">
        <is>
          <t>30/09/2026</t>
        </is>
      </c>
      <c r="R389" s="45" t="inlineStr">
        <is>
          <t>PT2026-00386</t>
        </is>
      </c>
      <c r="S389" s="45" t="inlineStr"/>
    </row>
    <row r="390">
      <c r="A390" s="45" t="inlineStr">
        <is>
          <t>251230895</t>
        </is>
      </c>
      <c r="B390" s="45" t="inlineStr">
        <is>
          <t>HÀ VĂN KIÊN</t>
        </is>
      </c>
      <c r="C390" s="45" t="inlineStr">
        <is>
          <t>Công nghệ thông tin 2 K66</t>
        </is>
      </c>
      <c r="D390" s="45" t="inlineStr">
        <is>
          <t>Năm 3</t>
        </is>
      </c>
      <c r="E390" s="45" t="inlineStr">
        <is>
          <t>2027_2028</t>
        </is>
      </c>
      <c r="F390" s="45" t="n">
        <v>4</v>
      </c>
      <c r="G390" s="46">
        <f>VLOOKUP(D390,'Cấu Hình Học Phí'!$A$8:$B$11,2,FALSE)</f>
        <v/>
      </c>
      <c r="H390" s="46">
        <f>F390*G390</f>
        <v/>
      </c>
      <c r="I390" s="45" t="n">
        <v>0</v>
      </c>
      <c r="J390" s="46">
        <f>I390*'Cấu Hình Học Phí'!$B$5</f>
        <v/>
      </c>
      <c r="K390" s="46" t="n">
        <v>0</v>
      </c>
      <c r="L390" s="46">
        <f>H390+J390-K390</f>
        <v/>
      </c>
      <c r="M390" s="46" t="n">
        <v>2662000</v>
      </c>
      <c r="N390" s="46" t="n">
        <v>0</v>
      </c>
      <c r="O390" s="46">
        <f>MAX(0,M390-N390-L390)</f>
        <v/>
      </c>
      <c r="P390" s="46">
        <f>MAX(0,L390-(M390-N390))</f>
        <v/>
      </c>
      <c r="Q390" s="45" t="inlineStr">
        <is>
          <t>30/09/2027</t>
        </is>
      </c>
      <c r="R390" s="45" t="inlineStr">
        <is>
          <t>PT2027-00387</t>
        </is>
      </c>
      <c r="S390" s="45" t="inlineStr"/>
    </row>
    <row r="391">
      <c r="A391" s="45" t="inlineStr">
        <is>
          <t>251230895</t>
        </is>
      </c>
      <c r="B391" s="45" t="inlineStr">
        <is>
          <t>HÀ VĂN KIÊN</t>
        </is>
      </c>
      <c r="C391" s="45" t="inlineStr">
        <is>
          <t>Công nghệ thông tin 2 K66</t>
        </is>
      </c>
      <c r="D391" s="45" t="inlineStr">
        <is>
          <t>Năm 4</t>
        </is>
      </c>
      <c r="E391" s="45" t="inlineStr">
        <is>
          <t>2028_2029</t>
        </is>
      </c>
      <c r="F391" s="45" t="n">
        <v>1</v>
      </c>
      <c r="G391" s="46">
        <f>VLOOKUP(D391,'Cấu Hình Học Phí'!$A$8:$B$11,2,FALSE)</f>
        <v/>
      </c>
      <c r="H391" s="46">
        <f>F391*G391</f>
        <v/>
      </c>
      <c r="I391" s="45" t="n">
        <v>0</v>
      </c>
      <c r="J391" s="46">
        <f>I391*'Cấu Hình Học Phí'!$B$5</f>
        <v/>
      </c>
      <c r="K391" s="46" t="n">
        <v>0</v>
      </c>
      <c r="L391" s="46">
        <f>H391+J391-K391</f>
        <v/>
      </c>
      <c r="M391" s="46" t="n">
        <v>732050</v>
      </c>
      <c r="N391" s="46" t="n">
        <v>0</v>
      </c>
      <c r="O391" s="46">
        <f>MAX(0,M391-N391-L391)</f>
        <v/>
      </c>
      <c r="P391" s="46">
        <f>MAX(0,L391-(M391-N391))</f>
        <v/>
      </c>
      <c r="Q391" s="45" t="inlineStr">
        <is>
          <t>30/09/2028</t>
        </is>
      </c>
      <c r="R391" s="45" t="inlineStr">
        <is>
          <t>PT2028-00388</t>
        </is>
      </c>
      <c r="S391" s="45" t="inlineStr"/>
    </row>
    <row r="392">
      <c r="A392" s="45" t="inlineStr">
        <is>
          <t>251230896</t>
        </is>
      </c>
      <c r="B392" s="45" t="inlineStr">
        <is>
          <t>NGUYỄN TRUNG KIÊN</t>
        </is>
      </c>
      <c r="C392" s="45" t="inlineStr">
        <is>
          <t>Công nghệ thông tin 2 K66</t>
        </is>
      </c>
      <c r="D392" s="45" t="inlineStr">
        <is>
          <t>Năm 1</t>
        </is>
      </c>
      <c r="E392" s="45" t="inlineStr">
        <is>
          <t>2025_2026</t>
        </is>
      </c>
      <c r="F392" s="45" t="n">
        <v>4</v>
      </c>
      <c r="G392" s="46">
        <f>VLOOKUP(D392,'Cấu Hình Học Phí'!$A$8:$B$11,2,FALSE)</f>
        <v/>
      </c>
      <c r="H392" s="46">
        <f>F392*G392</f>
        <v/>
      </c>
      <c r="I392" s="45" t="n">
        <v>1</v>
      </c>
      <c r="J392" s="46">
        <f>I392*'Cấu Hình Học Phí'!$B$5</f>
        <v/>
      </c>
      <c r="K392" s="46" t="n">
        <v>0</v>
      </c>
      <c r="L392" s="46">
        <f>H392+J392-K392</f>
        <v/>
      </c>
      <c r="M392" s="46" t="n">
        <v>3200000</v>
      </c>
      <c r="N392" s="46" t="n">
        <v>0</v>
      </c>
      <c r="O392" s="46">
        <f>MAX(0,M392-N392-L392)</f>
        <v/>
      </c>
      <c r="P392" s="46">
        <f>MAX(0,L392-(M392-N392))</f>
        <v/>
      </c>
      <c r="Q392" s="45" t="inlineStr">
        <is>
          <t>30/09/2025</t>
        </is>
      </c>
      <c r="R392" s="45" t="inlineStr">
        <is>
          <t>PT2025-00389</t>
        </is>
      </c>
      <c r="S392" s="45" t="inlineStr"/>
    </row>
    <row r="393">
      <c r="A393" s="45" t="inlineStr">
        <is>
          <t>251230896</t>
        </is>
      </c>
      <c r="B393" s="45" t="inlineStr">
        <is>
          <t>NGUYỄN TRUNG KIÊN</t>
        </is>
      </c>
      <c r="C393" s="45" t="inlineStr">
        <is>
          <t>Công nghệ thông tin 2 K66</t>
        </is>
      </c>
      <c r="D393" s="45" t="inlineStr">
        <is>
          <t>Năm 2</t>
        </is>
      </c>
      <c r="E393" s="45" t="inlineStr">
        <is>
          <t>2026_2027</t>
        </is>
      </c>
      <c r="F393" s="45" t="n">
        <v>4</v>
      </c>
      <c r="G393" s="46">
        <f>VLOOKUP(D393,'Cấu Hình Học Phí'!$A$8:$B$11,2,FALSE)</f>
        <v/>
      </c>
      <c r="H393" s="46">
        <f>F393*G393</f>
        <v/>
      </c>
      <c r="I393" s="45" t="n">
        <v>1</v>
      </c>
      <c r="J393" s="46">
        <f>I393*'Cấu Hình Học Phí'!$B$5</f>
        <v/>
      </c>
      <c r="K393" s="46" t="n">
        <v>0</v>
      </c>
      <c r="L393" s="46">
        <f>H393+J393-K393</f>
        <v/>
      </c>
      <c r="M393" s="46" t="n">
        <v>3420000</v>
      </c>
      <c r="N393" s="46" t="n">
        <v>0</v>
      </c>
      <c r="O393" s="46">
        <f>MAX(0,M393-N393-L393)</f>
        <v/>
      </c>
      <c r="P393" s="46">
        <f>MAX(0,L393-(M393-N393))</f>
        <v/>
      </c>
      <c r="Q393" s="45" t="inlineStr">
        <is>
          <t>30/09/2026</t>
        </is>
      </c>
      <c r="R393" s="45" t="inlineStr">
        <is>
          <t>PT2026-00390</t>
        </is>
      </c>
      <c r="S393" s="45" t="inlineStr"/>
    </row>
    <row r="394">
      <c r="A394" s="45" t="inlineStr">
        <is>
          <t>251230896</t>
        </is>
      </c>
      <c r="B394" s="45" t="inlineStr">
        <is>
          <t>NGUYỄN TRUNG KIÊN</t>
        </is>
      </c>
      <c r="C394" s="45" t="inlineStr">
        <is>
          <t>Công nghệ thông tin 2 K66</t>
        </is>
      </c>
      <c r="D394" s="45" t="inlineStr">
        <is>
          <t>Năm 3</t>
        </is>
      </c>
      <c r="E394" s="45" t="inlineStr">
        <is>
          <t>2027_2028</t>
        </is>
      </c>
      <c r="F394" s="45" t="n">
        <v>4</v>
      </c>
      <c r="G394" s="46">
        <f>VLOOKUP(D394,'Cấu Hình Học Phí'!$A$8:$B$11,2,FALSE)</f>
        <v/>
      </c>
      <c r="H394" s="46">
        <f>F394*G394</f>
        <v/>
      </c>
      <c r="I394" s="45" t="n">
        <v>0</v>
      </c>
      <c r="J394" s="46">
        <f>I394*'Cấu Hình Học Phí'!$B$5</f>
        <v/>
      </c>
      <c r="K394" s="46" t="n">
        <v>0</v>
      </c>
      <c r="L394" s="46">
        <f>H394+J394-K394</f>
        <v/>
      </c>
      <c r="M394" s="46" t="n">
        <v>2662000</v>
      </c>
      <c r="N394" s="46" t="n">
        <v>0</v>
      </c>
      <c r="O394" s="46">
        <f>MAX(0,M394-N394-L394)</f>
        <v/>
      </c>
      <c r="P394" s="46">
        <f>MAX(0,L394-(M394-N394))</f>
        <v/>
      </c>
      <c r="Q394" s="45" t="inlineStr">
        <is>
          <t>30/09/2027</t>
        </is>
      </c>
      <c r="R394" s="45" t="inlineStr">
        <is>
          <t>PT2027-00391</t>
        </is>
      </c>
      <c r="S394" s="45" t="inlineStr"/>
    </row>
    <row r="395">
      <c r="A395" s="45" t="inlineStr">
        <is>
          <t>251230896</t>
        </is>
      </c>
      <c r="B395" s="45" t="inlineStr">
        <is>
          <t>NGUYỄN TRUNG KIÊN</t>
        </is>
      </c>
      <c r="C395" s="45" t="inlineStr">
        <is>
          <t>Công nghệ thông tin 2 K66</t>
        </is>
      </c>
      <c r="D395" s="45" t="inlineStr">
        <is>
          <t>Năm 4</t>
        </is>
      </c>
      <c r="E395" s="45" t="inlineStr">
        <is>
          <t>2028_2029</t>
        </is>
      </c>
      <c r="F395" s="45" t="n">
        <v>1</v>
      </c>
      <c r="G395" s="46">
        <f>VLOOKUP(D395,'Cấu Hình Học Phí'!$A$8:$B$11,2,FALSE)</f>
        <v/>
      </c>
      <c r="H395" s="46">
        <f>F395*G395</f>
        <v/>
      </c>
      <c r="I395" s="45" t="n">
        <v>0</v>
      </c>
      <c r="J395" s="46">
        <f>I395*'Cấu Hình Học Phí'!$B$5</f>
        <v/>
      </c>
      <c r="K395" s="46" t="n">
        <v>0</v>
      </c>
      <c r="L395" s="46">
        <f>H395+J395-K395</f>
        <v/>
      </c>
      <c r="M395" s="46" t="n">
        <v>732050</v>
      </c>
      <c r="N395" s="46" t="n">
        <v>0</v>
      </c>
      <c r="O395" s="46">
        <f>MAX(0,M395-N395-L395)</f>
        <v/>
      </c>
      <c r="P395" s="46">
        <f>MAX(0,L395-(M395-N395))</f>
        <v/>
      </c>
      <c r="Q395" s="45" t="inlineStr">
        <is>
          <t>30/09/2028</t>
        </is>
      </c>
      <c r="R395" s="45" t="inlineStr">
        <is>
          <t>PT2028-00392</t>
        </is>
      </c>
      <c r="S395" s="45" t="inlineStr"/>
    </row>
    <row r="396">
      <c r="A396" s="45" t="inlineStr">
        <is>
          <t>251210897</t>
        </is>
      </c>
      <c r="B396" s="45" t="inlineStr">
        <is>
          <t>CHU HẢI LÂM</t>
        </is>
      </c>
      <c r="C396" s="45" t="inlineStr">
        <is>
          <t>Công nghệ thông tin 2 K66</t>
        </is>
      </c>
      <c r="D396" s="45" t="inlineStr">
        <is>
          <t>Năm 1</t>
        </is>
      </c>
      <c r="E396" s="45" t="inlineStr">
        <is>
          <t>2025_2026</t>
        </is>
      </c>
      <c r="F396" s="45" t="n">
        <v>4</v>
      </c>
      <c r="G396" s="46">
        <f>VLOOKUP(D396,'Cấu Hình Học Phí'!$A$8:$B$11,2,FALSE)</f>
        <v/>
      </c>
      <c r="H396" s="46">
        <f>F396*G396</f>
        <v/>
      </c>
      <c r="I396" s="45" t="n">
        <v>0</v>
      </c>
      <c r="J396" s="46">
        <f>I396*'Cấu Hình Học Phí'!$B$5</f>
        <v/>
      </c>
      <c r="K396" s="46" t="n">
        <v>0</v>
      </c>
      <c r="L396" s="46">
        <f>H396+J396-K396</f>
        <v/>
      </c>
      <c r="M396" s="46" t="n">
        <v>2200000</v>
      </c>
      <c r="N396" s="46" t="n">
        <v>0</v>
      </c>
      <c r="O396" s="46">
        <f>MAX(0,M396-N396-L396)</f>
        <v/>
      </c>
      <c r="P396" s="46">
        <f>MAX(0,L396-(M396-N396))</f>
        <v/>
      </c>
      <c r="Q396" s="45" t="inlineStr">
        <is>
          <t>30/09/2025</t>
        </is>
      </c>
      <c r="R396" s="45" t="inlineStr">
        <is>
          <t>PT2025-00393</t>
        </is>
      </c>
      <c r="S396" s="45" t="inlineStr"/>
    </row>
    <row r="397">
      <c r="A397" s="45" t="inlineStr">
        <is>
          <t>251210897</t>
        </is>
      </c>
      <c r="B397" s="45" t="inlineStr">
        <is>
          <t>CHU HẢI LÂM</t>
        </is>
      </c>
      <c r="C397" s="45" t="inlineStr">
        <is>
          <t>Công nghệ thông tin 2 K66</t>
        </is>
      </c>
      <c r="D397" s="45" t="inlineStr">
        <is>
          <t>Năm 2</t>
        </is>
      </c>
      <c r="E397" s="45" t="inlineStr">
        <is>
          <t>2026_2027</t>
        </is>
      </c>
      <c r="F397" s="45" t="n">
        <v>4</v>
      </c>
      <c r="G397" s="46">
        <f>VLOOKUP(D397,'Cấu Hình Học Phí'!$A$8:$B$11,2,FALSE)</f>
        <v/>
      </c>
      <c r="H397" s="46">
        <f>F397*G397</f>
        <v/>
      </c>
      <c r="I397" s="45" t="n">
        <v>1</v>
      </c>
      <c r="J397" s="46">
        <f>I397*'Cấu Hình Học Phí'!$B$5</f>
        <v/>
      </c>
      <c r="K397" s="46" t="n">
        <v>0</v>
      </c>
      <c r="L397" s="46">
        <f>H397+J397-K397</f>
        <v/>
      </c>
      <c r="M397" s="46" t="n">
        <v>3420000</v>
      </c>
      <c r="N397" s="46" t="n">
        <v>0</v>
      </c>
      <c r="O397" s="46">
        <f>MAX(0,M397-N397-L397)</f>
        <v/>
      </c>
      <c r="P397" s="46">
        <f>MAX(0,L397-(M397-N397))</f>
        <v/>
      </c>
      <c r="Q397" s="45" t="inlineStr">
        <is>
          <t>30/09/2026</t>
        </is>
      </c>
      <c r="R397" s="45" t="inlineStr">
        <is>
          <t>PT2026-00394</t>
        </is>
      </c>
      <c r="S397" s="45" t="inlineStr"/>
    </row>
    <row r="398">
      <c r="A398" s="45" t="inlineStr">
        <is>
          <t>251210897</t>
        </is>
      </c>
      <c r="B398" s="45" t="inlineStr">
        <is>
          <t>CHU HẢI LÂM</t>
        </is>
      </c>
      <c r="C398" s="45" t="inlineStr">
        <is>
          <t>Công nghệ thông tin 2 K66</t>
        </is>
      </c>
      <c r="D398" s="45" t="inlineStr">
        <is>
          <t>Năm 3</t>
        </is>
      </c>
      <c r="E398" s="45" t="inlineStr">
        <is>
          <t>2027_2028</t>
        </is>
      </c>
      <c r="F398" s="45" t="n">
        <v>4</v>
      </c>
      <c r="G398" s="46">
        <f>VLOOKUP(D398,'Cấu Hình Học Phí'!$A$8:$B$11,2,FALSE)</f>
        <v/>
      </c>
      <c r="H398" s="46">
        <f>F398*G398</f>
        <v/>
      </c>
      <c r="I398" s="45" t="n">
        <v>0</v>
      </c>
      <c r="J398" s="46">
        <f>I398*'Cấu Hình Học Phí'!$B$5</f>
        <v/>
      </c>
      <c r="K398" s="46" t="n">
        <v>0</v>
      </c>
      <c r="L398" s="46">
        <f>H398+J398-K398</f>
        <v/>
      </c>
      <c r="M398" s="46" t="n">
        <v>2662000</v>
      </c>
      <c r="N398" s="46" t="n">
        <v>0</v>
      </c>
      <c r="O398" s="46">
        <f>MAX(0,M398-N398-L398)</f>
        <v/>
      </c>
      <c r="P398" s="46">
        <f>MAX(0,L398-(M398-N398))</f>
        <v/>
      </c>
      <c r="Q398" s="45" t="inlineStr">
        <is>
          <t>30/09/2027</t>
        </is>
      </c>
      <c r="R398" s="45" t="inlineStr">
        <is>
          <t>PT2027-00395</t>
        </is>
      </c>
      <c r="S398" s="45" t="inlineStr"/>
    </row>
    <row r="399">
      <c r="A399" s="45" t="inlineStr">
        <is>
          <t>251210897</t>
        </is>
      </c>
      <c r="B399" s="45" t="inlineStr">
        <is>
          <t>CHU HẢI LÂM</t>
        </is>
      </c>
      <c r="C399" s="45" t="inlineStr">
        <is>
          <t>Công nghệ thông tin 2 K66</t>
        </is>
      </c>
      <c r="D399" s="45" t="inlineStr">
        <is>
          <t>Năm 4</t>
        </is>
      </c>
      <c r="E399" s="45" t="inlineStr">
        <is>
          <t>2028_2029</t>
        </is>
      </c>
      <c r="F399" s="45" t="n">
        <v>1</v>
      </c>
      <c r="G399" s="46">
        <f>VLOOKUP(D399,'Cấu Hình Học Phí'!$A$8:$B$11,2,FALSE)</f>
        <v/>
      </c>
      <c r="H399" s="46">
        <f>F399*G399</f>
        <v/>
      </c>
      <c r="I399" s="45" t="n">
        <v>0</v>
      </c>
      <c r="J399" s="46">
        <f>I399*'Cấu Hình Học Phí'!$B$5</f>
        <v/>
      </c>
      <c r="K399" s="46" t="n">
        <v>0</v>
      </c>
      <c r="L399" s="46">
        <f>H399+J399-K399</f>
        <v/>
      </c>
      <c r="M399" s="46" t="n">
        <v>732050</v>
      </c>
      <c r="N399" s="46" t="n">
        <v>0</v>
      </c>
      <c r="O399" s="46">
        <f>MAX(0,M399-N399-L399)</f>
        <v/>
      </c>
      <c r="P399" s="46">
        <f>MAX(0,L399-(M399-N399))</f>
        <v/>
      </c>
      <c r="Q399" s="45" t="inlineStr">
        <is>
          <t>30/09/2028</t>
        </is>
      </c>
      <c r="R399" s="45" t="inlineStr">
        <is>
          <t>PT2028-00396</t>
        </is>
      </c>
      <c r="S399" s="45" t="inlineStr"/>
    </row>
    <row r="400">
      <c r="A400" s="45" t="inlineStr">
        <is>
          <t>251230902</t>
        </is>
      </c>
      <c r="B400" s="45" t="inlineStr">
        <is>
          <t>NGUYỄN THỊ NGỌC LỆ</t>
        </is>
      </c>
      <c r="C400" s="45" t="inlineStr">
        <is>
          <t>Công nghệ thông tin 2 K66</t>
        </is>
      </c>
      <c r="D400" s="45" t="inlineStr">
        <is>
          <t>Năm 1</t>
        </is>
      </c>
      <c r="E400" s="45" t="inlineStr">
        <is>
          <t>2025_2026</t>
        </is>
      </c>
      <c r="F400" s="45" t="n">
        <v>4</v>
      </c>
      <c r="G400" s="46">
        <f>VLOOKUP(D400,'Cấu Hình Học Phí'!$A$8:$B$11,2,FALSE)</f>
        <v/>
      </c>
      <c r="H400" s="46">
        <f>F400*G400</f>
        <v/>
      </c>
      <c r="I400" s="45" t="n">
        <v>1</v>
      </c>
      <c r="J400" s="46">
        <f>I400*'Cấu Hình Học Phí'!$B$5</f>
        <v/>
      </c>
      <c r="K400" s="46" t="n">
        <v>0</v>
      </c>
      <c r="L400" s="46">
        <f>H400+J400-K400</f>
        <v/>
      </c>
      <c r="M400" s="46" t="n">
        <v>2200000</v>
      </c>
      <c r="N400" s="46" t="n">
        <v>0</v>
      </c>
      <c r="O400" s="46">
        <f>MAX(0,M400-N400-L400)</f>
        <v/>
      </c>
      <c r="P400" s="46">
        <f>MAX(0,L400-(M400-N400))</f>
        <v/>
      </c>
      <c r="Q400" s="45" t="inlineStr">
        <is>
          <t>30/09/2025</t>
        </is>
      </c>
      <c r="R400" s="45" t="inlineStr">
        <is>
          <t>PT2025-00397</t>
        </is>
      </c>
      <c r="S400" s="45" t="inlineStr">
        <is>
          <t>Chưa nộp phí phụ đạo 1 môn</t>
        </is>
      </c>
    </row>
    <row r="401">
      <c r="A401" s="45" t="inlineStr">
        <is>
          <t>251230902</t>
        </is>
      </c>
      <c r="B401" s="45" t="inlineStr">
        <is>
          <t>NGUYỄN THỊ NGỌC LỆ</t>
        </is>
      </c>
      <c r="C401" s="45" t="inlineStr">
        <is>
          <t>Công nghệ thông tin 2 K66</t>
        </is>
      </c>
      <c r="D401" s="45" t="inlineStr">
        <is>
          <t>Năm 2</t>
        </is>
      </c>
      <c r="E401" s="45" t="inlineStr">
        <is>
          <t>2026_2027</t>
        </is>
      </c>
      <c r="F401" s="45" t="n">
        <v>4</v>
      </c>
      <c r="G401" s="46">
        <f>VLOOKUP(D401,'Cấu Hình Học Phí'!$A$8:$B$11,2,FALSE)</f>
        <v/>
      </c>
      <c r="H401" s="46">
        <f>F401*G401</f>
        <v/>
      </c>
      <c r="I401" s="45" t="n">
        <v>0</v>
      </c>
      <c r="J401" s="46">
        <f>I401*'Cấu Hình Học Phí'!$B$5</f>
        <v/>
      </c>
      <c r="K401" s="46" t="n">
        <v>0</v>
      </c>
      <c r="L401" s="46">
        <f>H401+J401-K401</f>
        <v/>
      </c>
      <c r="M401" s="46" t="n">
        <v>2420000</v>
      </c>
      <c r="N401" s="46" t="n">
        <v>0</v>
      </c>
      <c r="O401" s="46">
        <f>MAX(0,M401-N401-L401)</f>
        <v/>
      </c>
      <c r="P401" s="46">
        <f>MAX(0,L401-(M401-N401))</f>
        <v/>
      </c>
      <c r="Q401" s="45" t="inlineStr">
        <is>
          <t>30/09/2026</t>
        </is>
      </c>
      <c r="R401" s="45" t="inlineStr">
        <is>
          <t>PT2026-00398</t>
        </is>
      </c>
      <c r="S401" s="45" t="inlineStr"/>
    </row>
    <row r="402">
      <c r="A402" s="45" t="inlineStr">
        <is>
          <t>251230902</t>
        </is>
      </c>
      <c r="B402" s="45" t="inlineStr">
        <is>
          <t>NGUYỄN THỊ NGỌC LỆ</t>
        </is>
      </c>
      <c r="C402" s="45" t="inlineStr">
        <is>
          <t>Công nghệ thông tin 2 K66</t>
        </is>
      </c>
      <c r="D402" s="45" t="inlineStr">
        <is>
          <t>Năm 3</t>
        </is>
      </c>
      <c r="E402" s="45" t="inlineStr">
        <is>
          <t>2027_2028</t>
        </is>
      </c>
      <c r="F402" s="45" t="n">
        <v>4</v>
      </c>
      <c r="G402" s="46">
        <f>VLOOKUP(D402,'Cấu Hình Học Phí'!$A$8:$B$11,2,FALSE)</f>
        <v/>
      </c>
      <c r="H402" s="46">
        <f>F402*G402</f>
        <v/>
      </c>
      <c r="I402" s="45" t="n">
        <v>1</v>
      </c>
      <c r="J402" s="46">
        <f>I402*'Cấu Hình Học Phí'!$B$5</f>
        <v/>
      </c>
      <c r="K402" s="46" t="n">
        <v>0</v>
      </c>
      <c r="L402" s="46">
        <f>H402+J402-K402</f>
        <v/>
      </c>
      <c r="M402" s="46" t="n">
        <v>2662000</v>
      </c>
      <c r="N402" s="46" t="n">
        <v>0</v>
      </c>
      <c r="O402" s="46">
        <f>MAX(0,M402-N402-L402)</f>
        <v/>
      </c>
      <c r="P402" s="46">
        <f>MAX(0,L402-(M402-N402))</f>
        <v/>
      </c>
      <c r="Q402" s="45" t="inlineStr">
        <is>
          <t>30/09/2027</t>
        </is>
      </c>
      <c r="R402" s="45" t="inlineStr">
        <is>
          <t>PT2027-00399</t>
        </is>
      </c>
      <c r="S402" s="45" t="inlineStr">
        <is>
          <t>Chưa nộp phí phụ đạo 1 môn</t>
        </is>
      </c>
    </row>
    <row r="403">
      <c r="A403" s="45" t="inlineStr">
        <is>
          <t>251230902</t>
        </is>
      </c>
      <c r="B403" s="45" t="inlineStr">
        <is>
          <t>NGUYỄN THỊ NGỌC LỆ</t>
        </is>
      </c>
      <c r="C403" s="45" t="inlineStr">
        <is>
          <t>Công nghệ thông tin 2 K66</t>
        </is>
      </c>
      <c r="D403" s="45" t="inlineStr">
        <is>
          <t>Năm 4</t>
        </is>
      </c>
      <c r="E403" s="45" t="inlineStr">
        <is>
          <t>2028_2029</t>
        </is>
      </c>
      <c r="F403" s="45" t="n">
        <v>1</v>
      </c>
      <c r="G403" s="46">
        <f>VLOOKUP(D403,'Cấu Hình Học Phí'!$A$8:$B$11,2,FALSE)</f>
        <v/>
      </c>
      <c r="H403" s="46">
        <f>F403*G403</f>
        <v/>
      </c>
      <c r="I403" s="45" t="n">
        <v>0</v>
      </c>
      <c r="J403" s="46">
        <f>I403*'Cấu Hình Học Phí'!$B$5</f>
        <v/>
      </c>
      <c r="K403" s="46" t="n">
        <v>0</v>
      </c>
      <c r="L403" s="46">
        <f>H403+J403-K403</f>
        <v/>
      </c>
      <c r="M403" s="46" t="n">
        <v>732050</v>
      </c>
      <c r="N403" s="46" t="n">
        <v>0</v>
      </c>
      <c r="O403" s="46">
        <f>MAX(0,M403-N403-L403)</f>
        <v/>
      </c>
      <c r="P403" s="46">
        <f>MAX(0,L403-(M403-N403))</f>
        <v/>
      </c>
      <c r="Q403" s="45" t="inlineStr">
        <is>
          <t>30/09/2028</t>
        </is>
      </c>
      <c r="R403" s="45" t="inlineStr">
        <is>
          <t>PT2028-00400</t>
        </is>
      </c>
      <c r="S403" s="45" t="inlineStr"/>
    </row>
    <row r="404">
      <c r="A404" s="45" t="inlineStr">
        <is>
          <t>251230906</t>
        </is>
      </c>
      <c r="B404" s="45" t="inlineStr">
        <is>
          <t>ĐỖ PHẠM HẢI LONG</t>
        </is>
      </c>
      <c r="C404" s="45" t="inlineStr">
        <is>
          <t>Công nghệ thông tin 2 K66</t>
        </is>
      </c>
      <c r="D404" s="45" t="inlineStr">
        <is>
          <t>Năm 1</t>
        </is>
      </c>
      <c r="E404" s="45" t="inlineStr">
        <is>
          <t>2025_2026</t>
        </is>
      </c>
      <c r="F404" s="45" t="n">
        <v>4</v>
      </c>
      <c r="G404" s="46">
        <f>VLOOKUP(D404,'Cấu Hình Học Phí'!$A$8:$B$11,2,FALSE)</f>
        <v/>
      </c>
      <c r="H404" s="46">
        <f>F404*G404</f>
        <v/>
      </c>
      <c r="I404" s="45" t="n">
        <v>1</v>
      </c>
      <c r="J404" s="46">
        <f>I404*'Cấu Hình Học Phí'!$B$5</f>
        <v/>
      </c>
      <c r="K404" s="46" t="n">
        <v>0</v>
      </c>
      <c r="L404" s="46">
        <f>H404+J404-K404</f>
        <v/>
      </c>
      <c r="M404" s="46" t="n">
        <v>3200000</v>
      </c>
      <c r="N404" s="46" t="n">
        <v>0</v>
      </c>
      <c r="O404" s="46">
        <f>MAX(0,M404-N404-L404)</f>
        <v/>
      </c>
      <c r="P404" s="46">
        <f>MAX(0,L404-(M404-N404))</f>
        <v/>
      </c>
      <c r="Q404" s="45" t="inlineStr">
        <is>
          <t>30/09/2025</t>
        </is>
      </c>
      <c r="R404" s="45" t="inlineStr">
        <is>
          <t>PT2025-00401</t>
        </is>
      </c>
      <c r="S404" s="45" t="inlineStr"/>
    </row>
    <row r="405">
      <c r="A405" s="45" t="inlineStr">
        <is>
          <t>251230906</t>
        </is>
      </c>
      <c r="B405" s="45" t="inlineStr">
        <is>
          <t>ĐỖ PHẠM HẢI LONG</t>
        </is>
      </c>
      <c r="C405" s="45" t="inlineStr">
        <is>
          <t>Công nghệ thông tin 2 K66</t>
        </is>
      </c>
      <c r="D405" s="45" t="inlineStr">
        <is>
          <t>Năm 2</t>
        </is>
      </c>
      <c r="E405" s="45" t="inlineStr">
        <is>
          <t>2026_2027</t>
        </is>
      </c>
      <c r="F405" s="45" t="n">
        <v>4</v>
      </c>
      <c r="G405" s="46">
        <f>VLOOKUP(D405,'Cấu Hình Học Phí'!$A$8:$B$11,2,FALSE)</f>
        <v/>
      </c>
      <c r="H405" s="46">
        <f>F405*G405</f>
        <v/>
      </c>
      <c r="I405" s="45" t="n">
        <v>0</v>
      </c>
      <c r="J405" s="46">
        <f>I405*'Cấu Hình Học Phí'!$B$5</f>
        <v/>
      </c>
      <c r="K405" s="46" t="n">
        <v>0</v>
      </c>
      <c r="L405" s="46">
        <f>H405+J405-K405</f>
        <v/>
      </c>
      <c r="M405" s="46" t="n">
        <v>2420000</v>
      </c>
      <c r="N405" s="46" t="n">
        <v>0</v>
      </c>
      <c r="O405" s="46">
        <f>MAX(0,M405-N405-L405)</f>
        <v/>
      </c>
      <c r="P405" s="46">
        <f>MAX(0,L405-(M405-N405))</f>
        <v/>
      </c>
      <c r="Q405" s="45" t="inlineStr">
        <is>
          <t>30/09/2026</t>
        </is>
      </c>
      <c r="R405" s="45" t="inlineStr">
        <is>
          <t>PT2026-00402</t>
        </is>
      </c>
      <c r="S405" s="45" t="inlineStr"/>
    </row>
    <row r="406">
      <c r="A406" s="45" t="inlineStr">
        <is>
          <t>251230906</t>
        </is>
      </c>
      <c r="B406" s="45" t="inlineStr">
        <is>
          <t>ĐỖ PHẠM HẢI LONG</t>
        </is>
      </c>
      <c r="C406" s="45" t="inlineStr">
        <is>
          <t>Công nghệ thông tin 2 K66</t>
        </is>
      </c>
      <c r="D406" s="45" t="inlineStr">
        <is>
          <t>Năm 3</t>
        </is>
      </c>
      <c r="E406" s="45" t="inlineStr">
        <is>
          <t>2027_2028</t>
        </is>
      </c>
      <c r="F406" s="45" t="n">
        <v>4</v>
      </c>
      <c r="G406" s="46">
        <f>VLOOKUP(D406,'Cấu Hình Học Phí'!$A$8:$B$11,2,FALSE)</f>
        <v/>
      </c>
      <c r="H406" s="46">
        <f>F406*G406</f>
        <v/>
      </c>
      <c r="I406" s="45" t="n">
        <v>0</v>
      </c>
      <c r="J406" s="46">
        <f>I406*'Cấu Hình Học Phí'!$B$5</f>
        <v/>
      </c>
      <c r="K406" s="46" t="n">
        <v>0</v>
      </c>
      <c r="L406" s="46">
        <f>H406+J406-K406</f>
        <v/>
      </c>
      <c r="M406" s="46" t="n">
        <v>2662000</v>
      </c>
      <c r="N406" s="46" t="n">
        <v>0</v>
      </c>
      <c r="O406" s="46">
        <f>MAX(0,M406-N406-L406)</f>
        <v/>
      </c>
      <c r="P406" s="46">
        <f>MAX(0,L406-(M406-N406))</f>
        <v/>
      </c>
      <c r="Q406" s="45" t="inlineStr">
        <is>
          <t>30/09/2027</t>
        </is>
      </c>
      <c r="R406" s="45" t="inlineStr">
        <is>
          <t>PT2027-00403</t>
        </is>
      </c>
      <c r="S406" s="45" t="inlineStr"/>
    </row>
    <row r="407">
      <c r="A407" s="45" t="inlineStr">
        <is>
          <t>251230906</t>
        </is>
      </c>
      <c r="B407" s="45" t="inlineStr">
        <is>
          <t>ĐỖ PHẠM HẢI LONG</t>
        </is>
      </c>
      <c r="C407" s="45" t="inlineStr">
        <is>
          <t>Công nghệ thông tin 2 K66</t>
        </is>
      </c>
      <c r="D407" s="45" t="inlineStr">
        <is>
          <t>Năm 4</t>
        </is>
      </c>
      <c r="E407" s="45" t="inlineStr">
        <is>
          <t>2028_2029</t>
        </is>
      </c>
      <c r="F407" s="45" t="n">
        <v>1</v>
      </c>
      <c r="G407" s="46">
        <f>VLOOKUP(D407,'Cấu Hình Học Phí'!$A$8:$B$11,2,FALSE)</f>
        <v/>
      </c>
      <c r="H407" s="46">
        <f>F407*G407</f>
        <v/>
      </c>
      <c r="I407" s="45" t="n">
        <v>0</v>
      </c>
      <c r="J407" s="46">
        <f>I407*'Cấu Hình Học Phí'!$B$5</f>
        <v/>
      </c>
      <c r="K407" s="46" t="n">
        <v>0</v>
      </c>
      <c r="L407" s="46">
        <f>H407+J407-K407</f>
        <v/>
      </c>
      <c r="M407" s="46" t="n">
        <v>732050</v>
      </c>
      <c r="N407" s="46" t="n">
        <v>0</v>
      </c>
      <c r="O407" s="46">
        <f>MAX(0,M407-N407-L407)</f>
        <v/>
      </c>
      <c r="P407" s="46">
        <f>MAX(0,L407-(M407-N407))</f>
        <v/>
      </c>
      <c r="Q407" s="45" t="inlineStr">
        <is>
          <t>30/09/2028</t>
        </is>
      </c>
      <c r="R407" s="45" t="inlineStr">
        <is>
          <t>PT2028-00404</t>
        </is>
      </c>
      <c r="S407" s="45" t="inlineStr"/>
    </row>
    <row r="408">
      <c r="A408" s="45" t="inlineStr">
        <is>
          <t>251210908</t>
        </is>
      </c>
      <c r="B408" s="45" t="inlineStr">
        <is>
          <t>NGUYỄN THÀNH LONG</t>
        </is>
      </c>
      <c r="C408" s="45" t="inlineStr">
        <is>
          <t>Công nghệ thông tin 2 K66</t>
        </is>
      </c>
      <c r="D408" s="45" t="inlineStr">
        <is>
          <t>Năm 1</t>
        </is>
      </c>
      <c r="E408" s="45" t="inlineStr">
        <is>
          <t>2025_2026</t>
        </is>
      </c>
      <c r="F408" s="45" t="n">
        <v>4</v>
      </c>
      <c r="G408" s="46">
        <f>VLOOKUP(D408,'Cấu Hình Học Phí'!$A$8:$B$11,2,FALSE)</f>
        <v/>
      </c>
      <c r="H408" s="46">
        <f>F408*G408</f>
        <v/>
      </c>
      <c r="I408" s="45" t="n">
        <v>3</v>
      </c>
      <c r="J408" s="46">
        <f>I408*'Cấu Hình Học Phí'!$B$5</f>
        <v/>
      </c>
      <c r="K408" s="46" t="n">
        <v>0</v>
      </c>
      <c r="L408" s="46">
        <f>H408+J408-K408</f>
        <v/>
      </c>
      <c r="M408" s="46" t="n">
        <v>5200000</v>
      </c>
      <c r="N408" s="46" t="n">
        <v>0</v>
      </c>
      <c r="O408" s="46">
        <f>MAX(0,M408-N408-L408)</f>
        <v/>
      </c>
      <c r="P408" s="46">
        <f>MAX(0,L408-(M408-N408))</f>
        <v/>
      </c>
      <c r="Q408" s="45" t="inlineStr">
        <is>
          <t>30/09/2025</t>
        </is>
      </c>
      <c r="R408" s="45" t="inlineStr">
        <is>
          <t>PT2025-00405</t>
        </is>
      </c>
      <c r="S408" s="45" t="inlineStr"/>
    </row>
    <row r="409">
      <c r="A409" s="45" t="inlineStr">
        <is>
          <t>251210908</t>
        </is>
      </c>
      <c r="B409" s="45" t="inlineStr">
        <is>
          <t>NGUYỄN THÀNH LONG</t>
        </is>
      </c>
      <c r="C409" s="45" t="inlineStr">
        <is>
          <t>Công nghệ thông tin 2 K66</t>
        </is>
      </c>
      <c r="D409" s="45" t="inlineStr">
        <is>
          <t>Năm 2</t>
        </is>
      </c>
      <c r="E409" s="45" t="inlineStr">
        <is>
          <t>2026_2027</t>
        </is>
      </c>
      <c r="F409" s="45" t="n">
        <v>4</v>
      </c>
      <c r="G409" s="46">
        <f>VLOOKUP(D409,'Cấu Hình Học Phí'!$A$8:$B$11,2,FALSE)</f>
        <v/>
      </c>
      <c r="H409" s="46">
        <f>F409*G409</f>
        <v/>
      </c>
      <c r="I409" s="45" t="n">
        <v>0</v>
      </c>
      <c r="J409" s="46">
        <f>I409*'Cấu Hình Học Phí'!$B$5</f>
        <v/>
      </c>
      <c r="K409" s="46" t="n">
        <v>0</v>
      </c>
      <c r="L409" s="46">
        <f>H409+J409-K409</f>
        <v/>
      </c>
      <c r="M409" s="46" t="n">
        <v>2420000</v>
      </c>
      <c r="N409" s="46" t="n">
        <v>0</v>
      </c>
      <c r="O409" s="46">
        <f>MAX(0,M409-N409-L409)</f>
        <v/>
      </c>
      <c r="P409" s="46">
        <f>MAX(0,L409-(M409-N409))</f>
        <v/>
      </c>
      <c r="Q409" s="45" t="inlineStr">
        <is>
          <t>30/09/2026</t>
        </is>
      </c>
      <c r="R409" s="45" t="inlineStr">
        <is>
          <t>PT2026-00406</t>
        </is>
      </c>
      <c r="S409" s="45" t="inlineStr"/>
    </row>
    <row r="410">
      <c r="A410" s="45" t="inlineStr">
        <is>
          <t>251210908</t>
        </is>
      </c>
      <c r="B410" s="45" t="inlineStr">
        <is>
          <t>NGUYỄN THÀNH LONG</t>
        </is>
      </c>
      <c r="C410" s="45" t="inlineStr">
        <is>
          <t>Công nghệ thông tin 2 K66</t>
        </is>
      </c>
      <c r="D410" s="45" t="inlineStr">
        <is>
          <t>Năm 3</t>
        </is>
      </c>
      <c r="E410" s="45" t="inlineStr">
        <is>
          <t>2027_2028</t>
        </is>
      </c>
      <c r="F410" s="45" t="n">
        <v>4</v>
      </c>
      <c r="G410" s="46">
        <f>VLOOKUP(D410,'Cấu Hình Học Phí'!$A$8:$B$11,2,FALSE)</f>
        <v/>
      </c>
      <c r="H410" s="46">
        <f>F410*G410</f>
        <v/>
      </c>
      <c r="I410" s="45" t="n">
        <v>0</v>
      </c>
      <c r="J410" s="46">
        <f>I410*'Cấu Hình Học Phí'!$B$5</f>
        <v/>
      </c>
      <c r="K410" s="46" t="n">
        <v>0</v>
      </c>
      <c r="L410" s="46">
        <f>H410+J410-K410</f>
        <v/>
      </c>
      <c r="M410" s="46" t="n">
        <v>2662000</v>
      </c>
      <c r="N410" s="46" t="n">
        <v>0</v>
      </c>
      <c r="O410" s="46">
        <f>MAX(0,M410-N410-L410)</f>
        <v/>
      </c>
      <c r="P410" s="46">
        <f>MAX(0,L410-(M410-N410))</f>
        <v/>
      </c>
      <c r="Q410" s="45" t="inlineStr">
        <is>
          <t>30/09/2027</t>
        </is>
      </c>
      <c r="R410" s="45" t="inlineStr">
        <is>
          <t>PT2027-00407</t>
        </is>
      </c>
      <c r="S410" s="45" t="inlineStr"/>
    </row>
    <row r="411">
      <c r="A411" s="45" t="inlineStr">
        <is>
          <t>251210908</t>
        </is>
      </c>
      <c r="B411" s="45" t="inlineStr">
        <is>
          <t>NGUYỄN THÀNH LONG</t>
        </is>
      </c>
      <c r="C411" s="45" t="inlineStr">
        <is>
          <t>Công nghệ thông tin 2 K66</t>
        </is>
      </c>
      <c r="D411" s="45" t="inlineStr">
        <is>
          <t>Năm 4</t>
        </is>
      </c>
      <c r="E411" s="45" t="inlineStr">
        <is>
          <t>2028_2029</t>
        </is>
      </c>
      <c r="F411" s="45" t="n">
        <v>1</v>
      </c>
      <c r="G411" s="46">
        <f>VLOOKUP(D411,'Cấu Hình Học Phí'!$A$8:$B$11,2,FALSE)</f>
        <v/>
      </c>
      <c r="H411" s="46">
        <f>F411*G411</f>
        <v/>
      </c>
      <c r="I411" s="45" t="n">
        <v>0</v>
      </c>
      <c r="J411" s="46">
        <f>I411*'Cấu Hình Học Phí'!$B$5</f>
        <v/>
      </c>
      <c r="K411" s="46" t="n">
        <v>0</v>
      </c>
      <c r="L411" s="46">
        <f>H411+J411-K411</f>
        <v/>
      </c>
      <c r="M411" s="46" t="n">
        <v>732050</v>
      </c>
      <c r="N411" s="46" t="n">
        <v>0</v>
      </c>
      <c r="O411" s="46">
        <f>MAX(0,M411-N411-L411)</f>
        <v/>
      </c>
      <c r="P411" s="46">
        <f>MAX(0,L411-(M411-N411))</f>
        <v/>
      </c>
      <c r="Q411" s="45" t="inlineStr">
        <is>
          <t>30/09/2028</t>
        </is>
      </c>
      <c r="R411" s="45" t="inlineStr">
        <is>
          <t>PT2028-00408</t>
        </is>
      </c>
      <c r="S411" s="45" t="inlineStr"/>
    </row>
    <row r="412">
      <c r="A412" s="45" t="inlineStr">
        <is>
          <t>251210916</t>
        </is>
      </c>
      <c r="B412" s="45" t="inlineStr">
        <is>
          <t>NGUYỄN VĂN MẠNH</t>
        </is>
      </c>
      <c r="C412" s="45" t="inlineStr">
        <is>
          <t>Công nghệ thông tin 2 K66</t>
        </is>
      </c>
      <c r="D412" s="45" t="inlineStr">
        <is>
          <t>Năm 1</t>
        </is>
      </c>
      <c r="E412" s="45" t="inlineStr">
        <is>
          <t>2025_2026</t>
        </is>
      </c>
      <c r="F412" s="45" t="n">
        <v>4</v>
      </c>
      <c r="G412" s="46">
        <f>VLOOKUP(D412,'Cấu Hình Học Phí'!$A$8:$B$11,2,FALSE)</f>
        <v/>
      </c>
      <c r="H412" s="46">
        <f>F412*G412</f>
        <v/>
      </c>
      <c r="I412" s="45" t="n">
        <v>0</v>
      </c>
      <c r="J412" s="46">
        <f>I412*'Cấu Hình Học Phí'!$B$5</f>
        <v/>
      </c>
      <c r="K412" s="46" t="n">
        <v>0</v>
      </c>
      <c r="L412" s="46">
        <f>H412+J412-K412</f>
        <v/>
      </c>
      <c r="M412" s="46" t="n">
        <v>2200000</v>
      </c>
      <c r="N412" s="46" t="n">
        <v>0</v>
      </c>
      <c r="O412" s="46">
        <f>MAX(0,M412-N412-L412)</f>
        <v/>
      </c>
      <c r="P412" s="46">
        <f>MAX(0,L412-(M412-N412))</f>
        <v/>
      </c>
      <c r="Q412" s="45" t="inlineStr">
        <is>
          <t>30/09/2025</t>
        </is>
      </c>
      <c r="R412" s="45" t="inlineStr">
        <is>
          <t>PT2025-00409</t>
        </is>
      </c>
      <c r="S412" s="45" t="inlineStr"/>
    </row>
    <row r="413">
      <c r="A413" s="45" t="inlineStr">
        <is>
          <t>251210916</t>
        </is>
      </c>
      <c r="B413" s="45" t="inlineStr">
        <is>
          <t>NGUYỄN VĂN MẠNH</t>
        </is>
      </c>
      <c r="C413" s="45" t="inlineStr">
        <is>
          <t>Công nghệ thông tin 2 K66</t>
        </is>
      </c>
      <c r="D413" s="45" t="inlineStr">
        <is>
          <t>Năm 2</t>
        </is>
      </c>
      <c r="E413" s="45" t="inlineStr">
        <is>
          <t>2026_2027</t>
        </is>
      </c>
      <c r="F413" s="45" t="n">
        <v>4</v>
      </c>
      <c r="G413" s="46">
        <f>VLOOKUP(D413,'Cấu Hình Học Phí'!$A$8:$B$11,2,FALSE)</f>
        <v/>
      </c>
      <c r="H413" s="46">
        <f>F413*G413</f>
        <v/>
      </c>
      <c r="I413" s="45" t="n">
        <v>0</v>
      </c>
      <c r="J413" s="46">
        <f>I413*'Cấu Hình Học Phí'!$B$5</f>
        <v/>
      </c>
      <c r="K413" s="46" t="n">
        <v>0</v>
      </c>
      <c r="L413" s="46">
        <f>H413+J413-K413</f>
        <v/>
      </c>
      <c r="M413" s="46" t="n">
        <v>2420000</v>
      </c>
      <c r="N413" s="46" t="n">
        <v>0</v>
      </c>
      <c r="O413" s="46">
        <f>MAX(0,M413-N413-L413)</f>
        <v/>
      </c>
      <c r="P413" s="46">
        <f>MAX(0,L413-(M413-N413))</f>
        <v/>
      </c>
      <c r="Q413" s="45" t="inlineStr">
        <is>
          <t>30/09/2026</t>
        </is>
      </c>
      <c r="R413" s="45" t="inlineStr">
        <is>
          <t>PT2026-00410</t>
        </is>
      </c>
      <c r="S413" s="45" t="inlineStr"/>
    </row>
    <row r="414">
      <c r="A414" s="45" t="inlineStr">
        <is>
          <t>251210916</t>
        </is>
      </c>
      <c r="B414" s="45" t="inlineStr">
        <is>
          <t>NGUYỄN VĂN MẠNH</t>
        </is>
      </c>
      <c r="C414" s="45" t="inlineStr">
        <is>
          <t>Công nghệ thông tin 2 K66</t>
        </is>
      </c>
      <c r="D414" s="45" t="inlineStr">
        <is>
          <t>Năm 3</t>
        </is>
      </c>
      <c r="E414" s="45" t="inlineStr">
        <is>
          <t>2027_2028</t>
        </is>
      </c>
      <c r="F414" s="45" t="n">
        <v>4</v>
      </c>
      <c r="G414" s="46">
        <f>VLOOKUP(D414,'Cấu Hình Học Phí'!$A$8:$B$11,2,FALSE)</f>
        <v/>
      </c>
      <c r="H414" s="46">
        <f>F414*G414</f>
        <v/>
      </c>
      <c r="I414" s="45" t="n">
        <v>0</v>
      </c>
      <c r="J414" s="46">
        <f>I414*'Cấu Hình Học Phí'!$B$5</f>
        <v/>
      </c>
      <c r="K414" s="46" t="n">
        <v>0</v>
      </c>
      <c r="L414" s="46">
        <f>H414+J414-K414</f>
        <v/>
      </c>
      <c r="M414" s="46" t="n">
        <v>2662000</v>
      </c>
      <c r="N414" s="46" t="n">
        <v>0</v>
      </c>
      <c r="O414" s="46">
        <f>MAX(0,M414-N414-L414)</f>
        <v/>
      </c>
      <c r="P414" s="46">
        <f>MAX(0,L414-(M414-N414))</f>
        <v/>
      </c>
      <c r="Q414" s="45" t="inlineStr">
        <is>
          <t>30/09/2027</t>
        </is>
      </c>
      <c r="R414" s="45" t="inlineStr">
        <is>
          <t>PT2027-00411</t>
        </is>
      </c>
      <c r="S414" s="45" t="inlineStr"/>
    </row>
    <row r="415">
      <c r="A415" s="45" t="inlineStr">
        <is>
          <t>251210916</t>
        </is>
      </c>
      <c r="B415" s="45" t="inlineStr">
        <is>
          <t>NGUYỄN VĂN MẠNH</t>
        </is>
      </c>
      <c r="C415" s="45" t="inlineStr">
        <is>
          <t>Công nghệ thông tin 2 K66</t>
        </is>
      </c>
      <c r="D415" s="45" t="inlineStr">
        <is>
          <t>Năm 4</t>
        </is>
      </c>
      <c r="E415" s="45" t="inlineStr">
        <is>
          <t>2028_2029</t>
        </is>
      </c>
      <c r="F415" s="45" t="n">
        <v>1</v>
      </c>
      <c r="G415" s="46">
        <f>VLOOKUP(D415,'Cấu Hình Học Phí'!$A$8:$B$11,2,FALSE)</f>
        <v/>
      </c>
      <c r="H415" s="46">
        <f>F415*G415</f>
        <v/>
      </c>
      <c r="I415" s="45" t="n">
        <v>0</v>
      </c>
      <c r="J415" s="46">
        <f>I415*'Cấu Hình Học Phí'!$B$5</f>
        <v/>
      </c>
      <c r="K415" s="46" t="n">
        <v>0</v>
      </c>
      <c r="L415" s="46">
        <f>H415+J415-K415</f>
        <v/>
      </c>
      <c r="M415" s="46" t="n">
        <v>732050</v>
      </c>
      <c r="N415" s="46" t="n">
        <v>0</v>
      </c>
      <c r="O415" s="46">
        <f>MAX(0,M415-N415-L415)</f>
        <v/>
      </c>
      <c r="P415" s="46">
        <f>MAX(0,L415-(M415-N415))</f>
        <v/>
      </c>
      <c r="Q415" s="45" t="inlineStr">
        <is>
          <t>30/09/2028</t>
        </is>
      </c>
      <c r="R415" s="45" t="inlineStr">
        <is>
          <t>PT2028-00412</t>
        </is>
      </c>
      <c r="S415" s="45" t="inlineStr"/>
    </row>
    <row r="416">
      <c r="A416" s="45" t="inlineStr">
        <is>
          <t>251210919</t>
        </is>
      </c>
      <c r="B416" s="45" t="inlineStr">
        <is>
          <t>VŨ ĐỨC MẠNH</t>
        </is>
      </c>
      <c r="C416" s="45" t="inlineStr">
        <is>
          <t>Công nghệ thông tin 2 K66</t>
        </is>
      </c>
      <c r="D416" s="45" t="inlineStr">
        <is>
          <t>Năm 1</t>
        </is>
      </c>
      <c r="E416" s="45" t="inlineStr">
        <is>
          <t>2025_2026</t>
        </is>
      </c>
      <c r="F416" s="45" t="n">
        <v>4</v>
      </c>
      <c r="G416" s="46">
        <f>VLOOKUP(D416,'Cấu Hình Học Phí'!$A$8:$B$11,2,FALSE)</f>
        <v/>
      </c>
      <c r="H416" s="46">
        <f>F416*G416</f>
        <v/>
      </c>
      <c r="I416" s="45" t="n">
        <v>0</v>
      </c>
      <c r="J416" s="46">
        <f>I416*'Cấu Hình Học Phí'!$B$5</f>
        <v/>
      </c>
      <c r="K416" s="46" t="n">
        <v>0</v>
      </c>
      <c r="L416" s="46">
        <f>H416+J416-K416</f>
        <v/>
      </c>
      <c r="M416" s="46" t="n">
        <v>2200000</v>
      </c>
      <c r="N416" s="46" t="n">
        <v>0</v>
      </c>
      <c r="O416" s="46">
        <f>MAX(0,M416-N416-L416)</f>
        <v/>
      </c>
      <c r="P416" s="46">
        <f>MAX(0,L416-(M416-N416))</f>
        <v/>
      </c>
      <c r="Q416" s="45" t="inlineStr">
        <is>
          <t>30/09/2025</t>
        </is>
      </c>
      <c r="R416" s="45" t="inlineStr">
        <is>
          <t>PT2025-00413</t>
        </is>
      </c>
      <c r="S416" s="45" t="inlineStr"/>
    </row>
    <row r="417">
      <c r="A417" s="45" t="inlineStr">
        <is>
          <t>251210919</t>
        </is>
      </c>
      <c r="B417" s="45" t="inlineStr">
        <is>
          <t>VŨ ĐỨC MẠNH</t>
        </is>
      </c>
      <c r="C417" s="45" t="inlineStr">
        <is>
          <t>Công nghệ thông tin 2 K66</t>
        </is>
      </c>
      <c r="D417" s="45" t="inlineStr">
        <is>
          <t>Năm 2</t>
        </is>
      </c>
      <c r="E417" s="45" t="inlineStr">
        <is>
          <t>2026_2027</t>
        </is>
      </c>
      <c r="F417" s="45" t="n">
        <v>4</v>
      </c>
      <c r="G417" s="46">
        <f>VLOOKUP(D417,'Cấu Hình Học Phí'!$A$8:$B$11,2,FALSE)</f>
        <v/>
      </c>
      <c r="H417" s="46">
        <f>F417*G417</f>
        <v/>
      </c>
      <c r="I417" s="45" t="n">
        <v>0</v>
      </c>
      <c r="J417" s="46">
        <f>I417*'Cấu Hình Học Phí'!$B$5</f>
        <v/>
      </c>
      <c r="K417" s="46" t="n">
        <v>0</v>
      </c>
      <c r="L417" s="46">
        <f>H417+J417-K417</f>
        <v/>
      </c>
      <c r="M417" s="46" t="n">
        <v>2420000</v>
      </c>
      <c r="N417" s="46" t="n">
        <v>0</v>
      </c>
      <c r="O417" s="46">
        <f>MAX(0,M417-N417-L417)</f>
        <v/>
      </c>
      <c r="P417" s="46">
        <f>MAX(0,L417-(M417-N417))</f>
        <v/>
      </c>
      <c r="Q417" s="45" t="inlineStr">
        <is>
          <t>30/09/2026</t>
        </is>
      </c>
      <c r="R417" s="45" t="inlineStr">
        <is>
          <t>PT2026-00414</t>
        </is>
      </c>
      <c r="S417" s="45" t="inlineStr"/>
    </row>
    <row r="418">
      <c r="A418" s="45" t="inlineStr">
        <is>
          <t>251210919</t>
        </is>
      </c>
      <c r="B418" s="45" t="inlineStr">
        <is>
          <t>VŨ ĐỨC MẠNH</t>
        </is>
      </c>
      <c r="C418" s="45" t="inlineStr">
        <is>
          <t>Công nghệ thông tin 2 K66</t>
        </is>
      </c>
      <c r="D418" s="45" t="inlineStr">
        <is>
          <t>Năm 3</t>
        </is>
      </c>
      <c r="E418" s="45" t="inlineStr">
        <is>
          <t>2027_2028</t>
        </is>
      </c>
      <c r="F418" s="45" t="n">
        <v>4</v>
      </c>
      <c r="G418" s="46">
        <f>VLOOKUP(D418,'Cấu Hình Học Phí'!$A$8:$B$11,2,FALSE)</f>
        <v/>
      </c>
      <c r="H418" s="46">
        <f>F418*G418</f>
        <v/>
      </c>
      <c r="I418" s="45" t="n">
        <v>0</v>
      </c>
      <c r="J418" s="46">
        <f>I418*'Cấu Hình Học Phí'!$B$5</f>
        <v/>
      </c>
      <c r="K418" s="46" t="n">
        <v>0</v>
      </c>
      <c r="L418" s="46">
        <f>H418+J418-K418</f>
        <v/>
      </c>
      <c r="M418" s="46" t="n">
        <v>2662000</v>
      </c>
      <c r="N418" s="46" t="n">
        <v>0</v>
      </c>
      <c r="O418" s="46">
        <f>MAX(0,M418-N418-L418)</f>
        <v/>
      </c>
      <c r="P418" s="46">
        <f>MAX(0,L418-(M418-N418))</f>
        <v/>
      </c>
      <c r="Q418" s="45" t="inlineStr">
        <is>
          <t>30/09/2027</t>
        </is>
      </c>
      <c r="R418" s="45" t="inlineStr">
        <is>
          <t>PT2027-00415</t>
        </is>
      </c>
      <c r="S418" s="45" t="inlineStr"/>
    </row>
    <row r="419">
      <c r="A419" s="45" t="inlineStr">
        <is>
          <t>251210919</t>
        </is>
      </c>
      <c r="B419" s="45" t="inlineStr">
        <is>
          <t>VŨ ĐỨC MẠNH</t>
        </is>
      </c>
      <c r="C419" s="45" t="inlineStr">
        <is>
          <t>Công nghệ thông tin 2 K66</t>
        </is>
      </c>
      <c r="D419" s="45" t="inlineStr">
        <is>
          <t>Năm 4</t>
        </is>
      </c>
      <c r="E419" s="45" t="inlineStr">
        <is>
          <t>2028_2029</t>
        </is>
      </c>
      <c r="F419" s="45" t="n">
        <v>1</v>
      </c>
      <c r="G419" s="46">
        <f>VLOOKUP(D419,'Cấu Hình Học Phí'!$A$8:$B$11,2,FALSE)</f>
        <v/>
      </c>
      <c r="H419" s="46">
        <f>F419*G419</f>
        <v/>
      </c>
      <c r="I419" s="45" t="n">
        <v>0</v>
      </c>
      <c r="J419" s="46">
        <f>I419*'Cấu Hình Học Phí'!$B$5</f>
        <v/>
      </c>
      <c r="K419" s="46" t="n">
        <v>0</v>
      </c>
      <c r="L419" s="46">
        <f>H419+J419-K419</f>
        <v/>
      </c>
      <c r="M419" s="46" t="n">
        <v>732050</v>
      </c>
      <c r="N419" s="46" t="n">
        <v>0</v>
      </c>
      <c r="O419" s="46">
        <f>MAX(0,M419-N419-L419)</f>
        <v/>
      </c>
      <c r="P419" s="46">
        <f>MAX(0,L419-(M419-N419))</f>
        <v/>
      </c>
      <c r="Q419" s="45" t="inlineStr">
        <is>
          <t>30/09/2028</t>
        </is>
      </c>
      <c r="R419" s="45" t="inlineStr">
        <is>
          <t>PT2028-00416</t>
        </is>
      </c>
      <c r="S419" s="45" t="inlineStr"/>
    </row>
    <row r="420">
      <c r="A420" s="45" t="inlineStr">
        <is>
          <t>251230926</t>
        </is>
      </c>
      <c r="B420" s="45" t="inlineStr">
        <is>
          <t>TRƯƠNG THỊ LY NA</t>
        </is>
      </c>
      <c r="C420" s="45" t="inlineStr">
        <is>
          <t>Công nghệ thông tin 2 K66</t>
        </is>
      </c>
      <c r="D420" s="45" t="inlineStr">
        <is>
          <t>Năm 1</t>
        </is>
      </c>
      <c r="E420" s="45" t="inlineStr">
        <is>
          <t>2025_2026</t>
        </is>
      </c>
      <c r="F420" s="45" t="n">
        <v>4</v>
      </c>
      <c r="G420" s="46">
        <f>VLOOKUP(D420,'Cấu Hình Học Phí'!$A$8:$B$11,2,FALSE)</f>
        <v/>
      </c>
      <c r="H420" s="46">
        <f>F420*G420</f>
        <v/>
      </c>
      <c r="I420" s="45" t="n">
        <v>1</v>
      </c>
      <c r="J420" s="46">
        <f>I420*'Cấu Hình Học Phí'!$B$5</f>
        <v/>
      </c>
      <c r="K420" s="46" t="n">
        <v>0</v>
      </c>
      <c r="L420" s="46">
        <f>H420+J420-K420</f>
        <v/>
      </c>
      <c r="M420" s="46" t="n">
        <v>2200000</v>
      </c>
      <c r="N420" s="46" t="n">
        <v>0</v>
      </c>
      <c r="O420" s="46">
        <f>MAX(0,M420-N420-L420)</f>
        <v/>
      </c>
      <c r="P420" s="46">
        <f>MAX(0,L420-(M420-N420))</f>
        <v/>
      </c>
      <c r="Q420" s="45" t="inlineStr">
        <is>
          <t>30/09/2025</t>
        </is>
      </c>
      <c r="R420" s="45" t="inlineStr">
        <is>
          <t>PT2025-00417</t>
        </is>
      </c>
      <c r="S420" s="45" t="inlineStr">
        <is>
          <t>Chưa nộp phí phụ đạo 1 môn</t>
        </is>
      </c>
    </row>
    <row r="421">
      <c r="A421" s="45" t="inlineStr">
        <is>
          <t>251230926</t>
        </is>
      </c>
      <c r="B421" s="45" t="inlineStr">
        <is>
          <t>TRƯƠNG THỊ LY NA</t>
        </is>
      </c>
      <c r="C421" s="45" t="inlineStr">
        <is>
          <t>Công nghệ thông tin 2 K66</t>
        </is>
      </c>
      <c r="D421" s="45" t="inlineStr">
        <is>
          <t>Năm 2</t>
        </is>
      </c>
      <c r="E421" s="45" t="inlineStr">
        <is>
          <t>2026_2027</t>
        </is>
      </c>
      <c r="F421" s="45" t="n">
        <v>4</v>
      </c>
      <c r="G421" s="46">
        <f>VLOOKUP(D421,'Cấu Hình Học Phí'!$A$8:$B$11,2,FALSE)</f>
        <v/>
      </c>
      <c r="H421" s="46">
        <f>F421*G421</f>
        <v/>
      </c>
      <c r="I421" s="45" t="n">
        <v>2</v>
      </c>
      <c r="J421" s="46">
        <f>I421*'Cấu Hình Học Phí'!$B$5</f>
        <v/>
      </c>
      <c r="K421" s="46" t="n">
        <v>0</v>
      </c>
      <c r="L421" s="46">
        <f>H421+J421-K421</f>
        <v/>
      </c>
      <c r="M421" s="46" t="n">
        <v>3420000</v>
      </c>
      <c r="N421" s="46" t="n">
        <v>0</v>
      </c>
      <c r="O421" s="46">
        <f>MAX(0,M421-N421-L421)</f>
        <v/>
      </c>
      <c r="P421" s="46">
        <f>MAX(0,L421-(M421-N421))</f>
        <v/>
      </c>
      <c r="Q421" s="45" t="inlineStr">
        <is>
          <t>30/09/2026</t>
        </is>
      </c>
      <c r="R421" s="45" t="inlineStr">
        <is>
          <t>PT2026-00418</t>
        </is>
      </c>
      <c r="S421" s="45" t="inlineStr">
        <is>
          <t>Chưa nộp phí phụ đạo 1 môn</t>
        </is>
      </c>
    </row>
    <row r="422">
      <c r="A422" s="45" t="inlineStr">
        <is>
          <t>251230926</t>
        </is>
      </c>
      <c r="B422" s="45" t="inlineStr">
        <is>
          <t>TRƯƠNG THỊ LY NA</t>
        </is>
      </c>
      <c r="C422" s="45" t="inlineStr">
        <is>
          <t>Công nghệ thông tin 2 K66</t>
        </is>
      </c>
      <c r="D422" s="45" t="inlineStr">
        <is>
          <t>Năm 3</t>
        </is>
      </c>
      <c r="E422" s="45" t="inlineStr">
        <is>
          <t>2027_2028</t>
        </is>
      </c>
      <c r="F422" s="45" t="n">
        <v>4</v>
      </c>
      <c r="G422" s="46">
        <f>VLOOKUP(D422,'Cấu Hình Học Phí'!$A$8:$B$11,2,FALSE)</f>
        <v/>
      </c>
      <c r="H422" s="46">
        <f>F422*G422</f>
        <v/>
      </c>
      <c r="I422" s="45" t="n">
        <v>1</v>
      </c>
      <c r="J422" s="46">
        <f>I422*'Cấu Hình Học Phí'!$B$5</f>
        <v/>
      </c>
      <c r="K422" s="46" t="n">
        <v>0</v>
      </c>
      <c r="L422" s="46">
        <f>H422+J422-K422</f>
        <v/>
      </c>
      <c r="M422" s="46" t="n">
        <v>2662000</v>
      </c>
      <c r="N422" s="46" t="n">
        <v>0</v>
      </c>
      <c r="O422" s="46">
        <f>MAX(0,M422-N422-L422)</f>
        <v/>
      </c>
      <c r="P422" s="46">
        <f>MAX(0,L422-(M422-N422))</f>
        <v/>
      </c>
      <c r="Q422" s="45" t="inlineStr">
        <is>
          <t>30/09/2027</t>
        </is>
      </c>
      <c r="R422" s="45" t="inlineStr">
        <is>
          <t>PT2027-00419</t>
        </is>
      </c>
      <c r="S422" s="45" t="inlineStr">
        <is>
          <t>Chưa nộp phí phụ đạo 1 môn</t>
        </is>
      </c>
    </row>
    <row r="423">
      <c r="A423" s="45" t="inlineStr">
        <is>
          <t>251230926</t>
        </is>
      </c>
      <c r="B423" s="45" t="inlineStr">
        <is>
          <t>TRƯƠNG THỊ LY NA</t>
        </is>
      </c>
      <c r="C423" s="45" t="inlineStr">
        <is>
          <t>Công nghệ thông tin 2 K66</t>
        </is>
      </c>
      <c r="D423" s="45" t="inlineStr">
        <is>
          <t>Năm 4</t>
        </is>
      </c>
      <c r="E423" s="45" t="inlineStr">
        <is>
          <t>2028_2029</t>
        </is>
      </c>
      <c r="F423" s="45" t="n">
        <v>1</v>
      </c>
      <c r="G423" s="46">
        <f>VLOOKUP(D423,'Cấu Hình Học Phí'!$A$8:$B$11,2,FALSE)</f>
        <v/>
      </c>
      <c r="H423" s="46">
        <f>F423*G423</f>
        <v/>
      </c>
      <c r="I423" s="45" t="n">
        <v>0</v>
      </c>
      <c r="J423" s="46">
        <f>I423*'Cấu Hình Học Phí'!$B$5</f>
        <v/>
      </c>
      <c r="K423" s="46" t="n">
        <v>0</v>
      </c>
      <c r="L423" s="46">
        <f>H423+J423-K423</f>
        <v/>
      </c>
      <c r="M423" s="46" t="n">
        <v>732050</v>
      </c>
      <c r="N423" s="46" t="n">
        <v>0</v>
      </c>
      <c r="O423" s="46">
        <f>MAX(0,M423-N423-L423)</f>
        <v/>
      </c>
      <c r="P423" s="46">
        <f>MAX(0,L423-(M423-N423))</f>
        <v/>
      </c>
      <c r="Q423" s="45" t="inlineStr">
        <is>
          <t>30/09/2028</t>
        </is>
      </c>
      <c r="R423" s="45" t="inlineStr">
        <is>
          <t>PT2028-00420</t>
        </is>
      </c>
      <c r="S423" s="45" t="inlineStr"/>
    </row>
    <row r="424">
      <c r="A424" s="45" t="inlineStr">
        <is>
          <t>251230928</t>
        </is>
      </c>
      <c r="B424" s="45" t="inlineStr">
        <is>
          <t>NGUYỄN ĐỨC NAM</t>
        </is>
      </c>
      <c r="C424" s="45" t="inlineStr">
        <is>
          <t>Công nghệ thông tin 2 K66</t>
        </is>
      </c>
      <c r="D424" s="45" t="inlineStr">
        <is>
          <t>Năm 1</t>
        </is>
      </c>
      <c r="E424" s="45" t="inlineStr">
        <is>
          <t>2025_2026</t>
        </is>
      </c>
      <c r="F424" s="45" t="n">
        <v>4</v>
      </c>
      <c r="G424" s="46">
        <f>VLOOKUP(D424,'Cấu Hình Học Phí'!$A$8:$B$11,2,FALSE)</f>
        <v/>
      </c>
      <c r="H424" s="46">
        <f>F424*G424</f>
        <v/>
      </c>
      <c r="I424" s="45" t="n">
        <v>0</v>
      </c>
      <c r="J424" s="46">
        <f>I424*'Cấu Hình Học Phí'!$B$5</f>
        <v/>
      </c>
      <c r="K424" s="46" t="n">
        <v>0</v>
      </c>
      <c r="L424" s="46">
        <f>H424+J424-K424</f>
        <v/>
      </c>
      <c r="M424" s="46" t="n">
        <v>2200000</v>
      </c>
      <c r="N424" s="46" t="n">
        <v>0</v>
      </c>
      <c r="O424" s="46">
        <f>MAX(0,M424-N424-L424)</f>
        <v/>
      </c>
      <c r="P424" s="46">
        <f>MAX(0,L424-(M424-N424))</f>
        <v/>
      </c>
      <c r="Q424" s="45" t="inlineStr">
        <is>
          <t>30/09/2025</t>
        </is>
      </c>
      <c r="R424" s="45" t="inlineStr">
        <is>
          <t>PT2025-00421</t>
        </is>
      </c>
      <c r="S424" s="45" t="inlineStr"/>
    </row>
    <row r="425">
      <c r="A425" s="45" t="inlineStr">
        <is>
          <t>251230928</t>
        </is>
      </c>
      <c r="B425" s="45" t="inlineStr">
        <is>
          <t>NGUYỄN ĐỨC NAM</t>
        </is>
      </c>
      <c r="C425" s="45" t="inlineStr">
        <is>
          <t>Công nghệ thông tin 2 K66</t>
        </is>
      </c>
      <c r="D425" s="45" t="inlineStr">
        <is>
          <t>Năm 2</t>
        </is>
      </c>
      <c r="E425" s="45" t="inlineStr">
        <is>
          <t>2026_2027</t>
        </is>
      </c>
      <c r="F425" s="45" t="n">
        <v>4</v>
      </c>
      <c r="G425" s="46">
        <f>VLOOKUP(D425,'Cấu Hình Học Phí'!$A$8:$B$11,2,FALSE)</f>
        <v/>
      </c>
      <c r="H425" s="46">
        <f>F425*G425</f>
        <v/>
      </c>
      <c r="I425" s="45" t="n">
        <v>0</v>
      </c>
      <c r="J425" s="46">
        <f>I425*'Cấu Hình Học Phí'!$B$5</f>
        <v/>
      </c>
      <c r="K425" s="46" t="n">
        <v>0</v>
      </c>
      <c r="L425" s="46">
        <f>H425+J425-K425</f>
        <v/>
      </c>
      <c r="M425" s="46" t="n">
        <v>2420000</v>
      </c>
      <c r="N425" s="46" t="n">
        <v>0</v>
      </c>
      <c r="O425" s="46">
        <f>MAX(0,M425-N425-L425)</f>
        <v/>
      </c>
      <c r="P425" s="46">
        <f>MAX(0,L425-(M425-N425))</f>
        <v/>
      </c>
      <c r="Q425" s="45" t="inlineStr">
        <is>
          <t>30/09/2026</t>
        </is>
      </c>
      <c r="R425" s="45" t="inlineStr">
        <is>
          <t>PT2026-00422</t>
        </is>
      </c>
      <c r="S425" s="45" t="inlineStr"/>
    </row>
    <row r="426">
      <c r="A426" s="45" t="inlineStr">
        <is>
          <t>251230928</t>
        </is>
      </c>
      <c r="B426" s="45" t="inlineStr">
        <is>
          <t>NGUYỄN ĐỨC NAM</t>
        </is>
      </c>
      <c r="C426" s="45" t="inlineStr">
        <is>
          <t>Công nghệ thông tin 2 K66</t>
        </is>
      </c>
      <c r="D426" s="45" t="inlineStr">
        <is>
          <t>Năm 3</t>
        </is>
      </c>
      <c r="E426" s="45" t="inlineStr">
        <is>
          <t>2027_2028</t>
        </is>
      </c>
      <c r="F426" s="45" t="n">
        <v>4</v>
      </c>
      <c r="G426" s="46">
        <f>VLOOKUP(D426,'Cấu Hình Học Phí'!$A$8:$B$11,2,FALSE)</f>
        <v/>
      </c>
      <c r="H426" s="46">
        <f>F426*G426</f>
        <v/>
      </c>
      <c r="I426" s="45" t="n">
        <v>0</v>
      </c>
      <c r="J426" s="46">
        <f>I426*'Cấu Hình Học Phí'!$B$5</f>
        <v/>
      </c>
      <c r="K426" s="46" t="n">
        <v>0</v>
      </c>
      <c r="L426" s="46">
        <f>H426+J426-K426</f>
        <v/>
      </c>
      <c r="M426" s="46" t="n">
        <v>2662000</v>
      </c>
      <c r="N426" s="46" t="n">
        <v>0</v>
      </c>
      <c r="O426" s="46">
        <f>MAX(0,M426-N426-L426)</f>
        <v/>
      </c>
      <c r="P426" s="46">
        <f>MAX(0,L426-(M426-N426))</f>
        <v/>
      </c>
      <c r="Q426" s="45" t="inlineStr">
        <is>
          <t>30/09/2027</t>
        </is>
      </c>
      <c r="R426" s="45" t="inlineStr">
        <is>
          <t>PT2027-00423</t>
        </is>
      </c>
      <c r="S426" s="45" t="inlineStr"/>
    </row>
    <row r="427">
      <c r="A427" s="45" t="inlineStr">
        <is>
          <t>251230928</t>
        </is>
      </c>
      <c r="B427" s="45" t="inlineStr">
        <is>
          <t>NGUYỄN ĐỨC NAM</t>
        </is>
      </c>
      <c r="C427" s="45" t="inlineStr">
        <is>
          <t>Công nghệ thông tin 2 K66</t>
        </is>
      </c>
      <c r="D427" s="45" t="inlineStr">
        <is>
          <t>Năm 4</t>
        </is>
      </c>
      <c r="E427" s="45" t="inlineStr">
        <is>
          <t>2028_2029</t>
        </is>
      </c>
      <c r="F427" s="45" t="n">
        <v>1</v>
      </c>
      <c r="G427" s="46">
        <f>VLOOKUP(D427,'Cấu Hình Học Phí'!$A$8:$B$11,2,FALSE)</f>
        <v/>
      </c>
      <c r="H427" s="46">
        <f>F427*G427</f>
        <v/>
      </c>
      <c r="I427" s="45" t="n">
        <v>0</v>
      </c>
      <c r="J427" s="46">
        <f>I427*'Cấu Hình Học Phí'!$B$5</f>
        <v/>
      </c>
      <c r="K427" s="46" t="n">
        <v>0</v>
      </c>
      <c r="L427" s="46">
        <f>H427+J427-K427</f>
        <v/>
      </c>
      <c r="M427" s="46" t="n">
        <v>732050</v>
      </c>
      <c r="N427" s="46" t="n">
        <v>0</v>
      </c>
      <c r="O427" s="46">
        <f>MAX(0,M427-N427-L427)</f>
        <v/>
      </c>
      <c r="P427" s="46">
        <f>MAX(0,L427-(M427-N427))</f>
        <v/>
      </c>
      <c r="Q427" s="45" t="inlineStr">
        <is>
          <t>30/09/2028</t>
        </is>
      </c>
      <c r="R427" s="45" t="inlineStr">
        <is>
          <t>PT2028-00424</t>
        </is>
      </c>
      <c r="S427" s="45" t="inlineStr"/>
    </row>
    <row r="428">
      <c r="A428" s="45" t="inlineStr">
        <is>
          <t>251230930</t>
        </is>
      </c>
      <c r="B428" s="45" t="inlineStr">
        <is>
          <t>NGUYỄN PHƯƠNG NAM</t>
        </is>
      </c>
      <c r="C428" s="45" t="inlineStr">
        <is>
          <t>Công nghệ thông tin 2 K66</t>
        </is>
      </c>
      <c r="D428" s="45" t="inlineStr">
        <is>
          <t>Năm 1</t>
        </is>
      </c>
      <c r="E428" s="45" t="inlineStr">
        <is>
          <t>2025_2026</t>
        </is>
      </c>
      <c r="F428" s="45" t="n">
        <v>4</v>
      </c>
      <c r="G428" s="46">
        <f>VLOOKUP(D428,'Cấu Hình Học Phí'!$A$8:$B$11,2,FALSE)</f>
        <v/>
      </c>
      <c r="H428" s="46">
        <f>F428*G428</f>
        <v/>
      </c>
      <c r="I428" s="45" t="n">
        <v>0</v>
      </c>
      <c r="J428" s="46">
        <f>I428*'Cấu Hình Học Phí'!$B$5</f>
        <v/>
      </c>
      <c r="K428" s="46" t="n">
        <v>0</v>
      </c>
      <c r="L428" s="46">
        <f>H428+J428-K428</f>
        <v/>
      </c>
      <c r="M428" s="46" t="n">
        <v>2200000</v>
      </c>
      <c r="N428" s="46" t="n">
        <v>0</v>
      </c>
      <c r="O428" s="46">
        <f>MAX(0,M428-N428-L428)</f>
        <v/>
      </c>
      <c r="P428" s="46">
        <f>MAX(0,L428-(M428-N428))</f>
        <v/>
      </c>
      <c r="Q428" s="45" t="inlineStr">
        <is>
          <t>30/09/2025</t>
        </is>
      </c>
      <c r="R428" s="45" t="inlineStr">
        <is>
          <t>PT2025-00425</t>
        </is>
      </c>
      <c r="S428" s="45" t="inlineStr"/>
    </row>
    <row r="429">
      <c r="A429" s="45" t="inlineStr">
        <is>
          <t>251230930</t>
        </is>
      </c>
      <c r="B429" s="45" t="inlineStr">
        <is>
          <t>NGUYỄN PHƯƠNG NAM</t>
        </is>
      </c>
      <c r="C429" s="45" t="inlineStr">
        <is>
          <t>Công nghệ thông tin 2 K66</t>
        </is>
      </c>
      <c r="D429" s="45" t="inlineStr">
        <is>
          <t>Năm 2</t>
        </is>
      </c>
      <c r="E429" s="45" t="inlineStr">
        <is>
          <t>2026_2027</t>
        </is>
      </c>
      <c r="F429" s="45" t="n">
        <v>4</v>
      </c>
      <c r="G429" s="46">
        <f>VLOOKUP(D429,'Cấu Hình Học Phí'!$A$8:$B$11,2,FALSE)</f>
        <v/>
      </c>
      <c r="H429" s="46">
        <f>F429*G429</f>
        <v/>
      </c>
      <c r="I429" s="45" t="n">
        <v>0</v>
      </c>
      <c r="J429" s="46">
        <f>I429*'Cấu Hình Học Phí'!$B$5</f>
        <v/>
      </c>
      <c r="K429" s="46" t="n">
        <v>0</v>
      </c>
      <c r="L429" s="46">
        <f>H429+J429-K429</f>
        <v/>
      </c>
      <c r="M429" s="46" t="n">
        <v>2420000</v>
      </c>
      <c r="N429" s="46" t="n">
        <v>0</v>
      </c>
      <c r="O429" s="46">
        <f>MAX(0,M429-N429-L429)</f>
        <v/>
      </c>
      <c r="P429" s="46">
        <f>MAX(0,L429-(M429-N429))</f>
        <v/>
      </c>
      <c r="Q429" s="45" t="inlineStr">
        <is>
          <t>30/09/2026</t>
        </is>
      </c>
      <c r="R429" s="45" t="inlineStr">
        <is>
          <t>PT2026-00426</t>
        </is>
      </c>
      <c r="S429" s="45" t="inlineStr"/>
    </row>
    <row r="430">
      <c r="A430" s="45" t="inlineStr">
        <is>
          <t>251230930</t>
        </is>
      </c>
      <c r="B430" s="45" t="inlineStr">
        <is>
          <t>NGUYỄN PHƯƠNG NAM</t>
        </is>
      </c>
      <c r="C430" s="45" t="inlineStr">
        <is>
          <t>Công nghệ thông tin 2 K66</t>
        </is>
      </c>
      <c r="D430" s="45" t="inlineStr">
        <is>
          <t>Năm 3</t>
        </is>
      </c>
      <c r="E430" s="45" t="inlineStr">
        <is>
          <t>2027_2028</t>
        </is>
      </c>
      <c r="F430" s="45" t="n">
        <v>4</v>
      </c>
      <c r="G430" s="46">
        <f>VLOOKUP(D430,'Cấu Hình Học Phí'!$A$8:$B$11,2,FALSE)</f>
        <v/>
      </c>
      <c r="H430" s="46">
        <f>F430*G430</f>
        <v/>
      </c>
      <c r="I430" s="45" t="n">
        <v>0</v>
      </c>
      <c r="J430" s="46">
        <f>I430*'Cấu Hình Học Phí'!$B$5</f>
        <v/>
      </c>
      <c r="K430" s="46" t="n">
        <v>0</v>
      </c>
      <c r="L430" s="46">
        <f>H430+J430-K430</f>
        <v/>
      </c>
      <c r="M430" s="46" t="n">
        <v>2662000</v>
      </c>
      <c r="N430" s="46" t="n">
        <v>0</v>
      </c>
      <c r="O430" s="46">
        <f>MAX(0,M430-N430-L430)</f>
        <v/>
      </c>
      <c r="P430" s="46">
        <f>MAX(0,L430-(M430-N430))</f>
        <v/>
      </c>
      <c r="Q430" s="45" t="inlineStr">
        <is>
          <t>30/09/2027</t>
        </is>
      </c>
      <c r="R430" s="45" t="inlineStr">
        <is>
          <t>PT2027-00427</t>
        </is>
      </c>
      <c r="S430" s="45" t="inlineStr"/>
    </row>
    <row r="431">
      <c r="A431" s="45" t="inlineStr">
        <is>
          <t>251230930</t>
        </is>
      </c>
      <c r="B431" s="45" t="inlineStr">
        <is>
          <t>NGUYỄN PHƯƠNG NAM</t>
        </is>
      </c>
      <c r="C431" s="45" t="inlineStr">
        <is>
          <t>Công nghệ thông tin 2 K66</t>
        </is>
      </c>
      <c r="D431" s="45" t="inlineStr">
        <is>
          <t>Năm 4</t>
        </is>
      </c>
      <c r="E431" s="45" t="inlineStr">
        <is>
          <t>2028_2029</t>
        </is>
      </c>
      <c r="F431" s="45" t="n">
        <v>1</v>
      </c>
      <c r="G431" s="46">
        <f>VLOOKUP(D431,'Cấu Hình Học Phí'!$A$8:$B$11,2,FALSE)</f>
        <v/>
      </c>
      <c r="H431" s="46">
        <f>F431*G431</f>
        <v/>
      </c>
      <c r="I431" s="45" t="n">
        <v>0</v>
      </c>
      <c r="J431" s="46">
        <f>I431*'Cấu Hình Học Phí'!$B$5</f>
        <v/>
      </c>
      <c r="K431" s="46" t="n">
        <v>0</v>
      </c>
      <c r="L431" s="46">
        <f>H431+J431-K431</f>
        <v/>
      </c>
      <c r="M431" s="46" t="n">
        <v>732050</v>
      </c>
      <c r="N431" s="46" t="n">
        <v>0</v>
      </c>
      <c r="O431" s="46">
        <f>MAX(0,M431-N431-L431)</f>
        <v/>
      </c>
      <c r="P431" s="46">
        <f>MAX(0,L431-(M431-N431))</f>
        <v/>
      </c>
      <c r="Q431" s="45" t="inlineStr">
        <is>
          <t>30/09/2028</t>
        </is>
      </c>
      <c r="R431" s="45" t="inlineStr">
        <is>
          <t>PT2028-00428</t>
        </is>
      </c>
      <c r="S431" s="45" t="inlineStr"/>
    </row>
    <row r="432">
      <c r="A432" s="45" t="inlineStr">
        <is>
          <t>251230931</t>
        </is>
      </c>
      <c r="B432" s="45" t="inlineStr">
        <is>
          <t>TRẦN ĐÌNH NAM</t>
        </is>
      </c>
      <c r="C432" s="45" t="inlineStr">
        <is>
          <t>Công nghệ thông tin 2 K66</t>
        </is>
      </c>
      <c r="D432" s="45" t="inlineStr">
        <is>
          <t>Năm 1</t>
        </is>
      </c>
      <c r="E432" s="45" t="inlineStr">
        <is>
          <t>2025_2026</t>
        </is>
      </c>
      <c r="F432" s="45" t="n">
        <v>4</v>
      </c>
      <c r="G432" s="46">
        <f>VLOOKUP(D432,'Cấu Hình Học Phí'!$A$8:$B$11,2,FALSE)</f>
        <v/>
      </c>
      <c r="H432" s="46">
        <f>F432*G432</f>
        <v/>
      </c>
      <c r="I432" s="45" t="n">
        <v>1</v>
      </c>
      <c r="J432" s="46">
        <f>I432*'Cấu Hình Học Phí'!$B$5</f>
        <v/>
      </c>
      <c r="K432" s="46" t="n">
        <v>0</v>
      </c>
      <c r="L432" s="46">
        <f>H432+J432-K432</f>
        <v/>
      </c>
      <c r="M432" s="46" t="n">
        <v>3200000</v>
      </c>
      <c r="N432" s="46" t="n">
        <v>0</v>
      </c>
      <c r="O432" s="46">
        <f>MAX(0,M432-N432-L432)</f>
        <v/>
      </c>
      <c r="P432" s="46">
        <f>MAX(0,L432-(M432-N432))</f>
        <v/>
      </c>
      <c r="Q432" s="45" t="inlineStr">
        <is>
          <t>30/09/2025</t>
        </is>
      </c>
      <c r="R432" s="45" t="inlineStr">
        <is>
          <t>PT2025-00429</t>
        </is>
      </c>
      <c r="S432" s="45" t="inlineStr"/>
    </row>
    <row r="433">
      <c r="A433" s="45" t="inlineStr">
        <is>
          <t>251230931</t>
        </is>
      </c>
      <c r="B433" s="45" t="inlineStr">
        <is>
          <t>TRẦN ĐÌNH NAM</t>
        </is>
      </c>
      <c r="C433" s="45" t="inlineStr">
        <is>
          <t>Công nghệ thông tin 2 K66</t>
        </is>
      </c>
      <c r="D433" s="45" t="inlineStr">
        <is>
          <t>Năm 2</t>
        </is>
      </c>
      <c r="E433" s="45" t="inlineStr">
        <is>
          <t>2026_2027</t>
        </is>
      </c>
      <c r="F433" s="45" t="n">
        <v>4</v>
      </c>
      <c r="G433" s="46">
        <f>VLOOKUP(D433,'Cấu Hình Học Phí'!$A$8:$B$11,2,FALSE)</f>
        <v/>
      </c>
      <c r="H433" s="46">
        <f>F433*G433</f>
        <v/>
      </c>
      <c r="I433" s="45" t="n">
        <v>1</v>
      </c>
      <c r="J433" s="46">
        <f>I433*'Cấu Hình Học Phí'!$B$5</f>
        <v/>
      </c>
      <c r="K433" s="46" t="n">
        <v>0</v>
      </c>
      <c r="L433" s="46">
        <f>H433+J433-K433</f>
        <v/>
      </c>
      <c r="M433" s="46" t="n">
        <v>3420000</v>
      </c>
      <c r="N433" s="46" t="n">
        <v>0</v>
      </c>
      <c r="O433" s="46">
        <f>MAX(0,M433-N433-L433)</f>
        <v/>
      </c>
      <c r="P433" s="46">
        <f>MAX(0,L433-(M433-N433))</f>
        <v/>
      </c>
      <c r="Q433" s="45" t="inlineStr">
        <is>
          <t>30/09/2026</t>
        </is>
      </c>
      <c r="R433" s="45" t="inlineStr">
        <is>
          <t>PT2026-00430</t>
        </is>
      </c>
      <c r="S433" s="45" t="inlineStr"/>
    </row>
    <row r="434">
      <c r="A434" s="45" t="inlineStr">
        <is>
          <t>251230931</t>
        </is>
      </c>
      <c r="B434" s="45" t="inlineStr">
        <is>
          <t>TRẦN ĐÌNH NAM</t>
        </is>
      </c>
      <c r="C434" s="45" t="inlineStr">
        <is>
          <t>Công nghệ thông tin 2 K66</t>
        </is>
      </c>
      <c r="D434" s="45" t="inlineStr">
        <is>
          <t>Năm 3</t>
        </is>
      </c>
      <c r="E434" s="45" t="inlineStr">
        <is>
          <t>2027_2028</t>
        </is>
      </c>
      <c r="F434" s="45" t="n">
        <v>4</v>
      </c>
      <c r="G434" s="46">
        <f>VLOOKUP(D434,'Cấu Hình Học Phí'!$A$8:$B$11,2,FALSE)</f>
        <v/>
      </c>
      <c r="H434" s="46">
        <f>F434*G434</f>
        <v/>
      </c>
      <c r="I434" s="45" t="n">
        <v>1</v>
      </c>
      <c r="J434" s="46">
        <f>I434*'Cấu Hình Học Phí'!$B$5</f>
        <v/>
      </c>
      <c r="K434" s="46" t="n">
        <v>0</v>
      </c>
      <c r="L434" s="46">
        <f>H434+J434-K434</f>
        <v/>
      </c>
      <c r="M434" s="46" t="n">
        <v>3662000</v>
      </c>
      <c r="N434" s="46" t="n">
        <v>0</v>
      </c>
      <c r="O434" s="46">
        <f>MAX(0,M434-N434-L434)</f>
        <v/>
      </c>
      <c r="P434" s="46">
        <f>MAX(0,L434-(M434-N434))</f>
        <v/>
      </c>
      <c r="Q434" s="45" t="inlineStr">
        <is>
          <t>30/09/2027</t>
        </is>
      </c>
      <c r="R434" s="45" t="inlineStr">
        <is>
          <t>PT2027-00431</t>
        </is>
      </c>
      <c r="S434" s="45" t="inlineStr"/>
    </row>
    <row r="435">
      <c r="A435" s="45" t="inlineStr">
        <is>
          <t>251230931</t>
        </is>
      </c>
      <c r="B435" s="45" t="inlineStr">
        <is>
          <t>TRẦN ĐÌNH NAM</t>
        </is>
      </c>
      <c r="C435" s="45" t="inlineStr">
        <is>
          <t>Công nghệ thông tin 2 K66</t>
        </is>
      </c>
      <c r="D435" s="45" t="inlineStr">
        <is>
          <t>Năm 4</t>
        </is>
      </c>
      <c r="E435" s="45" t="inlineStr">
        <is>
          <t>2028_2029</t>
        </is>
      </c>
      <c r="F435" s="45" t="n">
        <v>1</v>
      </c>
      <c r="G435" s="46">
        <f>VLOOKUP(D435,'Cấu Hình Học Phí'!$A$8:$B$11,2,FALSE)</f>
        <v/>
      </c>
      <c r="H435" s="46">
        <f>F435*G435</f>
        <v/>
      </c>
      <c r="I435" s="45" t="n">
        <v>0</v>
      </c>
      <c r="J435" s="46">
        <f>I435*'Cấu Hình Học Phí'!$B$5</f>
        <v/>
      </c>
      <c r="K435" s="46" t="n">
        <v>0</v>
      </c>
      <c r="L435" s="46">
        <f>H435+J435-K435</f>
        <v/>
      </c>
      <c r="M435" s="46" t="n">
        <v>732050</v>
      </c>
      <c r="N435" s="46" t="n">
        <v>0</v>
      </c>
      <c r="O435" s="46">
        <f>MAX(0,M435-N435-L435)</f>
        <v/>
      </c>
      <c r="P435" s="46">
        <f>MAX(0,L435-(M435-N435))</f>
        <v/>
      </c>
      <c r="Q435" s="45" t="inlineStr">
        <is>
          <t>30/09/2028</t>
        </is>
      </c>
      <c r="R435" s="45" t="inlineStr">
        <is>
          <t>PT2028-00432</t>
        </is>
      </c>
      <c r="S435" s="45" t="inlineStr"/>
    </row>
    <row r="436">
      <c r="A436" s="45" t="inlineStr">
        <is>
          <t>251210934</t>
        </is>
      </c>
      <c r="B436" s="45" t="inlineStr">
        <is>
          <t>NGUYỄN KHÔI NGUYÊN</t>
        </is>
      </c>
      <c r="C436" s="45" t="inlineStr">
        <is>
          <t>Công nghệ thông tin 2 K66</t>
        </is>
      </c>
      <c r="D436" s="45" t="inlineStr">
        <is>
          <t>Năm 1</t>
        </is>
      </c>
      <c r="E436" s="45" t="inlineStr">
        <is>
          <t>2025_2026</t>
        </is>
      </c>
      <c r="F436" s="45" t="n">
        <v>4</v>
      </c>
      <c r="G436" s="46">
        <f>VLOOKUP(D436,'Cấu Hình Học Phí'!$A$8:$B$11,2,FALSE)</f>
        <v/>
      </c>
      <c r="H436" s="46">
        <f>F436*G436</f>
        <v/>
      </c>
      <c r="I436" s="45" t="n">
        <v>1</v>
      </c>
      <c r="J436" s="46">
        <f>I436*'Cấu Hình Học Phí'!$B$5</f>
        <v/>
      </c>
      <c r="K436" s="46" t="n">
        <v>0</v>
      </c>
      <c r="L436" s="46">
        <f>H436+J436-K436</f>
        <v/>
      </c>
      <c r="M436" s="46" t="n">
        <v>3200000</v>
      </c>
      <c r="N436" s="46" t="n">
        <v>0</v>
      </c>
      <c r="O436" s="46">
        <f>MAX(0,M436-N436-L436)</f>
        <v/>
      </c>
      <c r="P436" s="46">
        <f>MAX(0,L436-(M436-N436))</f>
        <v/>
      </c>
      <c r="Q436" s="45" t="inlineStr">
        <is>
          <t>30/09/2025</t>
        </is>
      </c>
      <c r="R436" s="45" t="inlineStr">
        <is>
          <t>PT2025-00433</t>
        </is>
      </c>
      <c r="S436" s="45" t="inlineStr"/>
    </row>
    <row r="437">
      <c r="A437" s="45" t="inlineStr">
        <is>
          <t>251210934</t>
        </is>
      </c>
      <c r="B437" s="45" t="inlineStr">
        <is>
          <t>NGUYỄN KHÔI NGUYÊN</t>
        </is>
      </c>
      <c r="C437" s="45" t="inlineStr">
        <is>
          <t>Công nghệ thông tin 2 K66</t>
        </is>
      </c>
      <c r="D437" s="45" t="inlineStr">
        <is>
          <t>Năm 2</t>
        </is>
      </c>
      <c r="E437" s="45" t="inlineStr">
        <is>
          <t>2026_2027</t>
        </is>
      </c>
      <c r="F437" s="45" t="n">
        <v>4</v>
      </c>
      <c r="G437" s="46">
        <f>VLOOKUP(D437,'Cấu Hình Học Phí'!$A$8:$B$11,2,FALSE)</f>
        <v/>
      </c>
      <c r="H437" s="46">
        <f>F437*G437</f>
        <v/>
      </c>
      <c r="I437" s="45" t="n">
        <v>0</v>
      </c>
      <c r="J437" s="46">
        <f>I437*'Cấu Hình Học Phí'!$B$5</f>
        <v/>
      </c>
      <c r="K437" s="46" t="n">
        <v>0</v>
      </c>
      <c r="L437" s="46">
        <f>H437+J437-K437</f>
        <v/>
      </c>
      <c r="M437" s="46" t="n">
        <v>2420000</v>
      </c>
      <c r="N437" s="46" t="n">
        <v>0</v>
      </c>
      <c r="O437" s="46">
        <f>MAX(0,M437-N437-L437)</f>
        <v/>
      </c>
      <c r="P437" s="46">
        <f>MAX(0,L437-(M437-N437))</f>
        <v/>
      </c>
      <c r="Q437" s="45" t="inlineStr">
        <is>
          <t>30/09/2026</t>
        </is>
      </c>
      <c r="R437" s="45" t="inlineStr">
        <is>
          <t>PT2026-00434</t>
        </is>
      </c>
      <c r="S437" s="45" t="inlineStr"/>
    </row>
    <row r="438">
      <c r="A438" s="45" t="inlineStr">
        <is>
          <t>251210934</t>
        </is>
      </c>
      <c r="B438" s="45" t="inlineStr">
        <is>
          <t>NGUYỄN KHÔI NGUYÊN</t>
        </is>
      </c>
      <c r="C438" s="45" t="inlineStr">
        <is>
          <t>Công nghệ thông tin 2 K66</t>
        </is>
      </c>
      <c r="D438" s="45" t="inlineStr">
        <is>
          <t>Năm 3</t>
        </is>
      </c>
      <c r="E438" s="45" t="inlineStr">
        <is>
          <t>2027_2028</t>
        </is>
      </c>
      <c r="F438" s="45" t="n">
        <v>4</v>
      </c>
      <c r="G438" s="46">
        <f>VLOOKUP(D438,'Cấu Hình Học Phí'!$A$8:$B$11,2,FALSE)</f>
        <v/>
      </c>
      <c r="H438" s="46">
        <f>F438*G438</f>
        <v/>
      </c>
      <c r="I438" s="45" t="n">
        <v>0</v>
      </c>
      <c r="J438" s="46">
        <f>I438*'Cấu Hình Học Phí'!$B$5</f>
        <v/>
      </c>
      <c r="K438" s="46" t="n">
        <v>0</v>
      </c>
      <c r="L438" s="46">
        <f>H438+J438-K438</f>
        <v/>
      </c>
      <c r="M438" s="46" t="n">
        <v>2662000</v>
      </c>
      <c r="N438" s="46" t="n">
        <v>0</v>
      </c>
      <c r="O438" s="46">
        <f>MAX(0,M438-N438-L438)</f>
        <v/>
      </c>
      <c r="P438" s="46">
        <f>MAX(0,L438-(M438-N438))</f>
        <v/>
      </c>
      <c r="Q438" s="45" t="inlineStr">
        <is>
          <t>30/09/2027</t>
        </is>
      </c>
      <c r="R438" s="45" t="inlineStr">
        <is>
          <t>PT2027-00435</t>
        </is>
      </c>
      <c r="S438" s="45" t="inlineStr"/>
    </row>
    <row r="439">
      <c r="A439" s="45" t="inlineStr">
        <is>
          <t>251210934</t>
        </is>
      </c>
      <c r="B439" s="45" t="inlineStr">
        <is>
          <t>NGUYỄN KHÔI NGUYÊN</t>
        </is>
      </c>
      <c r="C439" s="45" t="inlineStr">
        <is>
          <t>Công nghệ thông tin 2 K66</t>
        </is>
      </c>
      <c r="D439" s="45" t="inlineStr">
        <is>
          <t>Năm 4</t>
        </is>
      </c>
      <c r="E439" s="45" t="inlineStr">
        <is>
          <t>2028_2029</t>
        </is>
      </c>
      <c r="F439" s="45" t="n">
        <v>1</v>
      </c>
      <c r="G439" s="46">
        <f>VLOOKUP(D439,'Cấu Hình Học Phí'!$A$8:$B$11,2,FALSE)</f>
        <v/>
      </c>
      <c r="H439" s="46">
        <f>F439*G439</f>
        <v/>
      </c>
      <c r="I439" s="45" t="n">
        <v>0</v>
      </c>
      <c r="J439" s="46">
        <f>I439*'Cấu Hình Học Phí'!$B$5</f>
        <v/>
      </c>
      <c r="K439" s="46" t="n">
        <v>0</v>
      </c>
      <c r="L439" s="46">
        <f>H439+J439-K439</f>
        <v/>
      </c>
      <c r="M439" s="46" t="n">
        <v>732050</v>
      </c>
      <c r="N439" s="46" t="n">
        <v>0</v>
      </c>
      <c r="O439" s="46">
        <f>MAX(0,M439-N439-L439)</f>
        <v/>
      </c>
      <c r="P439" s="46">
        <f>MAX(0,L439-(M439-N439))</f>
        <v/>
      </c>
      <c r="Q439" s="45" t="inlineStr">
        <is>
          <t>30/09/2028</t>
        </is>
      </c>
      <c r="R439" s="45" t="inlineStr">
        <is>
          <t>PT2028-00436</t>
        </is>
      </c>
      <c r="S439" s="45" t="inlineStr"/>
    </row>
    <row r="440">
      <c r="A440" s="45" t="inlineStr">
        <is>
          <t>251230937</t>
        </is>
      </c>
      <c r="B440" s="45" t="inlineStr">
        <is>
          <t>NGUYỄN HOÀNG NHẬT</t>
        </is>
      </c>
      <c r="C440" s="45" t="inlineStr">
        <is>
          <t>Công nghệ thông tin 2 K66</t>
        </is>
      </c>
      <c r="D440" s="45" t="inlineStr">
        <is>
          <t>Năm 1</t>
        </is>
      </c>
      <c r="E440" s="45" t="inlineStr">
        <is>
          <t>2025_2026</t>
        </is>
      </c>
      <c r="F440" s="45" t="n">
        <v>4</v>
      </c>
      <c r="G440" s="46">
        <f>VLOOKUP(D440,'Cấu Hình Học Phí'!$A$8:$B$11,2,FALSE)</f>
        <v/>
      </c>
      <c r="H440" s="46">
        <f>F440*G440</f>
        <v/>
      </c>
      <c r="I440" s="45" t="n">
        <v>0</v>
      </c>
      <c r="J440" s="46">
        <f>I440*'Cấu Hình Học Phí'!$B$5</f>
        <v/>
      </c>
      <c r="K440" s="46" t="n">
        <v>0</v>
      </c>
      <c r="L440" s="46">
        <f>H440+J440-K440</f>
        <v/>
      </c>
      <c r="M440" s="46" t="n">
        <v>2200000</v>
      </c>
      <c r="N440" s="46" t="n">
        <v>0</v>
      </c>
      <c r="O440" s="46">
        <f>MAX(0,M440-N440-L440)</f>
        <v/>
      </c>
      <c r="P440" s="46">
        <f>MAX(0,L440-(M440-N440))</f>
        <v/>
      </c>
      <c r="Q440" s="45" t="inlineStr">
        <is>
          <t>30/09/2025</t>
        </is>
      </c>
      <c r="R440" s="45" t="inlineStr">
        <is>
          <t>PT2025-00437</t>
        </is>
      </c>
      <c r="S440" s="45" t="inlineStr"/>
    </row>
    <row r="441">
      <c r="A441" s="45" t="inlineStr">
        <is>
          <t>251230937</t>
        </is>
      </c>
      <c r="B441" s="45" t="inlineStr">
        <is>
          <t>NGUYỄN HOÀNG NHẬT</t>
        </is>
      </c>
      <c r="C441" s="45" t="inlineStr">
        <is>
          <t>Công nghệ thông tin 2 K66</t>
        </is>
      </c>
      <c r="D441" s="45" t="inlineStr">
        <is>
          <t>Năm 2</t>
        </is>
      </c>
      <c r="E441" s="45" t="inlineStr">
        <is>
          <t>2026_2027</t>
        </is>
      </c>
      <c r="F441" s="45" t="n">
        <v>4</v>
      </c>
      <c r="G441" s="46">
        <f>VLOOKUP(D441,'Cấu Hình Học Phí'!$A$8:$B$11,2,FALSE)</f>
        <v/>
      </c>
      <c r="H441" s="46">
        <f>F441*G441</f>
        <v/>
      </c>
      <c r="I441" s="45" t="n">
        <v>0</v>
      </c>
      <c r="J441" s="46">
        <f>I441*'Cấu Hình Học Phí'!$B$5</f>
        <v/>
      </c>
      <c r="K441" s="46" t="n">
        <v>0</v>
      </c>
      <c r="L441" s="46">
        <f>H441+J441-K441</f>
        <v/>
      </c>
      <c r="M441" s="46" t="n">
        <v>2420000</v>
      </c>
      <c r="N441" s="46" t="n">
        <v>0</v>
      </c>
      <c r="O441" s="46">
        <f>MAX(0,M441-N441-L441)</f>
        <v/>
      </c>
      <c r="P441" s="46">
        <f>MAX(0,L441-(M441-N441))</f>
        <v/>
      </c>
      <c r="Q441" s="45" t="inlineStr">
        <is>
          <t>30/09/2026</t>
        </is>
      </c>
      <c r="R441" s="45" t="inlineStr">
        <is>
          <t>PT2026-00438</t>
        </is>
      </c>
      <c r="S441" s="45" t="inlineStr"/>
    </row>
    <row r="442">
      <c r="A442" s="45" t="inlineStr">
        <is>
          <t>251230937</t>
        </is>
      </c>
      <c r="B442" s="45" t="inlineStr">
        <is>
          <t>NGUYỄN HOÀNG NHẬT</t>
        </is>
      </c>
      <c r="C442" s="45" t="inlineStr">
        <is>
          <t>Công nghệ thông tin 2 K66</t>
        </is>
      </c>
      <c r="D442" s="45" t="inlineStr">
        <is>
          <t>Năm 3</t>
        </is>
      </c>
      <c r="E442" s="45" t="inlineStr">
        <is>
          <t>2027_2028</t>
        </is>
      </c>
      <c r="F442" s="45" t="n">
        <v>4</v>
      </c>
      <c r="G442" s="46">
        <f>VLOOKUP(D442,'Cấu Hình Học Phí'!$A$8:$B$11,2,FALSE)</f>
        <v/>
      </c>
      <c r="H442" s="46">
        <f>F442*G442</f>
        <v/>
      </c>
      <c r="I442" s="45" t="n">
        <v>0</v>
      </c>
      <c r="J442" s="46">
        <f>I442*'Cấu Hình Học Phí'!$B$5</f>
        <v/>
      </c>
      <c r="K442" s="46" t="n">
        <v>0</v>
      </c>
      <c r="L442" s="46">
        <f>H442+J442-K442</f>
        <v/>
      </c>
      <c r="M442" s="46" t="n">
        <v>2662000</v>
      </c>
      <c r="N442" s="46" t="n">
        <v>0</v>
      </c>
      <c r="O442" s="46">
        <f>MAX(0,M442-N442-L442)</f>
        <v/>
      </c>
      <c r="P442" s="46">
        <f>MAX(0,L442-(M442-N442))</f>
        <v/>
      </c>
      <c r="Q442" s="45" t="inlineStr">
        <is>
          <t>30/09/2027</t>
        </is>
      </c>
      <c r="R442" s="45" t="inlineStr">
        <is>
          <t>PT2027-00439</t>
        </is>
      </c>
      <c r="S442" s="45" t="inlineStr"/>
    </row>
    <row r="443">
      <c r="A443" s="45" t="inlineStr">
        <is>
          <t>251230937</t>
        </is>
      </c>
      <c r="B443" s="45" t="inlineStr">
        <is>
          <t>NGUYỄN HOÀNG NHẬT</t>
        </is>
      </c>
      <c r="C443" s="45" t="inlineStr">
        <is>
          <t>Công nghệ thông tin 2 K66</t>
        </is>
      </c>
      <c r="D443" s="45" t="inlineStr">
        <is>
          <t>Năm 4</t>
        </is>
      </c>
      <c r="E443" s="45" t="inlineStr">
        <is>
          <t>2028_2029</t>
        </is>
      </c>
      <c r="F443" s="45" t="n">
        <v>1</v>
      </c>
      <c r="G443" s="46">
        <f>VLOOKUP(D443,'Cấu Hình Học Phí'!$A$8:$B$11,2,FALSE)</f>
        <v/>
      </c>
      <c r="H443" s="46">
        <f>F443*G443</f>
        <v/>
      </c>
      <c r="I443" s="45" t="n">
        <v>0</v>
      </c>
      <c r="J443" s="46">
        <f>I443*'Cấu Hình Học Phí'!$B$5</f>
        <v/>
      </c>
      <c r="K443" s="46" t="n">
        <v>0</v>
      </c>
      <c r="L443" s="46">
        <f>H443+J443-K443</f>
        <v/>
      </c>
      <c r="M443" s="46" t="n">
        <v>732050</v>
      </c>
      <c r="N443" s="46" t="n">
        <v>0</v>
      </c>
      <c r="O443" s="46">
        <f>MAX(0,M443-N443-L443)</f>
        <v/>
      </c>
      <c r="P443" s="46">
        <f>MAX(0,L443-(M443-N443))</f>
        <v/>
      </c>
      <c r="Q443" s="45" t="inlineStr">
        <is>
          <t>30/09/2028</t>
        </is>
      </c>
      <c r="R443" s="45" t="inlineStr">
        <is>
          <t>PT2028-00440</t>
        </is>
      </c>
      <c r="S443" s="45" t="inlineStr"/>
    </row>
    <row r="444">
      <c r="A444" s="45" t="inlineStr">
        <is>
          <t>251230942</t>
        </is>
      </c>
      <c r="B444" s="45" t="inlineStr">
        <is>
          <t>NGUYỄN HOÀNG PHÚC</t>
        </is>
      </c>
      <c r="C444" s="45" t="inlineStr">
        <is>
          <t>Công nghệ thông tin 2 K66</t>
        </is>
      </c>
      <c r="D444" s="45" t="inlineStr">
        <is>
          <t>Năm 1</t>
        </is>
      </c>
      <c r="E444" s="45" t="inlineStr">
        <is>
          <t>2025_2026</t>
        </is>
      </c>
      <c r="F444" s="45" t="n">
        <v>4</v>
      </c>
      <c r="G444" s="46">
        <f>VLOOKUP(D444,'Cấu Hình Học Phí'!$A$8:$B$11,2,FALSE)</f>
        <v/>
      </c>
      <c r="H444" s="46">
        <f>F444*G444</f>
        <v/>
      </c>
      <c r="I444" s="45" t="n">
        <v>1</v>
      </c>
      <c r="J444" s="46">
        <f>I444*'Cấu Hình Học Phí'!$B$5</f>
        <v/>
      </c>
      <c r="K444" s="46" t="n">
        <v>0</v>
      </c>
      <c r="L444" s="46">
        <f>H444+J444-K444</f>
        <v/>
      </c>
      <c r="M444" s="46" t="n">
        <v>2200000</v>
      </c>
      <c r="N444" s="46" t="n">
        <v>0</v>
      </c>
      <c r="O444" s="46">
        <f>MAX(0,M444-N444-L444)</f>
        <v/>
      </c>
      <c r="P444" s="46">
        <f>MAX(0,L444-(M444-N444))</f>
        <v/>
      </c>
      <c r="Q444" s="45" t="inlineStr">
        <is>
          <t>30/09/2025</t>
        </is>
      </c>
      <c r="R444" s="45" t="inlineStr">
        <is>
          <t>PT2025-00441</t>
        </is>
      </c>
      <c r="S444" s="45" t="inlineStr">
        <is>
          <t>Chưa nộp phí phụ đạo 1 môn</t>
        </is>
      </c>
    </row>
    <row r="445">
      <c r="A445" s="45" t="inlineStr">
        <is>
          <t>251230942</t>
        </is>
      </c>
      <c r="B445" s="45" t="inlineStr">
        <is>
          <t>NGUYỄN HOÀNG PHÚC</t>
        </is>
      </c>
      <c r="C445" s="45" t="inlineStr">
        <is>
          <t>Công nghệ thông tin 2 K66</t>
        </is>
      </c>
      <c r="D445" s="45" t="inlineStr">
        <is>
          <t>Năm 2</t>
        </is>
      </c>
      <c r="E445" s="45" t="inlineStr">
        <is>
          <t>2026_2027</t>
        </is>
      </c>
      <c r="F445" s="45" t="n">
        <v>4</v>
      </c>
      <c r="G445" s="46">
        <f>VLOOKUP(D445,'Cấu Hình Học Phí'!$A$8:$B$11,2,FALSE)</f>
        <v/>
      </c>
      <c r="H445" s="46">
        <f>F445*G445</f>
        <v/>
      </c>
      <c r="I445" s="45" t="n">
        <v>0</v>
      </c>
      <c r="J445" s="46">
        <f>I445*'Cấu Hình Học Phí'!$B$5</f>
        <v/>
      </c>
      <c r="K445" s="46" t="n">
        <v>0</v>
      </c>
      <c r="L445" s="46">
        <f>H445+J445-K445</f>
        <v/>
      </c>
      <c r="M445" s="46" t="n">
        <v>2420000</v>
      </c>
      <c r="N445" s="46" t="n">
        <v>0</v>
      </c>
      <c r="O445" s="46">
        <f>MAX(0,M445-N445-L445)</f>
        <v/>
      </c>
      <c r="P445" s="46">
        <f>MAX(0,L445-(M445-N445))</f>
        <v/>
      </c>
      <c r="Q445" s="45" t="inlineStr">
        <is>
          <t>30/09/2026</t>
        </is>
      </c>
      <c r="R445" s="45" t="inlineStr">
        <is>
          <t>PT2026-00442</t>
        </is>
      </c>
      <c r="S445" s="45" t="inlineStr"/>
    </row>
    <row r="446">
      <c r="A446" s="45" t="inlineStr">
        <is>
          <t>251230942</t>
        </is>
      </c>
      <c r="B446" s="45" t="inlineStr">
        <is>
          <t>NGUYỄN HOÀNG PHÚC</t>
        </is>
      </c>
      <c r="C446" s="45" t="inlineStr">
        <is>
          <t>Công nghệ thông tin 2 K66</t>
        </is>
      </c>
      <c r="D446" s="45" t="inlineStr">
        <is>
          <t>Năm 3</t>
        </is>
      </c>
      <c r="E446" s="45" t="inlineStr">
        <is>
          <t>2027_2028</t>
        </is>
      </c>
      <c r="F446" s="45" t="n">
        <v>4</v>
      </c>
      <c r="G446" s="46">
        <f>VLOOKUP(D446,'Cấu Hình Học Phí'!$A$8:$B$11,2,FALSE)</f>
        <v/>
      </c>
      <c r="H446" s="46">
        <f>F446*G446</f>
        <v/>
      </c>
      <c r="I446" s="45" t="n">
        <v>0</v>
      </c>
      <c r="J446" s="46">
        <f>I446*'Cấu Hình Học Phí'!$B$5</f>
        <v/>
      </c>
      <c r="K446" s="46" t="n">
        <v>0</v>
      </c>
      <c r="L446" s="46">
        <f>H446+J446-K446</f>
        <v/>
      </c>
      <c r="M446" s="46" t="n">
        <v>2662000</v>
      </c>
      <c r="N446" s="46" t="n">
        <v>0</v>
      </c>
      <c r="O446" s="46">
        <f>MAX(0,M446-N446-L446)</f>
        <v/>
      </c>
      <c r="P446" s="46">
        <f>MAX(0,L446-(M446-N446))</f>
        <v/>
      </c>
      <c r="Q446" s="45" t="inlineStr">
        <is>
          <t>30/09/2027</t>
        </is>
      </c>
      <c r="R446" s="45" t="inlineStr">
        <is>
          <t>PT2027-00443</t>
        </is>
      </c>
      <c r="S446" s="45" t="inlineStr"/>
    </row>
    <row r="447">
      <c r="A447" s="45" t="inlineStr">
        <is>
          <t>251230942</t>
        </is>
      </c>
      <c r="B447" s="45" t="inlineStr">
        <is>
          <t>NGUYỄN HOÀNG PHÚC</t>
        </is>
      </c>
      <c r="C447" s="45" t="inlineStr">
        <is>
          <t>Công nghệ thông tin 2 K66</t>
        </is>
      </c>
      <c r="D447" s="45" t="inlineStr">
        <is>
          <t>Năm 4</t>
        </is>
      </c>
      <c r="E447" s="45" t="inlineStr">
        <is>
          <t>2028_2029</t>
        </is>
      </c>
      <c r="F447" s="45" t="n">
        <v>1</v>
      </c>
      <c r="G447" s="46">
        <f>VLOOKUP(D447,'Cấu Hình Học Phí'!$A$8:$B$11,2,FALSE)</f>
        <v/>
      </c>
      <c r="H447" s="46">
        <f>F447*G447</f>
        <v/>
      </c>
      <c r="I447" s="45" t="n">
        <v>0</v>
      </c>
      <c r="J447" s="46">
        <f>I447*'Cấu Hình Học Phí'!$B$5</f>
        <v/>
      </c>
      <c r="K447" s="46" t="n">
        <v>0</v>
      </c>
      <c r="L447" s="46">
        <f>H447+J447-K447</f>
        <v/>
      </c>
      <c r="M447" s="46" t="n">
        <v>732050</v>
      </c>
      <c r="N447" s="46" t="n">
        <v>0</v>
      </c>
      <c r="O447" s="46">
        <f>MAX(0,M447-N447-L447)</f>
        <v/>
      </c>
      <c r="P447" s="46">
        <f>MAX(0,L447-(M447-N447))</f>
        <v/>
      </c>
      <c r="Q447" s="45" t="inlineStr">
        <is>
          <t>30/09/2028</t>
        </is>
      </c>
      <c r="R447" s="45" t="inlineStr">
        <is>
          <t>PT2028-00444</t>
        </is>
      </c>
      <c r="S447" s="45" t="inlineStr"/>
    </row>
    <row r="448">
      <c r="A448" s="45" t="inlineStr">
        <is>
          <t>251230945</t>
        </is>
      </c>
      <c r="B448" s="45" t="inlineStr">
        <is>
          <t>HOÀNG MINH PHƯƠNG</t>
        </is>
      </c>
      <c r="C448" s="45" t="inlineStr">
        <is>
          <t>Công nghệ thông tin 2 K66</t>
        </is>
      </c>
      <c r="D448" s="45" t="inlineStr">
        <is>
          <t>Năm 1</t>
        </is>
      </c>
      <c r="E448" s="45" t="inlineStr">
        <is>
          <t>2025_2026</t>
        </is>
      </c>
      <c r="F448" s="45" t="n">
        <v>4</v>
      </c>
      <c r="G448" s="46">
        <f>VLOOKUP(D448,'Cấu Hình Học Phí'!$A$8:$B$11,2,FALSE)</f>
        <v/>
      </c>
      <c r="H448" s="46">
        <f>F448*G448</f>
        <v/>
      </c>
      <c r="I448" s="45" t="n">
        <v>1</v>
      </c>
      <c r="J448" s="46">
        <f>I448*'Cấu Hình Học Phí'!$B$5</f>
        <v/>
      </c>
      <c r="K448" s="46" t="n">
        <v>0</v>
      </c>
      <c r="L448" s="46">
        <f>H448+J448-K448</f>
        <v/>
      </c>
      <c r="M448" s="46" t="n">
        <v>2200000</v>
      </c>
      <c r="N448" s="46" t="n">
        <v>0</v>
      </c>
      <c r="O448" s="46">
        <f>MAX(0,M448-N448-L448)</f>
        <v/>
      </c>
      <c r="P448" s="46">
        <f>MAX(0,L448-(M448-N448))</f>
        <v/>
      </c>
      <c r="Q448" s="45" t="inlineStr">
        <is>
          <t>30/09/2025</t>
        </is>
      </c>
      <c r="R448" s="45" t="inlineStr">
        <is>
          <t>PT2025-00445</t>
        </is>
      </c>
      <c r="S448" s="45" t="inlineStr">
        <is>
          <t>Chưa nộp phí phụ đạo 1 môn</t>
        </is>
      </c>
    </row>
    <row r="449">
      <c r="A449" s="45" t="inlineStr">
        <is>
          <t>251230945</t>
        </is>
      </c>
      <c r="B449" s="45" t="inlineStr">
        <is>
          <t>HOÀNG MINH PHƯƠNG</t>
        </is>
      </c>
      <c r="C449" s="45" t="inlineStr">
        <is>
          <t>Công nghệ thông tin 2 K66</t>
        </is>
      </c>
      <c r="D449" s="45" t="inlineStr">
        <is>
          <t>Năm 2</t>
        </is>
      </c>
      <c r="E449" s="45" t="inlineStr">
        <is>
          <t>2026_2027</t>
        </is>
      </c>
      <c r="F449" s="45" t="n">
        <v>4</v>
      </c>
      <c r="G449" s="46">
        <f>VLOOKUP(D449,'Cấu Hình Học Phí'!$A$8:$B$11,2,FALSE)</f>
        <v/>
      </c>
      <c r="H449" s="46">
        <f>F449*G449</f>
        <v/>
      </c>
      <c r="I449" s="45" t="n">
        <v>0</v>
      </c>
      <c r="J449" s="46">
        <f>I449*'Cấu Hình Học Phí'!$B$5</f>
        <v/>
      </c>
      <c r="K449" s="46" t="n">
        <v>0</v>
      </c>
      <c r="L449" s="46">
        <f>H449+J449-K449</f>
        <v/>
      </c>
      <c r="M449" s="46" t="n">
        <v>2420000</v>
      </c>
      <c r="N449" s="46" t="n">
        <v>0</v>
      </c>
      <c r="O449" s="46">
        <f>MAX(0,M449-N449-L449)</f>
        <v/>
      </c>
      <c r="P449" s="46">
        <f>MAX(0,L449-(M449-N449))</f>
        <v/>
      </c>
      <c r="Q449" s="45" t="inlineStr">
        <is>
          <t>30/09/2026</t>
        </is>
      </c>
      <c r="R449" s="45" t="inlineStr">
        <is>
          <t>PT2026-00446</t>
        </is>
      </c>
      <c r="S449" s="45" t="inlineStr"/>
    </row>
    <row r="450">
      <c r="A450" s="45" t="inlineStr">
        <is>
          <t>251230945</t>
        </is>
      </c>
      <c r="B450" s="45" t="inlineStr">
        <is>
          <t>HOÀNG MINH PHƯƠNG</t>
        </is>
      </c>
      <c r="C450" s="45" t="inlineStr">
        <is>
          <t>Công nghệ thông tin 2 K66</t>
        </is>
      </c>
      <c r="D450" s="45" t="inlineStr">
        <is>
          <t>Năm 3</t>
        </is>
      </c>
      <c r="E450" s="45" t="inlineStr">
        <is>
          <t>2027_2028</t>
        </is>
      </c>
      <c r="F450" s="45" t="n">
        <v>4</v>
      </c>
      <c r="G450" s="46">
        <f>VLOOKUP(D450,'Cấu Hình Học Phí'!$A$8:$B$11,2,FALSE)</f>
        <v/>
      </c>
      <c r="H450" s="46">
        <f>F450*G450</f>
        <v/>
      </c>
      <c r="I450" s="45" t="n">
        <v>1</v>
      </c>
      <c r="J450" s="46">
        <f>I450*'Cấu Hình Học Phí'!$B$5</f>
        <v/>
      </c>
      <c r="K450" s="46" t="n">
        <v>0</v>
      </c>
      <c r="L450" s="46">
        <f>H450+J450-K450</f>
        <v/>
      </c>
      <c r="M450" s="46" t="n">
        <v>2662000</v>
      </c>
      <c r="N450" s="46" t="n">
        <v>0</v>
      </c>
      <c r="O450" s="46">
        <f>MAX(0,M450-N450-L450)</f>
        <v/>
      </c>
      <c r="P450" s="46">
        <f>MAX(0,L450-(M450-N450))</f>
        <v/>
      </c>
      <c r="Q450" s="45" t="inlineStr">
        <is>
          <t>30/09/2027</t>
        </is>
      </c>
      <c r="R450" s="45" t="inlineStr">
        <is>
          <t>PT2027-00447</t>
        </is>
      </c>
      <c r="S450" s="45" t="inlineStr">
        <is>
          <t>Chưa nộp phí phụ đạo 1 môn</t>
        </is>
      </c>
    </row>
    <row r="451">
      <c r="A451" s="45" t="inlineStr">
        <is>
          <t>251230945</t>
        </is>
      </c>
      <c r="B451" s="45" t="inlineStr">
        <is>
          <t>HOÀNG MINH PHƯƠNG</t>
        </is>
      </c>
      <c r="C451" s="45" t="inlineStr">
        <is>
          <t>Công nghệ thông tin 2 K66</t>
        </is>
      </c>
      <c r="D451" s="45" t="inlineStr">
        <is>
          <t>Năm 4</t>
        </is>
      </c>
      <c r="E451" s="45" t="inlineStr">
        <is>
          <t>2028_2029</t>
        </is>
      </c>
      <c r="F451" s="45" t="n">
        <v>1</v>
      </c>
      <c r="G451" s="46">
        <f>VLOOKUP(D451,'Cấu Hình Học Phí'!$A$8:$B$11,2,FALSE)</f>
        <v/>
      </c>
      <c r="H451" s="46">
        <f>F451*G451</f>
        <v/>
      </c>
      <c r="I451" s="45" t="n">
        <v>1</v>
      </c>
      <c r="J451" s="46">
        <f>I451*'Cấu Hình Học Phí'!$B$5</f>
        <v/>
      </c>
      <c r="K451" s="46" t="n">
        <v>0</v>
      </c>
      <c r="L451" s="46">
        <f>H451+J451-K451</f>
        <v/>
      </c>
      <c r="M451" s="46" t="n">
        <v>1732050</v>
      </c>
      <c r="N451" s="46" t="n">
        <v>0</v>
      </c>
      <c r="O451" s="46">
        <f>MAX(0,M451-N451-L451)</f>
        <v/>
      </c>
      <c r="P451" s="46">
        <f>MAX(0,L451-(M451-N451))</f>
        <v/>
      </c>
      <c r="Q451" s="45" t="inlineStr">
        <is>
          <t>30/09/2028</t>
        </is>
      </c>
      <c r="R451" s="45" t="inlineStr">
        <is>
          <t>PT2028-00448</t>
        </is>
      </c>
      <c r="S451" s="45" t="inlineStr"/>
    </row>
    <row r="452">
      <c r="A452" s="45" t="inlineStr">
        <is>
          <t>251230946</t>
        </is>
      </c>
      <c r="B452" s="45" t="inlineStr">
        <is>
          <t>HOÀNG XUÂN PHƯƠNG</t>
        </is>
      </c>
      <c r="C452" s="45" t="inlineStr">
        <is>
          <t>Công nghệ thông tin 2 K66</t>
        </is>
      </c>
      <c r="D452" s="45" t="inlineStr">
        <is>
          <t>Năm 1</t>
        </is>
      </c>
      <c r="E452" s="45" t="inlineStr">
        <is>
          <t>2025_2026</t>
        </is>
      </c>
      <c r="F452" s="45" t="n">
        <v>4</v>
      </c>
      <c r="G452" s="46">
        <f>VLOOKUP(D452,'Cấu Hình Học Phí'!$A$8:$B$11,2,FALSE)</f>
        <v/>
      </c>
      <c r="H452" s="46">
        <f>F452*G452</f>
        <v/>
      </c>
      <c r="I452" s="45" t="n">
        <v>0</v>
      </c>
      <c r="J452" s="46">
        <f>I452*'Cấu Hình Học Phí'!$B$5</f>
        <v/>
      </c>
      <c r="K452" s="46" t="n">
        <v>0</v>
      </c>
      <c r="L452" s="46">
        <f>H452+J452-K452</f>
        <v/>
      </c>
      <c r="M452" s="46" t="n">
        <v>2200000</v>
      </c>
      <c r="N452" s="46" t="n">
        <v>0</v>
      </c>
      <c r="O452" s="46">
        <f>MAX(0,M452-N452-L452)</f>
        <v/>
      </c>
      <c r="P452" s="46">
        <f>MAX(0,L452-(M452-N452))</f>
        <v/>
      </c>
      <c r="Q452" s="45" t="inlineStr">
        <is>
          <t>30/09/2025</t>
        </is>
      </c>
      <c r="R452" s="45" t="inlineStr">
        <is>
          <t>PT2025-00449</t>
        </is>
      </c>
      <c r="S452" s="45" t="inlineStr"/>
    </row>
    <row r="453">
      <c r="A453" s="45" t="inlineStr">
        <is>
          <t>251230946</t>
        </is>
      </c>
      <c r="B453" s="45" t="inlineStr">
        <is>
          <t>HOÀNG XUÂN PHƯƠNG</t>
        </is>
      </c>
      <c r="C453" s="45" t="inlineStr">
        <is>
          <t>Công nghệ thông tin 2 K66</t>
        </is>
      </c>
      <c r="D453" s="45" t="inlineStr">
        <is>
          <t>Năm 2</t>
        </is>
      </c>
      <c r="E453" s="45" t="inlineStr">
        <is>
          <t>2026_2027</t>
        </is>
      </c>
      <c r="F453" s="45" t="n">
        <v>4</v>
      </c>
      <c r="G453" s="46">
        <f>VLOOKUP(D453,'Cấu Hình Học Phí'!$A$8:$B$11,2,FALSE)</f>
        <v/>
      </c>
      <c r="H453" s="46">
        <f>F453*G453</f>
        <v/>
      </c>
      <c r="I453" s="45" t="n">
        <v>0</v>
      </c>
      <c r="J453" s="46">
        <f>I453*'Cấu Hình Học Phí'!$B$5</f>
        <v/>
      </c>
      <c r="K453" s="46" t="n">
        <v>0</v>
      </c>
      <c r="L453" s="46">
        <f>H453+J453-K453</f>
        <v/>
      </c>
      <c r="M453" s="46" t="n">
        <v>2420000</v>
      </c>
      <c r="N453" s="46" t="n">
        <v>0</v>
      </c>
      <c r="O453" s="46">
        <f>MAX(0,M453-N453-L453)</f>
        <v/>
      </c>
      <c r="P453" s="46">
        <f>MAX(0,L453-(M453-N453))</f>
        <v/>
      </c>
      <c r="Q453" s="45" t="inlineStr">
        <is>
          <t>30/09/2026</t>
        </is>
      </c>
      <c r="R453" s="45" t="inlineStr">
        <is>
          <t>PT2026-00450</t>
        </is>
      </c>
      <c r="S453" s="45" t="inlineStr"/>
    </row>
    <row r="454">
      <c r="A454" s="45" t="inlineStr">
        <is>
          <t>251230946</t>
        </is>
      </c>
      <c r="B454" s="45" t="inlineStr">
        <is>
          <t>HOÀNG XUÂN PHƯƠNG</t>
        </is>
      </c>
      <c r="C454" s="45" t="inlineStr">
        <is>
          <t>Công nghệ thông tin 2 K66</t>
        </is>
      </c>
      <c r="D454" s="45" t="inlineStr">
        <is>
          <t>Năm 3</t>
        </is>
      </c>
      <c r="E454" s="45" t="inlineStr">
        <is>
          <t>2027_2028</t>
        </is>
      </c>
      <c r="F454" s="45" t="n">
        <v>4</v>
      </c>
      <c r="G454" s="46">
        <f>VLOOKUP(D454,'Cấu Hình Học Phí'!$A$8:$B$11,2,FALSE)</f>
        <v/>
      </c>
      <c r="H454" s="46">
        <f>F454*G454</f>
        <v/>
      </c>
      <c r="I454" s="45" t="n">
        <v>0</v>
      </c>
      <c r="J454" s="46">
        <f>I454*'Cấu Hình Học Phí'!$B$5</f>
        <v/>
      </c>
      <c r="K454" s="46" t="n">
        <v>0</v>
      </c>
      <c r="L454" s="46">
        <f>H454+J454-K454</f>
        <v/>
      </c>
      <c r="M454" s="46" t="n">
        <v>2662000</v>
      </c>
      <c r="N454" s="46" t="n">
        <v>0</v>
      </c>
      <c r="O454" s="46">
        <f>MAX(0,M454-N454-L454)</f>
        <v/>
      </c>
      <c r="P454" s="46">
        <f>MAX(0,L454-(M454-N454))</f>
        <v/>
      </c>
      <c r="Q454" s="45" t="inlineStr">
        <is>
          <t>30/09/2027</t>
        </is>
      </c>
      <c r="R454" s="45" t="inlineStr">
        <is>
          <t>PT2027-00451</t>
        </is>
      </c>
      <c r="S454" s="45" t="inlineStr"/>
    </row>
    <row r="455">
      <c r="A455" s="45" t="inlineStr">
        <is>
          <t>251230946</t>
        </is>
      </c>
      <c r="B455" s="45" t="inlineStr">
        <is>
          <t>HOÀNG XUÂN PHƯƠNG</t>
        </is>
      </c>
      <c r="C455" s="45" t="inlineStr">
        <is>
          <t>Công nghệ thông tin 2 K66</t>
        </is>
      </c>
      <c r="D455" s="45" t="inlineStr">
        <is>
          <t>Năm 4</t>
        </is>
      </c>
      <c r="E455" s="45" t="inlineStr">
        <is>
          <t>2028_2029</t>
        </is>
      </c>
      <c r="F455" s="45" t="n">
        <v>1</v>
      </c>
      <c r="G455" s="46">
        <f>VLOOKUP(D455,'Cấu Hình Học Phí'!$A$8:$B$11,2,FALSE)</f>
        <v/>
      </c>
      <c r="H455" s="46">
        <f>F455*G455</f>
        <v/>
      </c>
      <c r="I455" s="45" t="n">
        <v>0</v>
      </c>
      <c r="J455" s="46">
        <f>I455*'Cấu Hình Học Phí'!$B$5</f>
        <v/>
      </c>
      <c r="K455" s="46" t="n">
        <v>0</v>
      </c>
      <c r="L455" s="46">
        <f>H455+J455-K455</f>
        <v/>
      </c>
      <c r="M455" s="46" t="n">
        <v>732050</v>
      </c>
      <c r="N455" s="46" t="n">
        <v>0</v>
      </c>
      <c r="O455" s="46">
        <f>MAX(0,M455-N455-L455)</f>
        <v/>
      </c>
      <c r="P455" s="46">
        <f>MAX(0,L455-(M455-N455))</f>
        <v/>
      </c>
      <c r="Q455" s="45" t="inlineStr">
        <is>
          <t>30/09/2028</t>
        </is>
      </c>
      <c r="R455" s="45" t="inlineStr">
        <is>
          <t>PT2028-00452</t>
        </is>
      </c>
      <c r="S455" s="45" t="inlineStr"/>
    </row>
    <row r="456">
      <c r="A456" s="45" t="inlineStr">
        <is>
          <t>251230951</t>
        </is>
      </c>
      <c r="B456" s="45" t="inlineStr">
        <is>
          <t>NGUYỄN QUANG QUÂN</t>
        </is>
      </c>
      <c r="C456" s="45" t="inlineStr">
        <is>
          <t>Công nghệ thông tin 2 K66</t>
        </is>
      </c>
      <c r="D456" s="45" t="inlineStr">
        <is>
          <t>Năm 1</t>
        </is>
      </c>
      <c r="E456" s="45" t="inlineStr">
        <is>
          <t>2025_2026</t>
        </is>
      </c>
      <c r="F456" s="45" t="n">
        <v>4</v>
      </c>
      <c r="G456" s="46">
        <f>VLOOKUP(D456,'Cấu Hình Học Phí'!$A$8:$B$11,2,FALSE)</f>
        <v/>
      </c>
      <c r="H456" s="46">
        <f>F456*G456</f>
        <v/>
      </c>
      <c r="I456" s="45" t="n">
        <v>0</v>
      </c>
      <c r="J456" s="46">
        <f>I456*'Cấu Hình Học Phí'!$B$5</f>
        <v/>
      </c>
      <c r="K456" s="46" t="n">
        <v>0</v>
      </c>
      <c r="L456" s="46">
        <f>H456+J456-K456</f>
        <v/>
      </c>
      <c r="M456" s="46" t="n">
        <v>2200000</v>
      </c>
      <c r="N456" s="46" t="n">
        <v>0</v>
      </c>
      <c r="O456" s="46">
        <f>MAX(0,M456-N456-L456)</f>
        <v/>
      </c>
      <c r="P456" s="46">
        <f>MAX(0,L456-(M456-N456))</f>
        <v/>
      </c>
      <c r="Q456" s="45" t="inlineStr">
        <is>
          <t>30/09/2025</t>
        </is>
      </c>
      <c r="R456" s="45" t="inlineStr">
        <is>
          <t>PT2025-00453</t>
        </is>
      </c>
      <c r="S456" s="45" t="inlineStr"/>
    </row>
    <row r="457">
      <c r="A457" s="45" t="inlineStr">
        <is>
          <t>251230951</t>
        </is>
      </c>
      <c r="B457" s="45" t="inlineStr">
        <is>
          <t>NGUYỄN QUANG QUÂN</t>
        </is>
      </c>
      <c r="C457" s="45" t="inlineStr">
        <is>
          <t>Công nghệ thông tin 2 K66</t>
        </is>
      </c>
      <c r="D457" s="45" t="inlineStr">
        <is>
          <t>Năm 2</t>
        </is>
      </c>
      <c r="E457" s="45" t="inlineStr">
        <is>
          <t>2026_2027</t>
        </is>
      </c>
      <c r="F457" s="45" t="n">
        <v>4</v>
      </c>
      <c r="G457" s="46">
        <f>VLOOKUP(D457,'Cấu Hình Học Phí'!$A$8:$B$11,2,FALSE)</f>
        <v/>
      </c>
      <c r="H457" s="46">
        <f>F457*G457</f>
        <v/>
      </c>
      <c r="I457" s="45" t="n">
        <v>1</v>
      </c>
      <c r="J457" s="46">
        <f>I457*'Cấu Hình Học Phí'!$B$5</f>
        <v/>
      </c>
      <c r="K457" s="46" t="n">
        <v>0</v>
      </c>
      <c r="L457" s="46">
        <f>H457+J457-K457</f>
        <v/>
      </c>
      <c r="M457" s="46" t="n">
        <v>2420000</v>
      </c>
      <c r="N457" s="46" t="n">
        <v>0</v>
      </c>
      <c r="O457" s="46">
        <f>MAX(0,M457-N457-L457)</f>
        <v/>
      </c>
      <c r="P457" s="46">
        <f>MAX(0,L457-(M457-N457))</f>
        <v/>
      </c>
      <c r="Q457" s="45" t="inlineStr">
        <is>
          <t>30/09/2026</t>
        </is>
      </c>
      <c r="R457" s="45" t="inlineStr">
        <is>
          <t>PT2026-00454</t>
        </is>
      </c>
      <c r="S457" s="45" t="inlineStr">
        <is>
          <t>Chưa nộp phí phụ đạo 1 môn</t>
        </is>
      </c>
    </row>
    <row r="458">
      <c r="A458" s="45" t="inlineStr">
        <is>
          <t>251230951</t>
        </is>
      </c>
      <c r="B458" s="45" t="inlineStr">
        <is>
          <t>NGUYỄN QUANG QUÂN</t>
        </is>
      </c>
      <c r="C458" s="45" t="inlineStr">
        <is>
          <t>Công nghệ thông tin 2 K66</t>
        </is>
      </c>
      <c r="D458" s="45" t="inlineStr">
        <is>
          <t>Năm 3</t>
        </is>
      </c>
      <c r="E458" s="45" t="inlineStr">
        <is>
          <t>2027_2028</t>
        </is>
      </c>
      <c r="F458" s="45" t="n">
        <v>4</v>
      </c>
      <c r="G458" s="46">
        <f>VLOOKUP(D458,'Cấu Hình Học Phí'!$A$8:$B$11,2,FALSE)</f>
        <v/>
      </c>
      <c r="H458" s="46">
        <f>F458*G458</f>
        <v/>
      </c>
      <c r="I458" s="45" t="n">
        <v>0</v>
      </c>
      <c r="J458" s="46">
        <f>I458*'Cấu Hình Học Phí'!$B$5</f>
        <v/>
      </c>
      <c r="K458" s="46" t="n">
        <v>0</v>
      </c>
      <c r="L458" s="46">
        <f>H458+J458-K458</f>
        <v/>
      </c>
      <c r="M458" s="46" t="n">
        <v>2662000</v>
      </c>
      <c r="N458" s="46" t="n">
        <v>0</v>
      </c>
      <c r="O458" s="46">
        <f>MAX(0,M458-N458-L458)</f>
        <v/>
      </c>
      <c r="P458" s="46">
        <f>MAX(0,L458-(M458-N458))</f>
        <v/>
      </c>
      <c r="Q458" s="45" t="inlineStr">
        <is>
          <t>30/09/2027</t>
        </is>
      </c>
      <c r="R458" s="45" t="inlineStr">
        <is>
          <t>PT2027-00455</t>
        </is>
      </c>
      <c r="S458" s="45" t="inlineStr"/>
    </row>
    <row r="459">
      <c r="A459" s="45" t="inlineStr">
        <is>
          <t>251230951</t>
        </is>
      </c>
      <c r="B459" s="45" t="inlineStr">
        <is>
          <t>NGUYỄN QUANG QUÂN</t>
        </is>
      </c>
      <c r="C459" s="45" t="inlineStr">
        <is>
          <t>Công nghệ thông tin 2 K66</t>
        </is>
      </c>
      <c r="D459" s="45" t="inlineStr">
        <is>
          <t>Năm 4</t>
        </is>
      </c>
      <c r="E459" s="45" t="inlineStr">
        <is>
          <t>2028_2029</t>
        </is>
      </c>
      <c r="F459" s="45" t="n">
        <v>1</v>
      </c>
      <c r="G459" s="46">
        <f>VLOOKUP(D459,'Cấu Hình Học Phí'!$A$8:$B$11,2,FALSE)</f>
        <v/>
      </c>
      <c r="H459" s="46">
        <f>F459*G459</f>
        <v/>
      </c>
      <c r="I459" s="45" t="n">
        <v>0</v>
      </c>
      <c r="J459" s="46">
        <f>I459*'Cấu Hình Học Phí'!$B$5</f>
        <v/>
      </c>
      <c r="K459" s="46" t="n">
        <v>0</v>
      </c>
      <c r="L459" s="46">
        <f>H459+J459-K459</f>
        <v/>
      </c>
      <c r="M459" s="46" t="n">
        <v>732050</v>
      </c>
      <c r="N459" s="46" t="n">
        <v>0</v>
      </c>
      <c r="O459" s="46">
        <f>MAX(0,M459-N459-L459)</f>
        <v/>
      </c>
      <c r="P459" s="46">
        <f>MAX(0,L459-(M459-N459))</f>
        <v/>
      </c>
      <c r="Q459" s="45" t="inlineStr">
        <is>
          <t>30/09/2028</t>
        </is>
      </c>
      <c r="R459" s="45" t="inlineStr">
        <is>
          <t>PT2028-00456</t>
        </is>
      </c>
      <c r="S459" s="45" t="inlineStr"/>
    </row>
    <row r="460">
      <c r="A460" s="45" t="inlineStr">
        <is>
          <t>251230952</t>
        </is>
      </c>
      <c r="B460" s="45" t="inlineStr">
        <is>
          <t>TỐNG QUANG QUÝ</t>
        </is>
      </c>
      <c r="C460" s="45" t="inlineStr">
        <is>
          <t>Công nghệ thông tin 2 K66</t>
        </is>
      </c>
      <c r="D460" s="45" t="inlineStr">
        <is>
          <t>Năm 1</t>
        </is>
      </c>
      <c r="E460" s="45" t="inlineStr">
        <is>
          <t>2025_2026</t>
        </is>
      </c>
      <c r="F460" s="45" t="n">
        <v>4</v>
      </c>
      <c r="G460" s="46">
        <f>VLOOKUP(D460,'Cấu Hình Học Phí'!$A$8:$B$11,2,FALSE)</f>
        <v/>
      </c>
      <c r="H460" s="46">
        <f>F460*G460</f>
        <v/>
      </c>
      <c r="I460" s="45" t="n">
        <v>0</v>
      </c>
      <c r="J460" s="46">
        <f>I460*'Cấu Hình Học Phí'!$B$5</f>
        <v/>
      </c>
      <c r="K460" s="46" t="n">
        <v>0</v>
      </c>
      <c r="L460" s="46">
        <f>H460+J460-K460</f>
        <v/>
      </c>
      <c r="M460" s="46" t="n">
        <v>2200000</v>
      </c>
      <c r="N460" s="46" t="n">
        <v>0</v>
      </c>
      <c r="O460" s="46">
        <f>MAX(0,M460-N460-L460)</f>
        <v/>
      </c>
      <c r="P460" s="46">
        <f>MAX(0,L460-(M460-N460))</f>
        <v/>
      </c>
      <c r="Q460" s="45" t="inlineStr">
        <is>
          <t>30/09/2025</t>
        </is>
      </c>
      <c r="R460" s="45" t="inlineStr">
        <is>
          <t>PT2025-00457</t>
        </is>
      </c>
      <c r="S460" s="45" t="inlineStr"/>
    </row>
    <row r="461">
      <c r="A461" s="45" t="inlineStr">
        <is>
          <t>251230952</t>
        </is>
      </c>
      <c r="B461" s="45" t="inlineStr">
        <is>
          <t>TỐNG QUANG QUÝ</t>
        </is>
      </c>
      <c r="C461" s="45" t="inlineStr">
        <is>
          <t>Công nghệ thông tin 2 K66</t>
        </is>
      </c>
      <c r="D461" s="45" t="inlineStr">
        <is>
          <t>Năm 2</t>
        </is>
      </c>
      <c r="E461" s="45" t="inlineStr">
        <is>
          <t>2026_2027</t>
        </is>
      </c>
      <c r="F461" s="45" t="n">
        <v>4</v>
      </c>
      <c r="G461" s="46">
        <f>VLOOKUP(D461,'Cấu Hình Học Phí'!$A$8:$B$11,2,FALSE)</f>
        <v/>
      </c>
      <c r="H461" s="46">
        <f>F461*G461</f>
        <v/>
      </c>
      <c r="I461" s="45" t="n">
        <v>0</v>
      </c>
      <c r="J461" s="46">
        <f>I461*'Cấu Hình Học Phí'!$B$5</f>
        <v/>
      </c>
      <c r="K461" s="46" t="n">
        <v>0</v>
      </c>
      <c r="L461" s="46">
        <f>H461+J461-K461</f>
        <v/>
      </c>
      <c r="M461" s="46" t="n">
        <v>2420000</v>
      </c>
      <c r="N461" s="46" t="n">
        <v>0</v>
      </c>
      <c r="O461" s="46">
        <f>MAX(0,M461-N461-L461)</f>
        <v/>
      </c>
      <c r="P461" s="46">
        <f>MAX(0,L461-(M461-N461))</f>
        <v/>
      </c>
      <c r="Q461" s="45" t="inlineStr">
        <is>
          <t>30/09/2026</t>
        </is>
      </c>
      <c r="R461" s="45" t="inlineStr">
        <is>
          <t>PT2026-00458</t>
        </is>
      </c>
      <c r="S461" s="45" t="inlineStr"/>
    </row>
    <row r="462">
      <c r="A462" s="45" t="inlineStr">
        <is>
          <t>251230952</t>
        </is>
      </c>
      <c r="B462" s="45" t="inlineStr">
        <is>
          <t>TỐNG QUANG QUÝ</t>
        </is>
      </c>
      <c r="C462" s="45" t="inlineStr">
        <is>
          <t>Công nghệ thông tin 2 K66</t>
        </is>
      </c>
      <c r="D462" s="45" t="inlineStr">
        <is>
          <t>Năm 3</t>
        </is>
      </c>
      <c r="E462" s="45" t="inlineStr">
        <is>
          <t>2027_2028</t>
        </is>
      </c>
      <c r="F462" s="45" t="n">
        <v>4</v>
      </c>
      <c r="G462" s="46">
        <f>VLOOKUP(D462,'Cấu Hình Học Phí'!$A$8:$B$11,2,FALSE)</f>
        <v/>
      </c>
      <c r="H462" s="46">
        <f>F462*G462</f>
        <v/>
      </c>
      <c r="I462" s="45" t="n">
        <v>0</v>
      </c>
      <c r="J462" s="46">
        <f>I462*'Cấu Hình Học Phí'!$B$5</f>
        <v/>
      </c>
      <c r="K462" s="46" t="n">
        <v>0</v>
      </c>
      <c r="L462" s="46">
        <f>H462+J462-K462</f>
        <v/>
      </c>
      <c r="M462" s="46" t="n">
        <v>2662000</v>
      </c>
      <c r="N462" s="46" t="n">
        <v>0</v>
      </c>
      <c r="O462" s="46">
        <f>MAX(0,M462-N462-L462)</f>
        <v/>
      </c>
      <c r="P462" s="46">
        <f>MAX(0,L462-(M462-N462))</f>
        <v/>
      </c>
      <c r="Q462" s="45" t="inlineStr">
        <is>
          <t>30/09/2027</t>
        </is>
      </c>
      <c r="R462" s="45" t="inlineStr">
        <is>
          <t>PT2027-00459</t>
        </is>
      </c>
      <c r="S462" s="45" t="inlineStr"/>
    </row>
    <row r="463">
      <c r="A463" s="45" t="inlineStr">
        <is>
          <t>251230952</t>
        </is>
      </c>
      <c r="B463" s="45" t="inlineStr">
        <is>
          <t>TỐNG QUANG QUÝ</t>
        </is>
      </c>
      <c r="C463" s="45" t="inlineStr">
        <is>
          <t>Công nghệ thông tin 2 K66</t>
        </is>
      </c>
      <c r="D463" s="45" t="inlineStr">
        <is>
          <t>Năm 4</t>
        </is>
      </c>
      <c r="E463" s="45" t="inlineStr">
        <is>
          <t>2028_2029</t>
        </is>
      </c>
      <c r="F463" s="45" t="n">
        <v>1</v>
      </c>
      <c r="G463" s="46">
        <f>VLOOKUP(D463,'Cấu Hình Học Phí'!$A$8:$B$11,2,FALSE)</f>
        <v/>
      </c>
      <c r="H463" s="46">
        <f>F463*G463</f>
        <v/>
      </c>
      <c r="I463" s="45" t="n">
        <v>0</v>
      </c>
      <c r="J463" s="46">
        <f>I463*'Cấu Hình Học Phí'!$B$5</f>
        <v/>
      </c>
      <c r="K463" s="46" t="n">
        <v>0</v>
      </c>
      <c r="L463" s="46">
        <f>H463+J463-K463</f>
        <v/>
      </c>
      <c r="M463" s="46" t="n">
        <v>732050</v>
      </c>
      <c r="N463" s="46" t="n">
        <v>0</v>
      </c>
      <c r="O463" s="46">
        <f>MAX(0,M463-N463-L463)</f>
        <v/>
      </c>
      <c r="P463" s="46">
        <f>MAX(0,L463-(M463-N463))</f>
        <v/>
      </c>
      <c r="Q463" s="45" t="inlineStr">
        <is>
          <t>30/09/2028</t>
        </is>
      </c>
      <c r="R463" s="45" t="inlineStr">
        <is>
          <t>PT2028-00460</t>
        </is>
      </c>
      <c r="S463" s="45" t="inlineStr"/>
    </row>
    <row r="464">
      <c r="A464" s="45" t="inlineStr">
        <is>
          <t>251210953</t>
        </is>
      </c>
      <c r="B464" s="45" t="inlineStr">
        <is>
          <t>NGUYỄN ANH QUYỀN</t>
        </is>
      </c>
      <c r="C464" s="45" t="inlineStr">
        <is>
          <t>Công nghệ thông tin 2 K66</t>
        </is>
      </c>
      <c r="D464" s="45" t="inlineStr">
        <is>
          <t>Năm 1</t>
        </is>
      </c>
      <c r="E464" s="45" t="inlineStr">
        <is>
          <t>2025_2026</t>
        </is>
      </c>
      <c r="F464" s="45" t="n">
        <v>4</v>
      </c>
      <c r="G464" s="46">
        <f>VLOOKUP(D464,'Cấu Hình Học Phí'!$A$8:$B$11,2,FALSE)</f>
        <v/>
      </c>
      <c r="H464" s="46">
        <f>F464*G464</f>
        <v/>
      </c>
      <c r="I464" s="45" t="n">
        <v>1</v>
      </c>
      <c r="J464" s="46">
        <f>I464*'Cấu Hình Học Phí'!$B$5</f>
        <v/>
      </c>
      <c r="K464" s="46" t="n">
        <v>0</v>
      </c>
      <c r="L464" s="46">
        <f>H464+J464-K464</f>
        <v/>
      </c>
      <c r="M464" s="46" t="n">
        <v>3200000</v>
      </c>
      <c r="N464" s="46" t="n">
        <v>0</v>
      </c>
      <c r="O464" s="46">
        <f>MAX(0,M464-N464-L464)</f>
        <v/>
      </c>
      <c r="P464" s="46">
        <f>MAX(0,L464-(M464-N464))</f>
        <v/>
      </c>
      <c r="Q464" s="45" t="inlineStr">
        <is>
          <t>30/09/2025</t>
        </is>
      </c>
      <c r="R464" s="45" t="inlineStr">
        <is>
          <t>PT2025-00461</t>
        </is>
      </c>
      <c r="S464" s="45" t="inlineStr"/>
    </row>
    <row r="465">
      <c r="A465" s="45" t="inlineStr">
        <is>
          <t>251210953</t>
        </is>
      </c>
      <c r="B465" s="45" t="inlineStr">
        <is>
          <t>NGUYỄN ANH QUYỀN</t>
        </is>
      </c>
      <c r="C465" s="45" t="inlineStr">
        <is>
          <t>Công nghệ thông tin 2 K66</t>
        </is>
      </c>
      <c r="D465" s="45" t="inlineStr">
        <is>
          <t>Năm 2</t>
        </is>
      </c>
      <c r="E465" s="45" t="inlineStr">
        <is>
          <t>2026_2027</t>
        </is>
      </c>
      <c r="F465" s="45" t="n">
        <v>4</v>
      </c>
      <c r="G465" s="46">
        <f>VLOOKUP(D465,'Cấu Hình Học Phí'!$A$8:$B$11,2,FALSE)</f>
        <v/>
      </c>
      <c r="H465" s="46">
        <f>F465*G465</f>
        <v/>
      </c>
      <c r="I465" s="45" t="n">
        <v>0</v>
      </c>
      <c r="J465" s="46">
        <f>I465*'Cấu Hình Học Phí'!$B$5</f>
        <v/>
      </c>
      <c r="K465" s="46" t="n">
        <v>0</v>
      </c>
      <c r="L465" s="46">
        <f>H465+J465-K465</f>
        <v/>
      </c>
      <c r="M465" s="46" t="n">
        <v>2420000</v>
      </c>
      <c r="N465" s="46" t="n">
        <v>0</v>
      </c>
      <c r="O465" s="46">
        <f>MAX(0,M465-N465-L465)</f>
        <v/>
      </c>
      <c r="P465" s="46">
        <f>MAX(0,L465-(M465-N465))</f>
        <v/>
      </c>
      <c r="Q465" s="45" t="inlineStr">
        <is>
          <t>30/09/2026</t>
        </is>
      </c>
      <c r="R465" s="45" t="inlineStr">
        <is>
          <t>PT2026-00462</t>
        </is>
      </c>
      <c r="S465" s="45" t="inlineStr"/>
    </row>
    <row r="466">
      <c r="A466" s="45" t="inlineStr">
        <is>
          <t>251210953</t>
        </is>
      </c>
      <c r="B466" s="45" t="inlineStr">
        <is>
          <t>NGUYỄN ANH QUYỀN</t>
        </is>
      </c>
      <c r="C466" s="45" t="inlineStr">
        <is>
          <t>Công nghệ thông tin 2 K66</t>
        </is>
      </c>
      <c r="D466" s="45" t="inlineStr">
        <is>
          <t>Năm 3</t>
        </is>
      </c>
      <c r="E466" s="45" t="inlineStr">
        <is>
          <t>2027_2028</t>
        </is>
      </c>
      <c r="F466" s="45" t="n">
        <v>4</v>
      </c>
      <c r="G466" s="46">
        <f>VLOOKUP(D466,'Cấu Hình Học Phí'!$A$8:$B$11,2,FALSE)</f>
        <v/>
      </c>
      <c r="H466" s="46">
        <f>F466*G466</f>
        <v/>
      </c>
      <c r="I466" s="45" t="n">
        <v>0</v>
      </c>
      <c r="J466" s="46">
        <f>I466*'Cấu Hình Học Phí'!$B$5</f>
        <v/>
      </c>
      <c r="K466" s="46" t="n">
        <v>0</v>
      </c>
      <c r="L466" s="46">
        <f>H466+J466-K466</f>
        <v/>
      </c>
      <c r="M466" s="46" t="n">
        <v>2662000</v>
      </c>
      <c r="N466" s="46" t="n">
        <v>0</v>
      </c>
      <c r="O466" s="46">
        <f>MAX(0,M466-N466-L466)</f>
        <v/>
      </c>
      <c r="P466" s="46">
        <f>MAX(0,L466-(M466-N466))</f>
        <v/>
      </c>
      <c r="Q466" s="45" t="inlineStr">
        <is>
          <t>30/09/2027</t>
        </is>
      </c>
      <c r="R466" s="45" t="inlineStr">
        <is>
          <t>PT2027-00463</t>
        </is>
      </c>
      <c r="S466" s="45" t="inlineStr"/>
    </row>
    <row r="467">
      <c r="A467" s="45" t="inlineStr">
        <is>
          <t>251210953</t>
        </is>
      </c>
      <c r="B467" s="45" t="inlineStr">
        <is>
          <t>NGUYỄN ANH QUYỀN</t>
        </is>
      </c>
      <c r="C467" s="45" t="inlineStr">
        <is>
          <t>Công nghệ thông tin 2 K66</t>
        </is>
      </c>
      <c r="D467" s="45" t="inlineStr">
        <is>
          <t>Năm 4</t>
        </is>
      </c>
      <c r="E467" s="45" t="inlineStr">
        <is>
          <t>2028_2029</t>
        </is>
      </c>
      <c r="F467" s="45" t="n">
        <v>1</v>
      </c>
      <c r="G467" s="46">
        <f>VLOOKUP(D467,'Cấu Hình Học Phí'!$A$8:$B$11,2,FALSE)</f>
        <v/>
      </c>
      <c r="H467" s="46">
        <f>F467*G467</f>
        <v/>
      </c>
      <c r="I467" s="45" t="n">
        <v>0</v>
      </c>
      <c r="J467" s="46">
        <f>I467*'Cấu Hình Học Phí'!$B$5</f>
        <v/>
      </c>
      <c r="K467" s="46" t="n">
        <v>0</v>
      </c>
      <c r="L467" s="46">
        <f>H467+J467-K467</f>
        <v/>
      </c>
      <c r="M467" s="46" t="n">
        <v>732050</v>
      </c>
      <c r="N467" s="46" t="n">
        <v>0</v>
      </c>
      <c r="O467" s="46">
        <f>MAX(0,M467-N467-L467)</f>
        <v/>
      </c>
      <c r="P467" s="46">
        <f>MAX(0,L467-(M467-N467))</f>
        <v/>
      </c>
      <c r="Q467" s="45" t="inlineStr">
        <is>
          <t>30/09/2028</t>
        </is>
      </c>
      <c r="R467" s="45" t="inlineStr">
        <is>
          <t>PT2028-00464</t>
        </is>
      </c>
      <c r="S467" s="45" t="inlineStr"/>
    </row>
    <row r="468">
      <c r="A468" s="45" t="inlineStr">
        <is>
          <t>251230954</t>
        </is>
      </c>
      <c r="B468" s="45" t="inlineStr">
        <is>
          <t>LƯU CHÍ QUYẾT</t>
        </is>
      </c>
      <c r="C468" s="45" t="inlineStr">
        <is>
          <t>Công nghệ thông tin 2 K66</t>
        </is>
      </c>
      <c r="D468" s="45" t="inlineStr">
        <is>
          <t>Năm 1</t>
        </is>
      </c>
      <c r="E468" s="45" t="inlineStr">
        <is>
          <t>2025_2026</t>
        </is>
      </c>
      <c r="F468" s="45" t="n">
        <v>4</v>
      </c>
      <c r="G468" s="46">
        <f>VLOOKUP(D468,'Cấu Hình Học Phí'!$A$8:$B$11,2,FALSE)</f>
        <v/>
      </c>
      <c r="H468" s="46">
        <f>F468*G468</f>
        <v/>
      </c>
      <c r="I468" s="45" t="n">
        <v>0</v>
      </c>
      <c r="J468" s="46">
        <f>I468*'Cấu Hình Học Phí'!$B$5</f>
        <v/>
      </c>
      <c r="K468" s="46" t="n">
        <v>0</v>
      </c>
      <c r="L468" s="46">
        <f>H468+J468-K468</f>
        <v/>
      </c>
      <c r="M468" s="46" t="n">
        <v>2200000</v>
      </c>
      <c r="N468" s="46" t="n">
        <v>0</v>
      </c>
      <c r="O468" s="46">
        <f>MAX(0,M468-N468-L468)</f>
        <v/>
      </c>
      <c r="P468" s="46">
        <f>MAX(0,L468-(M468-N468))</f>
        <v/>
      </c>
      <c r="Q468" s="45" t="inlineStr">
        <is>
          <t>30/09/2025</t>
        </is>
      </c>
      <c r="R468" s="45" t="inlineStr">
        <is>
          <t>PT2025-00465</t>
        </is>
      </c>
      <c r="S468" s="45" t="inlineStr"/>
    </row>
    <row r="469">
      <c r="A469" s="45" t="inlineStr">
        <is>
          <t>251230954</t>
        </is>
      </c>
      <c r="B469" s="45" t="inlineStr">
        <is>
          <t>LƯU CHÍ QUYẾT</t>
        </is>
      </c>
      <c r="C469" s="45" t="inlineStr">
        <is>
          <t>Công nghệ thông tin 2 K66</t>
        </is>
      </c>
      <c r="D469" s="45" t="inlineStr">
        <is>
          <t>Năm 2</t>
        </is>
      </c>
      <c r="E469" s="45" t="inlineStr">
        <is>
          <t>2026_2027</t>
        </is>
      </c>
      <c r="F469" s="45" t="n">
        <v>4</v>
      </c>
      <c r="G469" s="46">
        <f>VLOOKUP(D469,'Cấu Hình Học Phí'!$A$8:$B$11,2,FALSE)</f>
        <v/>
      </c>
      <c r="H469" s="46">
        <f>F469*G469</f>
        <v/>
      </c>
      <c r="I469" s="45" t="n">
        <v>1</v>
      </c>
      <c r="J469" s="46">
        <f>I469*'Cấu Hình Học Phí'!$B$5</f>
        <v/>
      </c>
      <c r="K469" s="46" t="n">
        <v>0</v>
      </c>
      <c r="L469" s="46">
        <f>H469+J469-K469</f>
        <v/>
      </c>
      <c r="M469" s="46" t="n">
        <v>2420000</v>
      </c>
      <c r="N469" s="46" t="n">
        <v>0</v>
      </c>
      <c r="O469" s="46">
        <f>MAX(0,M469-N469-L469)</f>
        <v/>
      </c>
      <c r="P469" s="46">
        <f>MAX(0,L469-(M469-N469))</f>
        <v/>
      </c>
      <c r="Q469" s="45" t="inlineStr">
        <is>
          <t>30/09/2026</t>
        </is>
      </c>
      <c r="R469" s="45" t="inlineStr">
        <is>
          <t>PT2026-00466</t>
        </is>
      </c>
      <c r="S469" s="45" t="inlineStr">
        <is>
          <t>Chưa nộp phí phụ đạo 1 môn</t>
        </is>
      </c>
    </row>
    <row r="470">
      <c r="A470" s="45" t="inlineStr">
        <is>
          <t>251230954</t>
        </is>
      </c>
      <c r="B470" s="45" t="inlineStr">
        <is>
          <t>LƯU CHÍ QUYẾT</t>
        </is>
      </c>
      <c r="C470" s="45" t="inlineStr">
        <is>
          <t>Công nghệ thông tin 2 K66</t>
        </is>
      </c>
      <c r="D470" s="45" t="inlineStr">
        <is>
          <t>Năm 3</t>
        </is>
      </c>
      <c r="E470" s="45" t="inlineStr">
        <is>
          <t>2027_2028</t>
        </is>
      </c>
      <c r="F470" s="45" t="n">
        <v>4</v>
      </c>
      <c r="G470" s="46">
        <f>VLOOKUP(D470,'Cấu Hình Học Phí'!$A$8:$B$11,2,FALSE)</f>
        <v/>
      </c>
      <c r="H470" s="46">
        <f>F470*G470</f>
        <v/>
      </c>
      <c r="I470" s="45" t="n">
        <v>0</v>
      </c>
      <c r="J470" s="46">
        <f>I470*'Cấu Hình Học Phí'!$B$5</f>
        <v/>
      </c>
      <c r="K470" s="46" t="n">
        <v>0</v>
      </c>
      <c r="L470" s="46">
        <f>H470+J470-K470</f>
        <v/>
      </c>
      <c r="M470" s="46" t="n">
        <v>2662000</v>
      </c>
      <c r="N470" s="46" t="n">
        <v>0</v>
      </c>
      <c r="O470" s="46">
        <f>MAX(0,M470-N470-L470)</f>
        <v/>
      </c>
      <c r="P470" s="46">
        <f>MAX(0,L470-(M470-N470))</f>
        <v/>
      </c>
      <c r="Q470" s="45" t="inlineStr">
        <is>
          <t>30/09/2027</t>
        </is>
      </c>
      <c r="R470" s="45" t="inlineStr">
        <is>
          <t>PT2027-00467</t>
        </is>
      </c>
      <c r="S470" s="45" t="inlineStr"/>
    </row>
    <row r="471">
      <c r="A471" s="45" t="inlineStr">
        <is>
          <t>251230954</t>
        </is>
      </c>
      <c r="B471" s="45" t="inlineStr">
        <is>
          <t>LƯU CHÍ QUYẾT</t>
        </is>
      </c>
      <c r="C471" s="45" t="inlineStr">
        <is>
          <t>Công nghệ thông tin 2 K66</t>
        </is>
      </c>
      <c r="D471" s="45" t="inlineStr">
        <is>
          <t>Năm 4</t>
        </is>
      </c>
      <c r="E471" s="45" t="inlineStr">
        <is>
          <t>2028_2029</t>
        </is>
      </c>
      <c r="F471" s="45" t="n">
        <v>1</v>
      </c>
      <c r="G471" s="46">
        <f>VLOOKUP(D471,'Cấu Hình Học Phí'!$A$8:$B$11,2,FALSE)</f>
        <v/>
      </c>
      <c r="H471" s="46">
        <f>F471*G471</f>
        <v/>
      </c>
      <c r="I471" s="45" t="n">
        <v>1</v>
      </c>
      <c r="J471" s="46">
        <f>I471*'Cấu Hình Học Phí'!$B$5</f>
        <v/>
      </c>
      <c r="K471" s="46" t="n">
        <v>0</v>
      </c>
      <c r="L471" s="46">
        <f>H471+J471-K471</f>
        <v/>
      </c>
      <c r="M471" s="46" t="n">
        <v>732050</v>
      </c>
      <c r="N471" s="46" t="n">
        <v>0</v>
      </c>
      <c r="O471" s="46">
        <f>MAX(0,M471-N471-L471)</f>
        <v/>
      </c>
      <c r="P471" s="46">
        <f>MAX(0,L471-(M471-N471))</f>
        <v/>
      </c>
      <c r="Q471" s="45" t="inlineStr">
        <is>
          <t>30/09/2028</t>
        </is>
      </c>
      <c r="R471" s="45" t="inlineStr">
        <is>
          <t>PT2028-00468</t>
        </is>
      </c>
      <c r="S471" s="45" t="inlineStr">
        <is>
          <t>Chưa nộp phí phụ đạo 1 môn</t>
        </is>
      </c>
    </row>
    <row r="472">
      <c r="A472" s="45" t="inlineStr">
        <is>
          <t>251230960</t>
        </is>
      </c>
      <c r="B472" s="45" t="inlineStr">
        <is>
          <t>CÔNG ANH TÀI</t>
        </is>
      </c>
      <c r="C472" s="45" t="inlineStr">
        <is>
          <t>Công nghệ thông tin 2 K66</t>
        </is>
      </c>
      <c r="D472" s="45" t="inlineStr">
        <is>
          <t>Năm 1</t>
        </is>
      </c>
      <c r="E472" s="45" t="inlineStr">
        <is>
          <t>2025_2026</t>
        </is>
      </c>
      <c r="F472" s="45" t="n">
        <v>4</v>
      </c>
      <c r="G472" s="46">
        <f>VLOOKUP(D472,'Cấu Hình Học Phí'!$A$8:$B$11,2,FALSE)</f>
        <v/>
      </c>
      <c r="H472" s="46">
        <f>F472*G472</f>
        <v/>
      </c>
      <c r="I472" s="45" t="n">
        <v>2</v>
      </c>
      <c r="J472" s="46">
        <f>I472*'Cấu Hình Học Phí'!$B$5</f>
        <v/>
      </c>
      <c r="K472" s="46" t="n">
        <v>0</v>
      </c>
      <c r="L472" s="46">
        <f>H472+J472-K472</f>
        <v/>
      </c>
      <c r="M472" s="46" t="n">
        <v>2200000</v>
      </c>
      <c r="N472" s="46" t="n">
        <v>0</v>
      </c>
      <c r="O472" s="46">
        <f>MAX(0,M472-N472-L472)</f>
        <v/>
      </c>
      <c r="P472" s="46">
        <f>MAX(0,L472-(M472-N472))</f>
        <v/>
      </c>
      <c r="Q472" s="45" t="inlineStr">
        <is>
          <t>30/09/2025</t>
        </is>
      </c>
      <c r="R472" s="45" t="inlineStr">
        <is>
          <t>PT2025-00469</t>
        </is>
      </c>
      <c r="S472" s="45" t="inlineStr">
        <is>
          <t>Chưa nộp phí phụ đạo 2 môn</t>
        </is>
      </c>
    </row>
    <row r="473">
      <c r="A473" s="45" t="inlineStr">
        <is>
          <t>251230960</t>
        </is>
      </c>
      <c r="B473" s="45" t="inlineStr">
        <is>
          <t>CÔNG ANH TÀI</t>
        </is>
      </c>
      <c r="C473" s="45" t="inlineStr">
        <is>
          <t>Công nghệ thông tin 2 K66</t>
        </is>
      </c>
      <c r="D473" s="45" t="inlineStr">
        <is>
          <t>Năm 2</t>
        </is>
      </c>
      <c r="E473" s="45" t="inlineStr">
        <is>
          <t>2026_2027</t>
        </is>
      </c>
      <c r="F473" s="45" t="n">
        <v>4</v>
      </c>
      <c r="G473" s="46">
        <f>VLOOKUP(D473,'Cấu Hình Học Phí'!$A$8:$B$11,2,FALSE)</f>
        <v/>
      </c>
      <c r="H473" s="46">
        <f>F473*G473</f>
        <v/>
      </c>
      <c r="I473" s="45" t="n">
        <v>0</v>
      </c>
      <c r="J473" s="46">
        <f>I473*'Cấu Hình Học Phí'!$B$5</f>
        <v/>
      </c>
      <c r="K473" s="46" t="n">
        <v>0</v>
      </c>
      <c r="L473" s="46">
        <f>H473+J473-K473</f>
        <v/>
      </c>
      <c r="M473" s="46" t="n">
        <v>2420000</v>
      </c>
      <c r="N473" s="46" t="n">
        <v>0</v>
      </c>
      <c r="O473" s="46">
        <f>MAX(0,M473-N473-L473)</f>
        <v/>
      </c>
      <c r="P473" s="46">
        <f>MAX(0,L473-(M473-N473))</f>
        <v/>
      </c>
      <c r="Q473" s="45" t="inlineStr">
        <is>
          <t>30/09/2026</t>
        </is>
      </c>
      <c r="R473" s="45" t="inlineStr">
        <is>
          <t>PT2026-00470</t>
        </is>
      </c>
      <c r="S473" s="45" t="inlineStr"/>
    </row>
    <row r="474">
      <c r="A474" s="45" t="inlineStr">
        <is>
          <t>251230960</t>
        </is>
      </c>
      <c r="B474" s="45" t="inlineStr">
        <is>
          <t>CÔNG ANH TÀI</t>
        </is>
      </c>
      <c r="C474" s="45" t="inlineStr">
        <is>
          <t>Công nghệ thông tin 2 K66</t>
        </is>
      </c>
      <c r="D474" s="45" t="inlineStr">
        <is>
          <t>Năm 3</t>
        </is>
      </c>
      <c r="E474" s="45" t="inlineStr">
        <is>
          <t>2027_2028</t>
        </is>
      </c>
      <c r="F474" s="45" t="n">
        <v>4</v>
      </c>
      <c r="G474" s="46">
        <f>VLOOKUP(D474,'Cấu Hình Học Phí'!$A$8:$B$11,2,FALSE)</f>
        <v/>
      </c>
      <c r="H474" s="46">
        <f>F474*G474</f>
        <v/>
      </c>
      <c r="I474" s="45" t="n">
        <v>0</v>
      </c>
      <c r="J474" s="46">
        <f>I474*'Cấu Hình Học Phí'!$B$5</f>
        <v/>
      </c>
      <c r="K474" s="46" t="n">
        <v>0</v>
      </c>
      <c r="L474" s="46">
        <f>H474+J474-K474</f>
        <v/>
      </c>
      <c r="M474" s="46" t="n">
        <v>2662000</v>
      </c>
      <c r="N474" s="46" t="n">
        <v>0</v>
      </c>
      <c r="O474" s="46">
        <f>MAX(0,M474-N474-L474)</f>
        <v/>
      </c>
      <c r="P474" s="46">
        <f>MAX(0,L474-(M474-N474))</f>
        <v/>
      </c>
      <c r="Q474" s="45" t="inlineStr">
        <is>
          <t>30/09/2027</t>
        </is>
      </c>
      <c r="R474" s="45" t="inlineStr">
        <is>
          <t>PT2027-00471</t>
        </is>
      </c>
      <c r="S474" s="45" t="inlineStr"/>
    </row>
    <row r="475">
      <c r="A475" s="45" t="inlineStr">
        <is>
          <t>251230960</t>
        </is>
      </c>
      <c r="B475" s="45" t="inlineStr">
        <is>
          <t>CÔNG ANH TÀI</t>
        </is>
      </c>
      <c r="C475" s="45" t="inlineStr">
        <is>
          <t>Công nghệ thông tin 2 K66</t>
        </is>
      </c>
      <c r="D475" s="45" t="inlineStr">
        <is>
          <t>Năm 4</t>
        </is>
      </c>
      <c r="E475" s="45" t="inlineStr">
        <is>
          <t>2028_2029</t>
        </is>
      </c>
      <c r="F475" s="45" t="n">
        <v>1</v>
      </c>
      <c r="G475" s="46">
        <f>VLOOKUP(D475,'Cấu Hình Học Phí'!$A$8:$B$11,2,FALSE)</f>
        <v/>
      </c>
      <c r="H475" s="46">
        <f>F475*G475</f>
        <v/>
      </c>
      <c r="I475" s="45" t="n">
        <v>0</v>
      </c>
      <c r="J475" s="46">
        <f>I475*'Cấu Hình Học Phí'!$B$5</f>
        <v/>
      </c>
      <c r="K475" s="46" t="n">
        <v>0</v>
      </c>
      <c r="L475" s="46">
        <f>H475+J475-K475</f>
        <v/>
      </c>
      <c r="M475" s="46" t="n">
        <v>732050</v>
      </c>
      <c r="N475" s="46" t="n">
        <v>0</v>
      </c>
      <c r="O475" s="46">
        <f>MAX(0,M475-N475-L475)</f>
        <v/>
      </c>
      <c r="P475" s="46">
        <f>MAX(0,L475-(M475-N475))</f>
        <v/>
      </c>
      <c r="Q475" s="45" t="inlineStr">
        <is>
          <t>30/09/2028</t>
        </is>
      </c>
      <c r="R475" s="45" t="inlineStr">
        <is>
          <t>PT2028-00472</t>
        </is>
      </c>
      <c r="S475" s="45" t="inlineStr"/>
    </row>
    <row r="476">
      <c r="A476" s="45" t="inlineStr">
        <is>
          <t>251230961</t>
        </is>
      </c>
      <c r="B476" s="45" t="inlineStr">
        <is>
          <t>HOÀNG QUỐC THÁI</t>
        </is>
      </c>
      <c r="C476" s="45" t="inlineStr">
        <is>
          <t>Công nghệ thông tin 2 K66</t>
        </is>
      </c>
      <c r="D476" s="45" t="inlineStr">
        <is>
          <t>Năm 1</t>
        </is>
      </c>
      <c r="E476" s="45" t="inlineStr">
        <is>
          <t>2025_2026</t>
        </is>
      </c>
      <c r="F476" s="45" t="n">
        <v>4</v>
      </c>
      <c r="G476" s="46">
        <f>VLOOKUP(D476,'Cấu Hình Học Phí'!$A$8:$B$11,2,FALSE)</f>
        <v/>
      </c>
      <c r="H476" s="46">
        <f>F476*G476</f>
        <v/>
      </c>
      <c r="I476" s="45" t="n">
        <v>1</v>
      </c>
      <c r="J476" s="46">
        <f>I476*'Cấu Hình Học Phí'!$B$5</f>
        <v/>
      </c>
      <c r="K476" s="46" t="n">
        <v>0</v>
      </c>
      <c r="L476" s="46">
        <f>H476+J476-K476</f>
        <v/>
      </c>
      <c r="M476" s="46" t="n">
        <v>2200000</v>
      </c>
      <c r="N476" s="46" t="n">
        <v>0</v>
      </c>
      <c r="O476" s="46">
        <f>MAX(0,M476-N476-L476)</f>
        <v/>
      </c>
      <c r="P476" s="46">
        <f>MAX(0,L476-(M476-N476))</f>
        <v/>
      </c>
      <c r="Q476" s="45" t="inlineStr">
        <is>
          <t>30/09/2025</t>
        </is>
      </c>
      <c r="R476" s="45" t="inlineStr">
        <is>
          <t>PT2025-00473</t>
        </is>
      </c>
      <c r="S476" s="45" t="inlineStr">
        <is>
          <t>Chưa nộp phí phụ đạo 1 môn</t>
        </is>
      </c>
    </row>
    <row r="477">
      <c r="A477" s="45" t="inlineStr">
        <is>
          <t>251230961</t>
        </is>
      </c>
      <c r="B477" s="45" t="inlineStr">
        <is>
          <t>HOÀNG QUỐC THÁI</t>
        </is>
      </c>
      <c r="C477" s="45" t="inlineStr">
        <is>
          <t>Công nghệ thông tin 2 K66</t>
        </is>
      </c>
      <c r="D477" s="45" t="inlineStr">
        <is>
          <t>Năm 2</t>
        </is>
      </c>
      <c r="E477" s="45" t="inlineStr">
        <is>
          <t>2026_2027</t>
        </is>
      </c>
      <c r="F477" s="45" t="n">
        <v>4</v>
      </c>
      <c r="G477" s="46">
        <f>VLOOKUP(D477,'Cấu Hình Học Phí'!$A$8:$B$11,2,FALSE)</f>
        <v/>
      </c>
      <c r="H477" s="46">
        <f>F477*G477</f>
        <v/>
      </c>
      <c r="I477" s="45" t="n">
        <v>0</v>
      </c>
      <c r="J477" s="46">
        <f>I477*'Cấu Hình Học Phí'!$B$5</f>
        <v/>
      </c>
      <c r="K477" s="46" t="n">
        <v>0</v>
      </c>
      <c r="L477" s="46">
        <f>H477+J477-K477</f>
        <v/>
      </c>
      <c r="M477" s="46" t="n">
        <v>2420000</v>
      </c>
      <c r="N477" s="46" t="n">
        <v>0</v>
      </c>
      <c r="O477" s="46">
        <f>MAX(0,M477-N477-L477)</f>
        <v/>
      </c>
      <c r="P477" s="46">
        <f>MAX(0,L477-(M477-N477))</f>
        <v/>
      </c>
      <c r="Q477" s="45" t="inlineStr">
        <is>
          <t>30/09/2026</t>
        </is>
      </c>
      <c r="R477" s="45" t="inlineStr">
        <is>
          <t>PT2026-00474</t>
        </is>
      </c>
      <c r="S477" s="45" t="inlineStr"/>
    </row>
    <row r="478">
      <c r="A478" s="45" t="inlineStr">
        <is>
          <t>251230961</t>
        </is>
      </c>
      <c r="B478" s="45" t="inlineStr">
        <is>
          <t>HOÀNG QUỐC THÁI</t>
        </is>
      </c>
      <c r="C478" s="45" t="inlineStr">
        <is>
          <t>Công nghệ thông tin 2 K66</t>
        </is>
      </c>
      <c r="D478" s="45" t="inlineStr">
        <is>
          <t>Năm 3</t>
        </is>
      </c>
      <c r="E478" s="45" t="inlineStr">
        <is>
          <t>2027_2028</t>
        </is>
      </c>
      <c r="F478" s="45" t="n">
        <v>4</v>
      </c>
      <c r="G478" s="46">
        <f>VLOOKUP(D478,'Cấu Hình Học Phí'!$A$8:$B$11,2,FALSE)</f>
        <v/>
      </c>
      <c r="H478" s="46">
        <f>F478*G478</f>
        <v/>
      </c>
      <c r="I478" s="45" t="n">
        <v>0</v>
      </c>
      <c r="J478" s="46">
        <f>I478*'Cấu Hình Học Phí'!$B$5</f>
        <v/>
      </c>
      <c r="K478" s="46" t="n">
        <v>0</v>
      </c>
      <c r="L478" s="46">
        <f>H478+J478-K478</f>
        <v/>
      </c>
      <c r="M478" s="46" t="n">
        <v>2662000</v>
      </c>
      <c r="N478" s="46" t="n">
        <v>0</v>
      </c>
      <c r="O478" s="46">
        <f>MAX(0,M478-N478-L478)</f>
        <v/>
      </c>
      <c r="P478" s="46">
        <f>MAX(0,L478-(M478-N478))</f>
        <v/>
      </c>
      <c r="Q478" s="45" t="inlineStr">
        <is>
          <t>30/09/2027</t>
        </is>
      </c>
      <c r="R478" s="45" t="inlineStr">
        <is>
          <t>PT2027-00475</t>
        </is>
      </c>
      <c r="S478" s="45" t="inlineStr"/>
    </row>
    <row r="479">
      <c r="A479" s="45" t="inlineStr">
        <is>
          <t>251230961</t>
        </is>
      </c>
      <c r="B479" s="45" t="inlineStr">
        <is>
          <t>HOÀNG QUỐC THÁI</t>
        </is>
      </c>
      <c r="C479" s="45" t="inlineStr">
        <is>
          <t>Công nghệ thông tin 2 K66</t>
        </is>
      </c>
      <c r="D479" s="45" t="inlineStr">
        <is>
          <t>Năm 4</t>
        </is>
      </c>
      <c r="E479" s="45" t="inlineStr">
        <is>
          <t>2028_2029</t>
        </is>
      </c>
      <c r="F479" s="45" t="n">
        <v>1</v>
      </c>
      <c r="G479" s="46">
        <f>VLOOKUP(D479,'Cấu Hình Học Phí'!$A$8:$B$11,2,FALSE)</f>
        <v/>
      </c>
      <c r="H479" s="46">
        <f>F479*G479</f>
        <v/>
      </c>
      <c r="I479" s="45" t="n">
        <v>0</v>
      </c>
      <c r="J479" s="46">
        <f>I479*'Cấu Hình Học Phí'!$B$5</f>
        <v/>
      </c>
      <c r="K479" s="46" t="n">
        <v>0</v>
      </c>
      <c r="L479" s="46">
        <f>H479+J479-K479</f>
        <v/>
      </c>
      <c r="M479" s="46" t="n">
        <v>732050</v>
      </c>
      <c r="N479" s="46" t="n">
        <v>0</v>
      </c>
      <c r="O479" s="46">
        <f>MAX(0,M479-N479-L479)</f>
        <v/>
      </c>
      <c r="P479" s="46">
        <f>MAX(0,L479-(M479-N479))</f>
        <v/>
      </c>
      <c r="Q479" s="45" t="inlineStr">
        <is>
          <t>30/09/2028</t>
        </is>
      </c>
      <c r="R479" s="45" t="inlineStr">
        <is>
          <t>PT2028-00476</t>
        </is>
      </c>
      <c r="S479" s="45" t="inlineStr"/>
    </row>
    <row r="480">
      <c r="A480" s="45" t="inlineStr">
        <is>
          <t>251210975</t>
        </is>
      </c>
      <c r="B480" s="45" t="inlineStr">
        <is>
          <t>TRƯƠNG NGỌC THẮNG</t>
        </is>
      </c>
      <c r="C480" s="45" t="inlineStr">
        <is>
          <t>Công nghệ thông tin 2 K66</t>
        </is>
      </c>
      <c r="D480" s="45" t="inlineStr">
        <is>
          <t>Năm 1</t>
        </is>
      </c>
      <c r="E480" s="45" t="inlineStr">
        <is>
          <t>2025_2026</t>
        </is>
      </c>
      <c r="F480" s="45" t="n">
        <v>4</v>
      </c>
      <c r="G480" s="46">
        <f>VLOOKUP(D480,'Cấu Hình Học Phí'!$A$8:$B$11,2,FALSE)</f>
        <v/>
      </c>
      <c r="H480" s="46">
        <f>F480*G480</f>
        <v/>
      </c>
      <c r="I480" s="45" t="n">
        <v>1</v>
      </c>
      <c r="J480" s="46">
        <f>I480*'Cấu Hình Học Phí'!$B$5</f>
        <v/>
      </c>
      <c r="K480" s="46" t="n">
        <v>0</v>
      </c>
      <c r="L480" s="46">
        <f>H480+J480-K480</f>
        <v/>
      </c>
      <c r="M480" s="46" t="n">
        <v>3200000</v>
      </c>
      <c r="N480" s="46" t="n">
        <v>0</v>
      </c>
      <c r="O480" s="46">
        <f>MAX(0,M480-N480-L480)</f>
        <v/>
      </c>
      <c r="P480" s="46">
        <f>MAX(0,L480-(M480-N480))</f>
        <v/>
      </c>
      <c r="Q480" s="45" t="inlineStr">
        <is>
          <t>30/09/2025</t>
        </is>
      </c>
      <c r="R480" s="45" t="inlineStr">
        <is>
          <t>PT2025-00477</t>
        </is>
      </c>
      <c r="S480" s="45" t="inlineStr"/>
    </row>
    <row r="481">
      <c r="A481" s="45" t="inlineStr">
        <is>
          <t>251210975</t>
        </is>
      </c>
      <c r="B481" s="45" t="inlineStr">
        <is>
          <t>TRƯƠNG NGỌC THẮNG</t>
        </is>
      </c>
      <c r="C481" s="45" t="inlineStr">
        <is>
          <t>Công nghệ thông tin 2 K66</t>
        </is>
      </c>
      <c r="D481" s="45" t="inlineStr">
        <is>
          <t>Năm 2</t>
        </is>
      </c>
      <c r="E481" s="45" t="inlineStr">
        <is>
          <t>2026_2027</t>
        </is>
      </c>
      <c r="F481" s="45" t="n">
        <v>4</v>
      </c>
      <c r="G481" s="46">
        <f>VLOOKUP(D481,'Cấu Hình Học Phí'!$A$8:$B$11,2,FALSE)</f>
        <v/>
      </c>
      <c r="H481" s="46">
        <f>F481*G481</f>
        <v/>
      </c>
      <c r="I481" s="45" t="n">
        <v>0</v>
      </c>
      <c r="J481" s="46">
        <f>I481*'Cấu Hình Học Phí'!$B$5</f>
        <v/>
      </c>
      <c r="K481" s="46" t="n">
        <v>0</v>
      </c>
      <c r="L481" s="46">
        <f>H481+J481-K481</f>
        <v/>
      </c>
      <c r="M481" s="46" t="n">
        <v>2420000</v>
      </c>
      <c r="N481" s="46" t="n">
        <v>0</v>
      </c>
      <c r="O481" s="46">
        <f>MAX(0,M481-N481-L481)</f>
        <v/>
      </c>
      <c r="P481" s="46">
        <f>MAX(0,L481-(M481-N481))</f>
        <v/>
      </c>
      <c r="Q481" s="45" t="inlineStr">
        <is>
          <t>30/09/2026</t>
        </is>
      </c>
      <c r="R481" s="45" t="inlineStr">
        <is>
          <t>PT2026-00478</t>
        </is>
      </c>
      <c r="S481" s="45" t="inlineStr"/>
    </row>
    <row r="482">
      <c r="A482" s="45" t="inlineStr">
        <is>
          <t>251210975</t>
        </is>
      </c>
      <c r="B482" s="45" t="inlineStr">
        <is>
          <t>TRƯƠNG NGỌC THẮNG</t>
        </is>
      </c>
      <c r="C482" s="45" t="inlineStr">
        <is>
          <t>Công nghệ thông tin 2 K66</t>
        </is>
      </c>
      <c r="D482" s="45" t="inlineStr">
        <is>
          <t>Năm 3</t>
        </is>
      </c>
      <c r="E482" s="45" t="inlineStr">
        <is>
          <t>2027_2028</t>
        </is>
      </c>
      <c r="F482" s="45" t="n">
        <v>4</v>
      </c>
      <c r="G482" s="46">
        <f>VLOOKUP(D482,'Cấu Hình Học Phí'!$A$8:$B$11,2,FALSE)</f>
        <v/>
      </c>
      <c r="H482" s="46">
        <f>F482*G482</f>
        <v/>
      </c>
      <c r="I482" s="45" t="n">
        <v>0</v>
      </c>
      <c r="J482" s="46">
        <f>I482*'Cấu Hình Học Phí'!$B$5</f>
        <v/>
      </c>
      <c r="K482" s="46" t="n">
        <v>0</v>
      </c>
      <c r="L482" s="46">
        <f>H482+J482-K482</f>
        <v/>
      </c>
      <c r="M482" s="46" t="n">
        <v>2662000</v>
      </c>
      <c r="N482" s="46" t="n">
        <v>0</v>
      </c>
      <c r="O482" s="46">
        <f>MAX(0,M482-N482-L482)</f>
        <v/>
      </c>
      <c r="P482" s="46">
        <f>MAX(0,L482-(M482-N482))</f>
        <v/>
      </c>
      <c r="Q482" s="45" t="inlineStr">
        <is>
          <t>30/09/2027</t>
        </is>
      </c>
      <c r="R482" s="45" t="inlineStr">
        <is>
          <t>PT2027-00479</t>
        </is>
      </c>
      <c r="S482" s="45" t="inlineStr"/>
    </row>
    <row r="483">
      <c r="A483" s="45" t="inlineStr">
        <is>
          <t>251210975</t>
        </is>
      </c>
      <c r="B483" s="45" t="inlineStr">
        <is>
          <t>TRƯƠNG NGỌC THẮNG</t>
        </is>
      </c>
      <c r="C483" s="45" t="inlineStr">
        <is>
          <t>Công nghệ thông tin 2 K66</t>
        </is>
      </c>
      <c r="D483" s="45" t="inlineStr">
        <is>
          <t>Năm 4</t>
        </is>
      </c>
      <c r="E483" s="45" t="inlineStr">
        <is>
          <t>2028_2029</t>
        </is>
      </c>
      <c r="F483" s="45" t="n">
        <v>1</v>
      </c>
      <c r="G483" s="46">
        <f>VLOOKUP(D483,'Cấu Hình Học Phí'!$A$8:$B$11,2,FALSE)</f>
        <v/>
      </c>
      <c r="H483" s="46">
        <f>F483*G483</f>
        <v/>
      </c>
      <c r="I483" s="45" t="n">
        <v>1</v>
      </c>
      <c r="J483" s="46">
        <f>I483*'Cấu Hình Học Phí'!$B$5</f>
        <v/>
      </c>
      <c r="K483" s="46" t="n">
        <v>0</v>
      </c>
      <c r="L483" s="46">
        <f>H483+J483-K483</f>
        <v/>
      </c>
      <c r="M483" s="46" t="n">
        <v>1732050</v>
      </c>
      <c r="N483" s="46" t="n">
        <v>0</v>
      </c>
      <c r="O483" s="46">
        <f>MAX(0,M483-N483-L483)</f>
        <v/>
      </c>
      <c r="P483" s="46">
        <f>MAX(0,L483-(M483-N483))</f>
        <v/>
      </c>
      <c r="Q483" s="45" t="inlineStr">
        <is>
          <t>30/09/2028</t>
        </is>
      </c>
      <c r="R483" s="45" t="inlineStr">
        <is>
          <t>PT2028-00480</t>
        </is>
      </c>
      <c r="S483" s="45" t="inlineStr"/>
    </row>
    <row r="484">
      <c r="A484" s="45" t="inlineStr">
        <is>
          <t>251210965</t>
        </is>
      </c>
      <c r="B484" s="45" t="inlineStr">
        <is>
          <t>ĐỖ NHƯ THÀNH</t>
        </is>
      </c>
      <c r="C484" s="45" t="inlineStr">
        <is>
          <t>Công nghệ thông tin 2 K66</t>
        </is>
      </c>
      <c r="D484" s="45" t="inlineStr">
        <is>
          <t>Năm 1</t>
        </is>
      </c>
      <c r="E484" s="45" t="inlineStr">
        <is>
          <t>2025_2026</t>
        </is>
      </c>
      <c r="F484" s="45" t="n">
        <v>4</v>
      </c>
      <c r="G484" s="46">
        <f>VLOOKUP(D484,'Cấu Hình Học Phí'!$A$8:$B$11,2,FALSE)</f>
        <v/>
      </c>
      <c r="H484" s="46">
        <f>F484*G484</f>
        <v/>
      </c>
      <c r="I484" s="45" t="n">
        <v>2</v>
      </c>
      <c r="J484" s="46">
        <f>I484*'Cấu Hình Học Phí'!$B$5</f>
        <v/>
      </c>
      <c r="K484" s="46" t="n">
        <v>0</v>
      </c>
      <c r="L484" s="46">
        <f>H484+J484-K484</f>
        <v/>
      </c>
      <c r="M484" s="46" t="n">
        <v>3200000</v>
      </c>
      <c r="N484" s="46" t="n">
        <v>0</v>
      </c>
      <c r="O484" s="46">
        <f>MAX(0,M484-N484-L484)</f>
        <v/>
      </c>
      <c r="P484" s="46">
        <f>MAX(0,L484-(M484-N484))</f>
        <v/>
      </c>
      <c r="Q484" s="45" t="inlineStr">
        <is>
          <t>30/09/2025</t>
        </is>
      </c>
      <c r="R484" s="45" t="inlineStr">
        <is>
          <t>PT2025-00481</t>
        </is>
      </c>
      <c r="S484" s="45" t="inlineStr">
        <is>
          <t>Chưa nộp phí phụ đạo 1 môn</t>
        </is>
      </c>
    </row>
    <row r="485">
      <c r="A485" s="45" t="inlineStr">
        <is>
          <t>251210965</t>
        </is>
      </c>
      <c r="B485" s="45" t="inlineStr">
        <is>
          <t>ĐỖ NHƯ THÀNH</t>
        </is>
      </c>
      <c r="C485" s="45" t="inlineStr">
        <is>
          <t>Công nghệ thông tin 2 K66</t>
        </is>
      </c>
      <c r="D485" s="45" t="inlineStr">
        <is>
          <t>Năm 2</t>
        </is>
      </c>
      <c r="E485" s="45" t="inlineStr">
        <is>
          <t>2026_2027</t>
        </is>
      </c>
      <c r="F485" s="45" t="n">
        <v>4</v>
      </c>
      <c r="G485" s="46">
        <f>VLOOKUP(D485,'Cấu Hình Học Phí'!$A$8:$B$11,2,FALSE)</f>
        <v/>
      </c>
      <c r="H485" s="46">
        <f>F485*G485</f>
        <v/>
      </c>
      <c r="I485" s="45" t="n">
        <v>0</v>
      </c>
      <c r="J485" s="46">
        <f>I485*'Cấu Hình Học Phí'!$B$5</f>
        <v/>
      </c>
      <c r="K485" s="46" t="n">
        <v>0</v>
      </c>
      <c r="L485" s="46">
        <f>H485+J485-K485</f>
        <v/>
      </c>
      <c r="M485" s="46" t="n">
        <v>2420000</v>
      </c>
      <c r="N485" s="46" t="n">
        <v>0</v>
      </c>
      <c r="O485" s="46">
        <f>MAX(0,M485-N485-L485)</f>
        <v/>
      </c>
      <c r="P485" s="46">
        <f>MAX(0,L485-(M485-N485))</f>
        <v/>
      </c>
      <c r="Q485" s="45" t="inlineStr">
        <is>
          <t>30/09/2026</t>
        </is>
      </c>
      <c r="R485" s="45" t="inlineStr">
        <is>
          <t>PT2026-00482</t>
        </is>
      </c>
      <c r="S485" s="45" t="inlineStr"/>
    </row>
    <row r="486">
      <c r="A486" s="45" t="inlineStr">
        <is>
          <t>251210965</t>
        </is>
      </c>
      <c r="B486" s="45" t="inlineStr">
        <is>
          <t>ĐỖ NHƯ THÀNH</t>
        </is>
      </c>
      <c r="C486" s="45" t="inlineStr">
        <is>
          <t>Công nghệ thông tin 2 K66</t>
        </is>
      </c>
      <c r="D486" s="45" t="inlineStr">
        <is>
          <t>Năm 3</t>
        </is>
      </c>
      <c r="E486" s="45" t="inlineStr">
        <is>
          <t>2027_2028</t>
        </is>
      </c>
      <c r="F486" s="45" t="n">
        <v>4</v>
      </c>
      <c r="G486" s="46">
        <f>VLOOKUP(D486,'Cấu Hình Học Phí'!$A$8:$B$11,2,FALSE)</f>
        <v/>
      </c>
      <c r="H486" s="46">
        <f>F486*G486</f>
        <v/>
      </c>
      <c r="I486" s="45" t="n">
        <v>0</v>
      </c>
      <c r="J486" s="46">
        <f>I486*'Cấu Hình Học Phí'!$B$5</f>
        <v/>
      </c>
      <c r="K486" s="46" t="n">
        <v>0</v>
      </c>
      <c r="L486" s="46">
        <f>H486+J486-K486</f>
        <v/>
      </c>
      <c r="M486" s="46" t="n">
        <v>2662000</v>
      </c>
      <c r="N486" s="46" t="n">
        <v>0</v>
      </c>
      <c r="O486" s="46">
        <f>MAX(0,M486-N486-L486)</f>
        <v/>
      </c>
      <c r="P486" s="46">
        <f>MAX(0,L486-(M486-N486))</f>
        <v/>
      </c>
      <c r="Q486" s="45" t="inlineStr">
        <is>
          <t>30/09/2027</t>
        </is>
      </c>
      <c r="R486" s="45" t="inlineStr">
        <is>
          <t>PT2027-00483</t>
        </is>
      </c>
      <c r="S486" s="45" t="inlineStr"/>
    </row>
    <row r="487">
      <c r="A487" s="45" t="inlineStr">
        <is>
          <t>251210965</t>
        </is>
      </c>
      <c r="B487" s="45" t="inlineStr">
        <is>
          <t>ĐỖ NHƯ THÀNH</t>
        </is>
      </c>
      <c r="C487" s="45" t="inlineStr">
        <is>
          <t>Công nghệ thông tin 2 K66</t>
        </is>
      </c>
      <c r="D487" s="45" t="inlineStr">
        <is>
          <t>Năm 4</t>
        </is>
      </c>
      <c r="E487" s="45" t="inlineStr">
        <is>
          <t>2028_2029</t>
        </is>
      </c>
      <c r="F487" s="45" t="n">
        <v>1</v>
      </c>
      <c r="G487" s="46">
        <f>VLOOKUP(D487,'Cấu Hình Học Phí'!$A$8:$B$11,2,FALSE)</f>
        <v/>
      </c>
      <c r="H487" s="46">
        <f>F487*G487</f>
        <v/>
      </c>
      <c r="I487" s="45" t="n">
        <v>0</v>
      </c>
      <c r="J487" s="46">
        <f>I487*'Cấu Hình Học Phí'!$B$5</f>
        <v/>
      </c>
      <c r="K487" s="46" t="n">
        <v>0</v>
      </c>
      <c r="L487" s="46">
        <f>H487+J487-K487</f>
        <v/>
      </c>
      <c r="M487" s="46" t="n">
        <v>732050</v>
      </c>
      <c r="N487" s="46" t="n">
        <v>0</v>
      </c>
      <c r="O487" s="46">
        <f>MAX(0,M487-N487-L487)</f>
        <v/>
      </c>
      <c r="P487" s="46">
        <f>MAX(0,L487-(M487-N487))</f>
        <v/>
      </c>
      <c r="Q487" s="45" t="inlineStr">
        <is>
          <t>30/09/2028</t>
        </is>
      </c>
      <c r="R487" s="45" t="inlineStr">
        <is>
          <t>PT2028-00484</t>
        </is>
      </c>
      <c r="S487" s="45" t="inlineStr"/>
    </row>
    <row r="488">
      <c r="A488" s="45" t="inlineStr">
        <is>
          <t>251230968</t>
        </is>
      </c>
      <c r="B488" s="45" t="inlineStr">
        <is>
          <t>NGUYỄN QUANG THÀNH</t>
        </is>
      </c>
      <c r="C488" s="45" t="inlineStr">
        <is>
          <t>Công nghệ thông tin 2 K66</t>
        </is>
      </c>
      <c r="D488" s="45" t="inlineStr">
        <is>
          <t>Năm 1</t>
        </is>
      </c>
      <c r="E488" s="45" t="inlineStr">
        <is>
          <t>2025_2026</t>
        </is>
      </c>
      <c r="F488" s="45" t="n">
        <v>4</v>
      </c>
      <c r="G488" s="46">
        <f>VLOOKUP(D488,'Cấu Hình Học Phí'!$A$8:$B$11,2,FALSE)</f>
        <v/>
      </c>
      <c r="H488" s="46">
        <f>F488*G488</f>
        <v/>
      </c>
      <c r="I488" s="45" t="n">
        <v>0</v>
      </c>
      <c r="J488" s="46">
        <f>I488*'Cấu Hình Học Phí'!$B$5</f>
        <v/>
      </c>
      <c r="K488" s="46" t="n">
        <v>0</v>
      </c>
      <c r="L488" s="46">
        <f>H488+J488-K488</f>
        <v/>
      </c>
      <c r="M488" s="46" t="n">
        <v>2200000</v>
      </c>
      <c r="N488" s="46" t="n">
        <v>0</v>
      </c>
      <c r="O488" s="46">
        <f>MAX(0,M488-N488-L488)</f>
        <v/>
      </c>
      <c r="P488" s="46">
        <f>MAX(0,L488-(M488-N488))</f>
        <v/>
      </c>
      <c r="Q488" s="45" t="inlineStr">
        <is>
          <t>30/09/2025</t>
        </is>
      </c>
      <c r="R488" s="45" t="inlineStr">
        <is>
          <t>PT2025-00485</t>
        </is>
      </c>
      <c r="S488" s="45" t="inlineStr"/>
    </row>
    <row r="489">
      <c r="A489" s="45" t="inlineStr">
        <is>
          <t>251230968</t>
        </is>
      </c>
      <c r="B489" s="45" t="inlineStr">
        <is>
          <t>NGUYỄN QUANG THÀNH</t>
        </is>
      </c>
      <c r="C489" s="45" t="inlineStr">
        <is>
          <t>Công nghệ thông tin 2 K66</t>
        </is>
      </c>
      <c r="D489" s="45" t="inlineStr">
        <is>
          <t>Năm 2</t>
        </is>
      </c>
      <c r="E489" s="45" t="inlineStr">
        <is>
          <t>2026_2027</t>
        </is>
      </c>
      <c r="F489" s="45" t="n">
        <v>4</v>
      </c>
      <c r="G489" s="46">
        <f>VLOOKUP(D489,'Cấu Hình Học Phí'!$A$8:$B$11,2,FALSE)</f>
        <v/>
      </c>
      <c r="H489" s="46">
        <f>F489*G489</f>
        <v/>
      </c>
      <c r="I489" s="45" t="n">
        <v>0</v>
      </c>
      <c r="J489" s="46">
        <f>I489*'Cấu Hình Học Phí'!$B$5</f>
        <v/>
      </c>
      <c r="K489" s="46" t="n">
        <v>0</v>
      </c>
      <c r="L489" s="46">
        <f>H489+J489-K489</f>
        <v/>
      </c>
      <c r="M489" s="46" t="n">
        <v>2420000</v>
      </c>
      <c r="N489" s="46" t="n">
        <v>0</v>
      </c>
      <c r="O489" s="46">
        <f>MAX(0,M489-N489-L489)</f>
        <v/>
      </c>
      <c r="P489" s="46">
        <f>MAX(0,L489-(M489-N489))</f>
        <v/>
      </c>
      <c r="Q489" s="45" t="inlineStr">
        <is>
          <t>30/09/2026</t>
        </is>
      </c>
      <c r="R489" s="45" t="inlineStr">
        <is>
          <t>PT2026-00486</t>
        </is>
      </c>
      <c r="S489" s="45" t="inlineStr"/>
    </row>
    <row r="490">
      <c r="A490" s="45" t="inlineStr">
        <is>
          <t>251230968</t>
        </is>
      </c>
      <c r="B490" s="45" t="inlineStr">
        <is>
          <t>NGUYỄN QUANG THÀNH</t>
        </is>
      </c>
      <c r="C490" s="45" t="inlineStr">
        <is>
          <t>Công nghệ thông tin 2 K66</t>
        </is>
      </c>
      <c r="D490" s="45" t="inlineStr">
        <is>
          <t>Năm 3</t>
        </is>
      </c>
      <c r="E490" s="45" t="inlineStr">
        <is>
          <t>2027_2028</t>
        </is>
      </c>
      <c r="F490" s="45" t="n">
        <v>4</v>
      </c>
      <c r="G490" s="46">
        <f>VLOOKUP(D490,'Cấu Hình Học Phí'!$A$8:$B$11,2,FALSE)</f>
        <v/>
      </c>
      <c r="H490" s="46">
        <f>F490*G490</f>
        <v/>
      </c>
      <c r="I490" s="45" t="n">
        <v>0</v>
      </c>
      <c r="J490" s="46">
        <f>I490*'Cấu Hình Học Phí'!$B$5</f>
        <v/>
      </c>
      <c r="K490" s="46" t="n">
        <v>0</v>
      </c>
      <c r="L490" s="46">
        <f>H490+J490-K490</f>
        <v/>
      </c>
      <c r="M490" s="46" t="n">
        <v>2662000</v>
      </c>
      <c r="N490" s="46" t="n">
        <v>0</v>
      </c>
      <c r="O490" s="46">
        <f>MAX(0,M490-N490-L490)</f>
        <v/>
      </c>
      <c r="P490" s="46">
        <f>MAX(0,L490-(M490-N490))</f>
        <v/>
      </c>
      <c r="Q490" s="45" t="inlineStr">
        <is>
          <t>30/09/2027</t>
        </is>
      </c>
      <c r="R490" s="45" t="inlineStr">
        <is>
          <t>PT2027-00487</t>
        </is>
      </c>
      <c r="S490" s="45" t="inlineStr"/>
    </row>
    <row r="491">
      <c r="A491" s="45" t="inlineStr">
        <is>
          <t>251230968</t>
        </is>
      </c>
      <c r="B491" s="45" t="inlineStr">
        <is>
          <t>NGUYỄN QUANG THÀNH</t>
        </is>
      </c>
      <c r="C491" s="45" t="inlineStr">
        <is>
          <t>Công nghệ thông tin 2 K66</t>
        </is>
      </c>
      <c r="D491" s="45" t="inlineStr">
        <is>
          <t>Năm 4</t>
        </is>
      </c>
      <c r="E491" s="45" t="inlineStr">
        <is>
          <t>2028_2029</t>
        </is>
      </c>
      <c r="F491" s="45" t="n">
        <v>1</v>
      </c>
      <c r="G491" s="46">
        <f>VLOOKUP(D491,'Cấu Hình Học Phí'!$A$8:$B$11,2,FALSE)</f>
        <v/>
      </c>
      <c r="H491" s="46">
        <f>F491*G491</f>
        <v/>
      </c>
      <c r="I491" s="45" t="n">
        <v>0</v>
      </c>
      <c r="J491" s="46">
        <f>I491*'Cấu Hình Học Phí'!$B$5</f>
        <v/>
      </c>
      <c r="K491" s="46" t="n">
        <v>0</v>
      </c>
      <c r="L491" s="46">
        <f>H491+J491-K491</f>
        <v/>
      </c>
      <c r="M491" s="46" t="n">
        <v>732050</v>
      </c>
      <c r="N491" s="46" t="n">
        <v>0</v>
      </c>
      <c r="O491" s="46">
        <f>MAX(0,M491-N491-L491)</f>
        <v/>
      </c>
      <c r="P491" s="46">
        <f>MAX(0,L491-(M491-N491))</f>
        <v/>
      </c>
      <c r="Q491" s="45" t="inlineStr">
        <is>
          <t>30/09/2028</t>
        </is>
      </c>
      <c r="R491" s="45" t="inlineStr">
        <is>
          <t>PT2028-00488</t>
        </is>
      </c>
      <c r="S491" s="45" t="inlineStr"/>
    </row>
    <row r="492">
      <c r="A492" s="45" t="inlineStr">
        <is>
          <t>251230971</t>
        </is>
      </c>
      <c r="B492" s="45" t="inlineStr">
        <is>
          <t>TRẦN VĂN THÀNH</t>
        </is>
      </c>
      <c r="C492" s="45" t="inlineStr">
        <is>
          <t>Công nghệ thông tin 2 K66</t>
        </is>
      </c>
      <c r="D492" s="45" t="inlineStr">
        <is>
          <t>Năm 1</t>
        </is>
      </c>
      <c r="E492" s="45" t="inlineStr">
        <is>
          <t>2025_2026</t>
        </is>
      </c>
      <c r="F492" s="45" t="n">
        <v>4</v>
      </c>
      <c r="G492" s="46">
        <f>VLOOKUP(D492,'Cấu Hình Học Phí'!$A$8:$B$11,2,FALSE)</f>
        <v/>
      </c>
      <c r="H492" s="46">
        <f>F492*G492</f>
        <v/>
      </c>
      <c r="I492" s="45" t="n">
        <v>1</v>
      </c>
      <c r="J492" s="46">
        <f>I492*'Cấu Hình Học Phí'!$B$5</f>
        <v/>
      </c>
      <c r="K492" s="46" t="n">
        <v>0</v>
      </c>
      <c r="L492" s="46">
        <f>H492+J492-K492</f>
        <v/>
      </c>
      <c r="M492" s="46" t="n">
        <v>2200000</v>
      </c>
      <c r="N492" s="46" t="n">
        <v>0</v>
      </c>
      <c r="O492" s="46">
        <f>MAX(0,M492-N492-L492)</f>
        <v/>
      </c>
      <c r="P492" s="46">
        <f>MAX(0,L492-(M492-N492))</f>
        <v/>
      </c>
      <c r="Q492" s="45" t="inlineStr">
        <is>
          <t>30/09/2025</t>
        </is>
      </c>
      <c r="R492" s="45" t="inlineStr">
        <is>
          <t>PT2025-00489</t>
        </is>
      </c>
      <c r="S492" s="45" t="inlineStr">
        <is>
          <t>Chưa nộp phí phụ đạo 1 môn</t>
        </is>
      </c>
    </row>
    <row r="493">
      <c r="A493" s="45" t="inlineStr">
        <is>
          <t>251230971</t>
        </is>
      </c>
      <c r="B493" s="45" t="inlineStr">
        <is>
          <t>TRẦN VĂN THÀNH</t>
        </is>
      </c>
      <c r="C493" s="45" t="inlineStr">
        <is>
          <t>Công nghệ thông tin 2 K66</t>
        </is>
      </c>
      <c r="D493" s="45" t="inlineStr">
        <is>
          <t>Năm 2</t>
        </is>
      </c>
      <c r="E493" s="45" t="inlineStr">
        <is>
          <t>2026_2027</t>
        </is>
      </c>
      <c r="F493" s="45" t="n">
        <v>4</v>
      </c>
      <c r="G493" s="46">
        <f>VLOOKUP(D493,'Cấu Hình Học Phí'!$A$8:$B$11,2,FALSE)</f>
        <v/>
      </c>
      <c r="H493" s="46">
        <f>F493*G493</f>
        <v/>
      </c>
      <c r="I493" s="45" t="n">
        <v>0</v>
      </c>
      <c r="J493" s="46">
        <f>I493*'Cấu Hình Học Phí'!$B$5</f>
        <v/>
      </c>
      <c r="K493" s="46" t="n">
        <v>0</v>
      </c>
      <c r="L493" s="46">
        <f>H493+J493-K493</f>
        <v/>
      </c>
      <c r="M493" s="46" t="n">
        <v>2420000</v>
      </c>
      <c r="N493" s="46" t="n">
        <v>0</v>
      </c>
      <c r="O493" s="46">
        <f>MAX(0,M493-N493-L493)</f>
        <v/>
      </c>
      <c r="P493" s="46">
        <f>MAX(0,L493-(M493-N493))</f>
        <v/>
      </c>
      <c r="Q493" s="45" t="inlineStr">
        <is>
          <t>30/09/2026</t>
        </is>
      </c>
      <c r="R493" s="45" t="inlineStr">
        <is>
          <t>PT2026-00490</t>
        </is>
      </c>
      <c r="S493" s="45" t="inlineStr"/>
    </row>
    <row r="494">
      <c r="A494" s="45" t="inlineStr">
        <is>
          <t>251230971</t>
        </is>
      </c>
      <c r="B494" s="45" t="inlineStr">
        <is>
          <t>TRẦN VĂN THÀNH</t>
        </is>
      </c>
      <c r="C494" s="45" t="inlineStr">
        <is>
          <t>Công nghệ thông tin 2 K66</t>
        </is>
      </c>
      <c r="D494" s="45" t="inlineStr">
        <is>
          <t>Năm 3</t>
        </is>
      </c>
      <c r="E494" s="45" t="inlineStr">
        <is>
          <t>2027_2028</t>
        </is>
      </c>
      <c r="F494" s="45" t="n">
        <v>4</v>
      </c>
      <c r="G494" s="46">
        <f>VLOOKUP(D494,'Cấu Hình Học Phí'!$A$8:$B$11,2,FALSE)</f>
        <v/>
      </c>
      <c r="H494" s="46">
        <f>F494*G494</f>
        <v/>
      </c>
      <c r="I494" s="45" t="n">
        <v>1</v>
      </c>
      <c r="J494" s="46">
        <f>I494*'Cấu Hình Học Phí'!$B$5</f>
        <v/>
      </c>
      <c r="K494" s="46" t="n">
        <v>0</v>
      </c>
      <c r="L494" s="46">
        <f>H494+J494-K494</f>
        <v/>
      </c>
      <c r="M494" s="46" t="n">
        <v>2662000</v>
      </c>
      <c r="N494" s="46" t="n">
        <v>0</v>
      </c>
      <c r="O494" s="46">
        <f>MAX(0,M494-N494-L494)</f>
        <v/>
      </c>
      <c r="P494" s="46">
        <f>MAX(0,L494-(M494-N494))</f>
        <v/>
      </c>
      <c r="Q494" s="45" t="inlineStr">
        <is>
          <t>30/09/2027</t>
        </is>
      </c>
      <c r="R494" s="45" t="inlineStr">
        <is>
          <t>PT2027-00491</t>
        </is>
      </c>
      <c r="S494" s="45" t="inlineStr">
        <is>
          <t>Chưa nộp phí phụ đạo 1 môn</t>
        </is>
      </c>
    </row>
    <row r="495">
      <c r="A495" s="45" t="inlineStr">
        <is>
          <t>251230971</t>
        </is>
      </c>
      <c r="B495" s="45" t="inlineStr">
        <is>
          <t>TRẦN VĂN THÀNH</t>
        </is>
      </c>
      <c r="C495" s="45" t="inlineStr">
        <is>
          <t>Công nghệ thông tin 2 K66</t>
        </is>
      </c>
      <c r="D495" s="45" t="inlineStr">
        <is>
          <t>Năm 4</t>
        </is>
      </c>
      <c r="E495" s="45" t="inlineStr">
        <is>
          <t>2028_2029</t>
        </is>
      </c>
      <c r="F495" s="45" t="n">
        <v>1</v>
      </c>
      <c r="G495" s="46">
        <f>VLOOKUP(D495,'Cấu Hình Học Phí'!$A$8:$B$11,2,FALSE)</f>
        <v/>
      </c>
      <c r="H495" s="46">
        <f>F495*G495</f>
        <v/>
      </c>
      <c r="I495" s="45" t="n">
        <v>0</v>
      </c>
      <c r="J495" s="46">
        <f>I495*'Cấu Hình Học Phí'!$B$5</f>
        <v/>
      </c>
      <c r="K495" s="46" t="n">
        <v>0</v>
      </c>
      <c r="L495" s="46">
        <f>H495+J495-K495</f>
        <v/>
      </c>
      <c r="M495" s="46" t="n">
        <v>732050</v>
      </c>
      <c r="N495" s="46" t="n">
        <v>0</v>
      </c>
      <c r="O495" s="46">
        <f>MAX(0,M495-N495-L495)</f>
        <v/>
      </c>
      <c r="P495" s="46">
        <f>MAX(0,L495-(M495-N495))</f>
        <v/>
      </c>
      <c r="Q495" s="45" t="inlineStr">
        <is>
          <t>30/09/2028</t>
        </is>
      </c>
      <c r="R495" s="45" t="inlineStr">
        <is>
          <t>PT2028-00492</t>
        </is>
      </c>
      <c r="S495" s="45" t="inlineStr"/>
    </row>
    <row r="496">
      <c r="A496" s="45" t="inlineStr">
        <is>
          <t>251230978</t>
        </is>
      </c>
      <c r="B496" s="45" t="inlineStr">
        <is>
          <t>NGUYỄN TÁ ANH THỊNH</t>
        </is>
      </c>
      <c r="C496" s="45" t="inlineStr">
        <is>
          <t>Công nghệ thông tin 2 K66</t>
        </is>
      </c>
      <c r="D496" s="45" t="inlineStr">
        <is>
          <t>Năm 1</t>
        </is>
      </c>
      <c r="E496" s="45" t="inlineStr">
        <is>
          <t>2025_2026</t>
        </is>
      </c>
      <c r="F496" s="45" t="n">
        <v>4</v>
      </c>
      <c r="G496" s="46">
        <f>VLOOKUP(D496,'Cấu Hình Học Phí'!$A$8:$B$11,2,FALSE)</f>
        <v/>
      </c>
      <c r="H496" s="46">
        <f>F496*G496</f>
        <v/>
      </c>
      <c r="I496" s="45" t="n">
        <v>0</v>
      </c>
      <c r="J496" s="46">
        <f>I496*'Cấu Hình Học Phí'!$B$5</f>
        <v/>
      </c>
      <c r="K496" s="46" t="n">
        <v>0</v>
      </c>
      <c r="L496" s="46">
        <f>H496+J496-K496</f>
        <v/>
      </c>
      <c r="M496" s="46" t="n">
        <v>2200000</v>
      </c>
      <c r="N496" s="46" t="n">
        <v>0</v>
      </c>
      <c r="O496" s="46">
        <f>MAX(0,M496-N496-L496)</f>
        <v/>
      </c>
      <c r="P496" s="46">
        <f>MAX(0,L496-(M496-N496))</f>
        <v/>
      </c>
      <c r="Q496" s="45" t="inlineStr">
        <is>
          <t>30/09/2025</t>
        </is>
      </c>
      <c r="R496" s="45" t="inlineStr">
        <is>
          <t>PT2025-00493</t>
        </is>
      </c>
      <c r="S496" s="45" t="inlineStr"/>
    </row>
    <row r="497">
      <c r="A497" s="45" t="inlineStr">
        <is>
          <t>251230978</t>
        </is>
      </c>
      <c r="B497" s="45" t="inlineStr">
        <is>
          <t>NGUYỄN TÁ ANH THỊNH</t>
        </is>
      </c>
      <c r="C497" s="45" t="inlineStr">
        <is>
          <t>Công nghệ thông tin 2 K66</t>
        </is>
      </c>
      <c r="D497" s="45" t="inlineStr">
        <is>
          <t>Năm 2</t>
        </is>
      </c>
      <c r="E497" s="45" t="inlineStr">
        <is>
          <t>2026_2027</t>
        </is>
      </c>
      <c r="F497" s="45" t="n">
        <v>4</v>
      </c>
      <c r="G497" s="46">
        <f>VLOOKUP(D497,'Cấu Hình Học Phí'!$A$8:$B$11,2,FALSE)</f>
        <v/>
      </c>
      <c r="H497" s="46">
        <f>F497*G497</f>
        <v/>
      </c>
      <c r="I497" s="45" t="n">
        <v>1</v>
      </c>
      <c r="J497" s="46">
        <f>I497*'Cấu Hình Học Phí'!$B$5</f>
        <v/>
      </c>
      <c r="K497" s="46" t="n">
        <v>0</v>
      </c>
      <c r="L497" s="46">
        <f>H497+J497-K497</f>
        <v/>
      </c>
      <c r="M497" s="46" t="n">
        <v>3420000</v>
      </c>
      <c r="N497" s="46" t="n">
        <v>0</v>
      </c>
      <c r="O497" s="46">
        <f>MAX(0,M497-N497-L497)</f>
        <v/>
      </c>
      <c r="P497" s="46">
        <f>MAX(0,L497-(M497-N497))</f>
        <v/>
      </c>
      <c r="Q497" s="45" t="inlineStr">
        <is>
          <t>30/09/2026</t>
        </is>
      </c>
      <c r="R497" s="45" t="inlineStr">
        <is>
          <t>PT2026-00494</t>
        </is>
      </c>
      <c r="S497" s="45" t="inlineStr"/>
    </row>
    <row r="498">
      <c r="A498" s="45" t="inlineStr">
        <is>
          <t>251230978</t>
        </is>
      </c>
      <c r="B498" s="45" t="inlineStr">
        <is>
          <t>NGUYỄN TÁ ANH THỊNH</t>
        </is>
      </c>
      <c r="C498" s="45" t="inlineStr">
        <is>
          <t>Công nghệ thông tin 2 K66</t>
        </is>
      </c>
      <c r="D498" s="45" t="inlineStr">
        <is>
          <t>Năm 3</t>
        </is>
      </c>
      <c r="E498" s="45" t="inlineStr">
        <is>
          <t>2027_2028</t>
        </is>
      </c>
      <c r="F498" s="45" t="n">
        <v>4</v>
      </c>
      <c r="G498" s="46">
        <f>VLOOKUP(D498,'Cấu Hình Học Phí'!$A$8:$B$11,2,FALSE)</f>
        <v/>
      </c>
      <c r="H498" s="46">
        <f>F498*G498</f>
        <v/>
      </c>
      <c r="I498" s="45" t="n">
        <v>0</v>
      </c>
      <c r="J498" s="46">
        <f>I498*'Cấu Hình Học Phí'!$B$5</f>
        <v/>
      </c>
      <c r="K498" s="46" t="n">
        <v>0</v>
      </c>
      <c r="L498" s="46">
        <f>H498+J498-K498</f>
        <v/>
      </c>
      <c r="M498" s="46" t="n">
        <v>2662000</v>
      </c>
      <c r="N498" s="46" t="n">
        <v>0</v>
      </c>
      <c r="O498" s="46">
        <f>MAX(0,M498-N498-L498)</f>
        <v/>
      </c>
      <c r="P498" s="46">
        <f>MAX(0,L498-(M498-N498))</f>
        <v/>
      </c>
      <c r="Q498" s="45" t="inlineStr">
        <is>
          <t>30/09/2027</t>
        </is>
      </c>
      <c r="R498" s="45" t="inlineStr">
        <is>
          <t>PT2027-00495</t>
        </is>
      </c>
      <c r="S498" s="45" t="inlineStr"/>
    </row>
    <row r="499">
      <c r="A499" s="45" t="inlineStr">
        <is>
          <t>251230978</t>
        </is>
      </c>
      <c r="B499" s="45" t="inlineStr">
        <is>
          <t>NGUYỄN TÁ ANH THỊNH</t>
        </is>
      </c>
      <c r="C499" s="45" t="inlineStr">
        <is>
          <t>Công nghệ thông tin 2 K66</t>
        </is>
      </c>
      <c r="D499" s="45" t="inlineStr">
        <is>
          <t>Năm 4</t>
        </is>
      </c>
      <c r="E499" s="45" t="inlineStr">
        <is>
          <t>2028_2029</t>
        </is>
      </c>
      <c r="F499" s="45" t="n">
        <v>1</v>
      </c>
      <c r="G499" s="46">
        <f>VLOOKUP(D499,'Cấu Hình Học Phí'!$A$8:$B$11,2,FALSE)</f>
        <v/>
      </c>
      <c r="H499" s="46">
        <f>F499*G499</f>
        <v/>
      </c>
      <c r="I499" s="45" t="n">
        <v>1</v>
      </c>
      <c r="J499" s="46">
        <f>I499*'Cấu Hình Học Phí'!$B$5</f>
        <v/>
      </c>
      <c r="K499" s="46" t="n">
        <v>0</v>
      </c>
      <c r="L499" s="46">
        <f>H499+J499-K499</f>
        <v/>
      </c>
      <c r="M499" s="46" t="n">
        <v>1732050</v>
      </c>
      <c r="N499" s="46" t="n">
        <v>0</v>
      </c>
      <c r="O499" s="46">
        <f>MAX(0,M499-N499-L499)</f>
        <v/>
      </c>
      <c r="P499" s="46">
        <f>MAX(0,L499-(M499-N499))</f>
        <v/>
      </c>
      <c r="Q499" s="45" t="inlineStr">
        <is>
          <t>30/09/2028</t>
        </is>
      </c>
      <c r="R499" s="45" t="inlineStr">
        <is>
          <t>PT2028-00496</t>
        </is>
      </c>
      <c r="S499" s="45" t="inlineStr"/>
    </row>
    <row r="500">
      <c r="A500" s="45" t="inlineStr">
        <is>
          <t>251230980</t>
        </is>
      </c>
      <c r="B500" s="45" t="inlineStr">
        <is>
          <t>TRẦN BÁ THƯỜNG</t>
        </is>
      </c>
      <c r="C500" s="45" t="inlineStr">
        <is>
          <t>Công nghệ thông tin 2 K66</t>
        </is>
      </c>
      <c r="D500" s="45" t="inlineStr">
        <is>
          <t>Năm 1</t>
        </is>
      </c>
      <c r="E500" s="45" t="inlineStr">
        <is>
          <t>2025_2026</t>
        </is>
      </c>
      <c r="F500" s="45" t="n">
        <v>4</v>
      </c>
      <c r="G500" s="46">
        <f>VLOOKUP(D500,'Cấu Hình Học Phí'!$A$8:$B$11,2,FALSE)</f>
        <v/>
      </c>
      <c r="H500" s="46">
        <f>F500*G500</f>
        <v/>
      </c>
      <c r="I500" s="45" t="n">
        <v>0</v>
      </c>
      <c r="J500" s="46">
        <f>I500*'Cấu Hình Học Phí'!$B$5</f>
        <v/>
      </c>
      <c r="K500" s="46" t="n">
        <v>0</v>
      </c>
      <c r="L500" s="46">
        <f>H500+J500-K500</f>
        <v/>
      </c>
      <c r="M500" s="46" t="n">
        <v>2200000</v>
      </c>
      <c r="N500" s="46" t="n">
        <v>0</v>
      </c>
      <c r="O500" s="46">
        <f>MAX(0,M500-N500-L500)</f>
        <v/>
      </c>
      <c r="P500" s="46">
        <f>MAX(0,L500-(M500-N500))</f>
        <v/>
      </c>
      <c r="Q500" s="45" t="inlineStr">
        <is>
          <t>30/09/2025</t>
        </is>
      </c>
      <c r="R500" s="45" t="inlineStr">
        <is>
          <t>PT2025-00497</t>
        </is>
      </c>
      <c r="S500" s="45" t="inlineStr"/>
    </row>
    <row r="501">
      <c r="A501" s="45" t="inlineStr">
        <is>
          <t>251230980</t>
        </is>
      </c>
      <c r="B501" s="45" t="inlineStr">
        <is>
          <t>TRẦN BÁ THƯỜNG</t>
        </is>
      </c>
      <c r="C501" s="45" t="inlineStr">
        <is>
          <t>Công nghệ thông tin 2 K66</t>
        </is>
      </c>
      <c r="D501" s="45" t="inlineStr">
        <is>
          <t>Năm 2</t>
        </is>
      </c>
      <c r="E501" s="45" t="inlineStr">
        <is>
          <t>2026_2027</t>
        </is>
      </c>
      <c r="F501" s="45" t="n">
        <v>4</v>
      </c>
      <c r="G501" s="46">
        <f>VLOOKUP(D501,'Cấu Hình Học Phí'!$A$8:$B$11,2,FALSE)</f>
        <v/>
      </c>
      <c r="H501" s="46">
        <f>F501*G501</f>
        <v/>
      </c>
      <c r="I501" s="45" t="n">
        <v>0</v>
      </c>
      <c r="J501" s="46">
        <f>I501*'Cấu Hình Học Phí'!$B$5</f>
        <v/>
      </c>
      <c r="K501" s="46" t="n">
        <v>0</v>
      </c>
      <c r="L501" s="46">
        <f>H501+J501-K501</f>
        <v/>
      </c>
      <c r="M501" s="46" t="n">
        <v>2420000</v>
      </c>
      <c r="N501" s="46" t="n">
        <v>0</v>
      </c>
      <c r="O501" s="46">
        <f>MAX(0,M501-N501-L501)</f>
        <v/>
      </c>
      <c r="P501" s="46">
        <f>MAX(0,L501-(M501-N501))</f>
        <v/>
      </c>
      <c r="Q501" s="45" t="inlineStr">
        <is>
          <t>30/09/2026</t>
        </is>
      </c>
      <c r="R501" s="45" t="inlineStr">
        <is>
          <t>PT2026-00498</t>
        </is>
      </c>
      <c r="S501" s="45" t="inlineStr"/>
    </row>
    <row r="502">
      <c r="A502" s="45" t="inlineStr">
        <is>
          <t>251230980</t>
        </is>
      </c>
      <c r="B502" s="45" t="inlineStr">
        <is>
          <t>TRẦN BÁ THƯỜNG</t>
        </is>
      </c>
      <c r="C502" s="45" t="inlineStr">
        <is>
          <t>Công nghệ thông tin 2 K66</t>
        </is>
      </c>
      <c r="D502" s="45" t="inlineStr">
        <is>
          <t>Năm 3</t>
        </is>
      </c>
      <c r="E502" s="45" t="inlineStr">
        <is>
          <t>2027_2028</t>
        </is>
      </c>
      <c r="F502" s="45" t="n">
        <v>4</v>
      </c>
      <c r="G502" s="46">
        <f>VLOOKUP(D502,'Cấu Hình Học Phí'!$A$8:$B$11,2,FALSE)</f>
        <v/>
      </c>
      <c r="H502" s="46">
        <f>F502*G502</f>
        <v/>
      </c>
      <c r="I502" s="45" t="n">
        <v>0</v>
      </c>
      <c r="J502" s="46">
        <f>I502*'Cấu Hình Học Phí'!$B$5</f>
        <v/>
      </c>
      <c r="K502" s="46" t="n">
        <v>0</v>
      </c>
      <c r="L502" s="46">
        <f>H502+J502-K502</f>
        <v/>
      </c>
      <c r="M502" s="46" t="n">
        <v>2662000</v>
      </c>
      <c r="N502" s="46" t="n">
        <v>0</v>
      </c>
      <c r="O502" s="46">
        <f>MAX(0,M502-N502-L502)</f>
        <v/>
      </c>
      <c r="P502" s="46">
        <f>MAX(0,L502-(M502-N502))</f>
        <v/>
      </c>
      <c r="Q502" s="45" t="inlineStr">
        <is>
          <t>30/09/2027</t>
        </is>
      </c>
      <c r="R502" s="45" t="inlineStr">
        <is>
          <t>PT2027-00499</t>
        </is>
      </c>
      <c r="S502" s="45" t="inlineStr"/>
    </row>
    <row r="503">
      <c r="A503" s="45" t="inlineStr">
        <is>
          <t>251230980</t>
        </is>
      </c>
      <c r="B503" s="45" t="inlineStr">
        <is>
          <t>TRẦN BÁ THƯỜNG</t>
        </is>
      </c>
      <c r="C503" s="45" t="inlineStr">
        <is>
          <t>Công nghệ thông tin 2 K66</t>
        </is>
      </c>
      <c r="D503" s="45" t="inlineStr">
        <is>
          <t>Năm 4</t>
        </is>
      </c>
      <c r="E503" s="45" t="inlineStr">
        <is>
          <t>2028_2029</t>
        </is>
      </c>
      <c r="F503" s="45" t="n">
        <v>1</v>
      </c>
      <c r="G503" s="46">
        <f>VLOOKUP(D503,'Cấu Hình Học Phí'!$A$8:$B$11,2,FALSE)</f>
        <v/>
      </c>
      <c r="H503" s="46">
        <f>F503*G503</f>
        <v/>
      </c>
      <c r="I503" s="45" t="n">
        <v>0</v>
      </c>
      <c r="J503" s="46">
        <f>I503*'Cấu Hình Học Phí'!$B$5</f>
        <v/>
      </c>
      <c r="K503" s="46" t="n">
        <v>0</v>
      </c>
      <c r="L503" s="46">
        <f>H503+J503-K503</f>
        <v/>
      </c>
      <c r="M503" s="46" t="n">
        <v>732050</v>
      </c>
      <c r="N503" s="46" t="n">
        <v>0</v>
      </c>
      <c r="O503" s="46">
        <f>MAX(0,M503-N503-L503)</f>
        <v/>
      </c>
      <c r="P503" s="46">
        <f>MAX(0,L503-(M503-N503))</f>
        <v/>
      </c>
      <c r="Q503" s="45" t="inlineStr">
        <is>
          <t>30/09/2028</t>
        </is>
      </c>
      <c r="R503" s="45" t="inlineStr">
        <is>
          <t>PT2028-00500</t>
        </is>
      </c>
      <c r="S503" s="45" t="inlineStr"/>
    </row>
    <row r="504">
      <c r="A504" s="45" t="inlineStr">
        <is>
          <t>251230993</t>
        </is>
      </c>
      <c r="B504" s="45" t="inlineStr">
        <is>
          <t>TRỊNH QUỐC TUẤN</t>
        </is>
      </c>
      <c r="C504" s="45" t="inlineStr">
        <is>
          <t>Công nghệ thông tin 2 K66</t>
        </is>
      </c>
      <c r="D504" s="45" t="inlineStr">
        <is>
          <t>Năm 1</t>
        </is>
      </c>
      <c r="E504" s="45" t="inlineStr">
        <is>
          <t>2025_2026</t>
        </is>
      </c>
      <c r="F504" s="45" t="n">
        <v>4</v>
      </c>
      <c r="G504" s="46">
        <f>VLOOKUP(D504,'Cấu Hình Học Phí'!$A$8:$B$11,2,FALSE)</f>
        <v/>
      </c>
      <c r="H504" s="46">
        <f>F504*G504</f>
        <v/>
      </c>
      <c r="I504" s="45" t="n">
        <v>1</v>
      </c>
      <c r="J504" s="46">
        <f>I504*'Cấu Hình Học Phí'!$B$5</f>
        <v/>
      </c>
      <c r="K504" s="46" t="n">
        <v>0</v>
      </c>
      <c r="L504" s="46">
        <f>H504+J504-K504</f>
        <v/>
      </c>
      <c r="M504" s="46" t="n">
        <v>2200000</v>
      </c>
      <c r="N504" s="46" t="n">
        <v>0</v>
      </c>
      <c r="O504" s="46">
        <f>MAX(0,M504-N504-L504)</f>
        <v/>
      </c>
      <c r="P504" s="46">
        <f>MAX(0,L504-(M504-N504))</f>
        <v/>
      </c>
      <c r="Q504" s="45" t="inlineStr">
        <is>
          <t>30/09/2025</t>
        </is>
      </c>
      <c r="R504" s="45" t="inlineStr">
        <is>
          <t>PT2025-00501</t>
        </is>
      </c>
      <c r="S504" s="45" t="inlineStr">
        <is>
          <t>Chưa nộp phí phụ đạo 1 môn</t>
        </is>
      </c>
    </row>
    <row r="505">
      <c r="A505" s="45" t="inlineStr">
        <is>
          <t>251230993</t>
        </is>
      </c>
      <c r="B505" s="45" t="inlineStr">
        <is>
          <t>TRỊNH QUỐC TUẤN</t>
        </is>
      </c>
      <c r="C505" s="45" t="inlineStr">
        <is>
          <t>Công nghệ thông tin 2 K66</t>
        </is>
      </c>
      <c r="D505" s="45" t="inlineStr">
        <is>
          <t>Năm 2</t>
        </is>
      </c>
      <c r="E505" s="45" t="inlineStr">
        <is>
          <t>2026_2027</t>
        </is>
      </c>
      <c r="F505" s="45" t="n">
        <v>4</v>
      </c>
      <c r="G505" s="46">
        <f>VLOOKUP(D505,'Cấu Hình Học Phí'!$A$8:$B$11,2,FALSE)</f>
        <v/>
      </c>
      <c r="H505" s="46">
        <f>F505*G505</f>
        <v/>
      </c>
      <c r="I505" s="45" t="n">
        <v>1</v>
      </c>
      <c r="J505" s="46">
        <f>I505*'Cấu Hình Học Phí'!$B$5</f>
        <v/>
      </c>
      <c r="K505" s="46" t="n">
        <v>0</v>
      </c>
      <c r="L505" s="46">
        <f>H505+J505-K505</f>
        <v/>
      </c>
      <c r="M505" s="46" t="n">
        <v>2420000</v>
      </c>
      <c r="N505" s="46" t="n">
        <v>0</v>
      </c>
      <c r="O505" s="46">
        <f>MAX(0,M505-N505-L505)</f>
        <v/>
      </c>
      <c r="P505" s="46">
        <f>MAX(0,L505-(M505-N505))</f>
        <v/>
      </c>
      <c r="Q505" s="45" t="inlineStr">
        <is>
          <t>30/09/2026</t>
        </is>
      </c>
      <c r="R505" s="45" t="inlineStr">
        <is>
          <t>PT2026-00502</t>
        </is>
      </c>
      <c r="S505" s="45" t="inlineStr">
        <is>
          <t>Chưa nộp phí phụ đạo 1 môn</t>
        </is>
      </c>
    </row>
    <row r="506">
      <c r="A506" s="45" t="inlineStr">
        <is>
          <t>251230993</t>
        </is>
      </c>
      <c r="B506" s="45" t="inlineStr">
        <is>
          <t>TRỊNH QUỐC TUẤN</t>
        </is>
      </c>
      <c r="C506" s="45" t="inlineStr">
        <is>
          <t>Công nghệ thông tin 2 K66</t>
        </is>
      </c>
      <c r="D506" s="45" t="inlineStr">
        <is>
          <t>Năm 3</t>
        </is>
      </c>
      <c r="E506" s="45" t="inlineStr">
        <is>
          <t>2027_2028</t>
        </is>
      </c>
      <c r="F506" s="45" t="n">
        <v>4</v>
      </c>
      <c r="G506" s="46">
        <f>VLOOKUP(D506,'Cấu Hình Học Phí'!$A$8:$B$11,2,FALSE)</f>
        <v/>
      </c>
      <c r="H506" s="46">
        <f>F506*G506</f>
        <v/>
      </c>
      <c r="I506" s="45" t="n">
        <v>0</v>
      </c>
      <c r="J506" s="46">
        <f>I506*'Cấu Hình Học Phí'!$B$5</f>
        <v/>
      </c>
      <c r="K506" s="46" t="n">
        <v>0</v>
      </c>
      <c r="L506" s="46">
        <f>H506+J506-K506</f>
        <v/>
      </c>
      <c r="M506" s="46" t="n">
        <v>2662000</v>
      </c>
      <c r="N506" s="46" t="n">
        <v>0</v>
      </c>
      <c r="O506" s="46">
        <f>MAX(0,M506-N506-L506)</f>
        <v/>
      </c>
      <c r="P506" s="46">
        <f>MAX(0,L506-(M506-N506))</f>
        <v/>
      </c>
      <c r="Q506" s="45" t="inlineStr">
        <is>
          <t>30/09/2027</t>
        </is>
      </c>
      <c r="R506" s="45" t="inlineStr">
        <is>
          <t>PT2027-00503</t>
        </is>
      </c>
      <c r="S506" s="45" t="inlineStr"/>
    </row>
    <row r="507">
      <c r="A507" s="45" t="inlineStr">
        <is>
          <t>251230993</t>
        </is>
      </c>
      <c r="B507" s="45" t="inlineStr">
        <is>
          <t>TRỊNH QUỐC TUẤN</t>
        </is>
      </c>
      <c r="C507" s="45" t="inlineStr">
        <is>
          <t>Công nghệ thông tin 2 K66</t>
        </is>
      </c>
      <c r="D507" s="45" t="inlineStr">
        <is>
          <t>Năm 4</t>
        </is>
      </c>
      <c r="E507" s="45" t="inlineStr">
        <is>
          <t>2028_2029</t>
        </is>
      </c>
      <c r="F507" s="45" t="n">
        <v>1</v>
      </c>
      <c r="G507" s="46">
        <f>VLOOKUP(D507,'Cấu Hình Học Phí'!$A$8:$B$11,2,FALSE)</f>
        <v/>
      </c>
      <c r="H507" s="46">
        <f>F507*G507</f>
        <v/>
      </c>
      <c r="I507" s="45" t="n">
        <v>0</v>
      </c>
      <c r="J507" s="46">
        <f>I507*'Cấu Hình Học Phí'!$B$5</f>
        <v/>
      </c>
      <c r="K507" s="46" t="n">
        <v>0</v>
      </c>
      <c r="L507" s="46">
        <f>H507+J507-K507</f>
        <v/>
      </c>
      <c r="M507" s="46" t="n">
        <v>732050</v>
      </c>
      <c r="N507" s="46" t="n">
        <v>0</v>
      </c>
      <c r="O507" s="46">
        <f>MAX(0,M507-N507-L507)</f>
        <v/>
      </c>
      <c r="P507" s="46">
        <f>MAX(0,L507-(M507-N507))</f>
        <v/>
      </c>
      <c r="Q507" s="45" t="inlineStr">
        <is>
          <t>30/09/2028</t>
        </is>
      </c>
      <c r="R507" s="45" t="inlineStr">
        <is>
          <t>PT2028-00504</t>
        </is>
      </c>
      <c r="S507" s="45" t="inlineStr"/>
    </row>
    <row r="508">
      <c r="A508" s="45" t="inlineStr">
        <is>
          <t>251230996</t>
        </is>
      </c>
      <c r="B508" s="45" t="inlineStr">
        <is>
          <t>CHÚC ANH VIỆT</t>
        </is>
      </c>
      <c r="C508" s="45" t="inlineStr">
        <is>
          <t>Công nghệ thông tin 2 K66</t>
        </is>
      </c>
      <c r="D508" s="45" t="inlineStr">
        <is>
          <t>Năm 1</t>
        </is>
      </c>
      <c r="E508" s="45" t="inlineStr">
        <is>
          <t>2025_2026</t>
        </is>
      </c>
      <c r="F508" s="45" t="n">
        <v>4</v>
      </c>
      <c r="G508" s="46">
        <f>VLOOKUP(D508,'Cấu Hình Học Phí'!$A$8:$B$11,2,FALSE)</f>
        <v/>
      </c>
      <c r="H508" s="46">
        <f>F508*G508</f>
        <v/>
      </c>
      <c r="I508" s="45" t="n">
        <v>1</v>
      </c>
      <c r="J508" s="46">
        <f>I508*'Cấu Hình Học Phí'!$B$5</f>
        <v/>
      </c>
      <c r="K508" s="46" t="n">
        <v>0</v>
      </c>
      <c r="L508" s="46">
        <f>H508+J508-K508</f>
        <v/>
      </c>
      <c r="M508" s="46" t="n">
        <v>3200000</v>
      </c>
      <c r="N508" s="46" t="n">
        <v>0</v>
      </c>
      <c r="O508" s="46">
        <f>MAX(0,M508-N508-L508)</f>
        <v/>
      </c>
      <c r="P508" s="46">
        <f>MAX(0,L508-(M508-N508))</f>
        <v/>
      </c>
      <c r="Q508" s="45" t="inlineStr">
        <is>
          <t>30/09/2025</t>
        </is>
      </c>
      <c r="R508" s="45" t="inlineStr">
        <is>
          <t>PT2025-00505</t>
        </is>
      </c>
      <c r="S508" s="45" t="inlineStr"/>
    </row>
    <row r="509">
      <c r="A509" s="45" t="inlineStr">
        <is>
          <t>251230996</t>
        </is>
      </c>
      <c r="B509" s="45" t="inlineStr">
        <is>
          <t>CHÚC ANH VIỆT</t>
        </is>
      </c>
      <c r="C509" s="45" t="inlineStr">
        <is>
          <t>Công nghệ thông tin 2 K66</t>
        </is>
      </c>
      <c r="D509" s="45" t="inlineStr">
        <is>
          <t>Năm 2</t>
        </is>
      </c>
      <c r="E509" s="45" t="inlineStr">
        <is>
          <t>2026_2027</t>
        </is>
      </c>
      <c r="F509" s="45" t="n">
        <v>4</v>
      </c>
      <c r="G509" s="46">
        <f>VLOOKUP(D509,'Cấu Hình Học Phí'!$A$8:$B$11,2,FALSE)</f>
        <v/>
      </c>
      <c r="H509" s="46">
        <f>F509*G509</f>
        <v/>
      </c>
      <c r="I509" s="45" t="n">
        <v>0</v>
      </c>
      <c r="J509" s="46">
        <f>I509*'Cấu Hình Học Phí'!$B$5</f>
        <v/>
      </c>
      <c r="K509" s="46" t="n">
        <v>0</v>
      </c>
      <c r="L509" s="46">
        <f>H509+J509-K509</f>
        <v/>
      </c>
      <c r="M509" s="46" t="n">
        <v>2420000</v>
      </c>
      <c r="N509" s="46" t="n">
        <v>0</v>
      </c>
      <c r="O509" s="46">
        <f>MAX(0,M509-N509-L509)</f>
        <v/>
      </c>
      <c r="P509" s="46">
        <f>MAX(0,L509-(M509-N509))</f>
        <v/>
      </c>
      <c r="Q509" s="45" t="inlineStr">
        <is>
          <t>30/09/2026</t>
        </is>
      </c>
      <c r="R509" s="45" t="inlineStr">
        <is>
          <t>PT2026-00506</t>
        </is>
      </c>
      <c r="S509" s="45" t="inlineStr"/>
    </row>
    <row r="510">
      <c r="A510" s="45" t="inlineStr">
        <is>
          <t>251230996</t>
        </is>
      </c>
      <c r="B510" s="45" t="inlineStr">
        <is>
          <t>CHÚC ANH VIỆT</t>
        </is>
      </c>
      <c r="C510" s="45" t="inlineStr">
        <is>
          <t>Công nghệ thông tin 2 K66</t>
        </is>
      </c>
      <c r="D510" s="45" t="inlineStr">
        <is>
          <t>Năm 3</t>
        </is>
      </c>
      <c r="E510" s="45" t="inlineStr">
        <is>
          <t>2027_2028</t>
        </is>
      </c>
      <c r="F510" s="45" t="n">
        <v>4</v>
      </c>
      <c r="G510" s="46">
        <f>VLOOKUP(D510,'Cấu Hình Học Phí'!$A$8:$B$11,2,FALSE)</f>
        <v/>
      </c>
      <c r="H510" s="46">
        <f>F510*G510</f>
        <v/>
      </c>
      <c r="I510" s="45" t="n">
        <v>0</v>
      </c>
      <c r="J510" s="46">
        <f>I510*'Cấu Hình Học Phí'!$B$5</f>
        <v/>
      </c>
      <c r="K510" s="46" t="n">
        <v>0</v>
      </c>
      <c r="L510" s="46">
        <f>H510+J510-K510</f>
        <v/>
      </c>
      <c r="M510" s="46" t="n">
        <v>2662000</v>
      </c>
      <c r="N510" s="46" t="n">
        <v>0</v>
      </c>
      <c r="O510" s="46">
        <f>MAX(0,M510-N510-L510)</f>
        <v/>
      </c>
      <c r="P510" s="46">
        <f>MAX(0,L510-(M510-N510))</f>
        <v/>
      </c>
      <c r="Q510" s="45" t="inlineStr">
        <is>
          <t>30/09/2027</t>
        </is>
      </c>
      <c r="R510" s="45" t="inlineStr">
        <is>
          <t>PT2027-00507</t>
        </is>
      </c>
      <c r="S510" s="45" t="inlineStr"/>
    </row>
    <row r="511">
      <c r="A511" s="45" t="inlineStr">
        <is>
          <t>251230996</t>
        </is>
      </c>
      <c r="B511" s="45" t="inlineStr">
        <is>
          <t>CHÚC ANH VIỆT</t>
        </is>
      </c>
      <c r="C511" s="45" t="inlineStr">
        <is>
          <t>Công nghệ thông tin 2 K66</t>
        </is>
      </c>
      <c r="D511" s="45" t="inlineStr">
        <is>
          <t>Năm 4</t>
        </is>
      </c>
      <c r="E511" s="45" t="inlineStr">
        <is>
          <t>2028_2029</t>
        </is>
      </c>
      <c r="F511" s="45" t="n">
        <v>1</v>
      </c>
      <c r="G511" s="46">
        <f>VLOOKUP(D511,'Cấu Hình Học Phí'!$A$8:$B$11,2,FALSE)</f>
        <v/>
      </c>
      <c r="H511" s="46">
        <f>F511*G511</f>
        <v/>
      </c>
      <c r="I511" s="45" t="n">
        <v>0</v>
      </c>
      <c r="J511" s="46">
        <f>I511*'Cấu Hình Học Phí'!$B$5</f>
        <v/>
      </c>
      <c r="K511" s="46" t="n">
        <v>0</v>
      </c>
      <c r="L511" s="46">
        <f>H511+J511-K511</f>
        <v/>
      </c>
      <c r="M511" s="46" t="n">
        <v>732050</v>
      </c>
      <c r="N511" s="46" t="n">
        <v>0</v>
      </c>
      <c r="O511" s="46">
        <f>MAX(0,M511-N511-L511)</f>
        <v/>
      </c>
      <c r="P511" s="46">
        <f>MAX(0,L511-(M511-N511))</f>
        <v/>
      </c>
      <c r="Q511" s="45" t="inlineStr">
        <is>
          <t>30/09/2028</t>
        </is>
      </c>
      <c r="R511" s="45" t="inlineStr">
        <is>
          <t>PT2028-00508</t>
        </is>
      </c>
      <c r="S511" s="45" t="inlineStr"/>
    </row>
    <row r="512">
      <c r="A512" s="45" t="inlineStr">
        <is>
          <t>251230999</t>
        </is>
      </c>
      <c r="B512" s="45" t="inlineStr">
        <is>
          <t>PHAN ĐÌNH VIỆT</t>
        </is>
      </c>
      <c r="C512" s="45" t="inlineStr">
        <is>
          <t>Công nghệ thông tin 2 K66</t>
        </is>
      </c>
      <c r="D512" s="45" t="inlineStr">
        <is>
          <t>Năm 1</t>
        </is>
      </c>
      <c r="E512" s="45" t="inlineStr">
        <is>
          <t>2025_2026</t>
        </is>
      </c>
      <c r="F512" s="45" t="n">
        <v>4</v>
      </c>
      <c r="G512" s="46">
        <f>VLOOKUP(D512,'Cấu Hình Học Phí'!$A$8:$B$11,2,FALSE)</f>
        <v/>
      </c>
      <c r="H512" s="46">
        <f>F512*G512</f>
        <v/>
      </c>
      <c r="I512" s="45" t="n">
        <v>1</v>
      </c>
      <c r="J512" s="46">
        <f>I512*'Cấu Hình Học Phí'!$B$5</f>
        <v/>
      </c>
      <c r="K512" s="46" t="n">
        <v>0</v>
      </c>
      <c r="L512" s="46">
        <f>H512+J512-K512</f>
        <v/>
      </c>
      <c r="M512" s="46" t="n">
        <v>2200000</v>
      </c>
      <c r="N512" s="46" t="n">
        <v>0</v>
      </c>
      <c r="O512" s="46">
        <f>MAX(0,M512-N512-L512)</f>
        <v/>
      </c>
      <c r="P512" s="46">
        <f>MAX(0,L512-(M512-N512))</f>
        <v/>
      </c>
      <c r="Q512" s="45" t="inlineStr">
        <is>
          <t>30/09/2025</t>
        </is>
      </c>
      <c r="R512" s="45" t="inlineStr">
        <is>
          <t>PT2025-00509</t>
        </is>
      </c>
      <c r="S512" s="45" t="inlineStr">
        <is>
          <t>Chưa nộp phí phụ đạo 1 môn</t>
        </is>
      </c>
    </row>
    <row r="513">
      <c r="A513" s="45" t="inlineStr">
        <is>
          <t>251230999</t>
        </is>
      </c>
      <c r="B513" s="45" t="inlineStr">
        <is>
          <t>PHAN ĐÌNH VIỆT</t>
        </is>
      </c>
      <c r="C513" s="45" t="inlineStr">
        <is>
          <t>Công nghệ thông tin 2 K66</t>
        </is>
      </c>
      <c r="D513" s="45" t="inlineStr">
        <is>
          <t>Năm 2</t>
        </is>
      </c>
      <c r="E513" s="45" t="inlineStr">
        <is>
          <t>2026_2027</t>
        </is>
      </c>
      <c r="F513" s="45" t="n">
        <v>4</v>
      </c>
      <c r="G513" s="46">
        <f>VLOOKUP(D513,'Cấu Hình Học Phí'!$A$8:$B$11,2,FALSE)</f>
        <v/>
      </c>
      <c r="H513" s="46">
        <f>F513*G513</f>
        <v/>
      </c>
      <c r="I513" s="45" t="n">
        <v>1</v>
      </c>
      <c r="J513" s="46">
        <f>I513*'Cấu Hình Học Phí'!$B$5</f>
        <v/>
      </c>
      <c r="K513" s="46" t="n">
        <v>0</v>
      </c>
      <c r="L513" s="46">
        <f>H513+J513-K513</f>
        <v/>
      </c>
      <c r="M513" s="46" t="n">
        <v>3420000</v>
      </c>
      <c r="N513" s="46" t="n">
        <v>0</v>
      </c>
      <c r="O513" s="46">
        <f>MAX(0,M513-N513-L513)</f>
        <v/>
      </c>
      <c r="P513" s="46">
        <f>MAX(0,L513-(M513-N513))</f>
        <v/>
      </c>
      <c r="Q513" s="45" t="inlineStr">
        <is>
          <t>30/09/2026</t>
        </is>
      </c>
      <c r="R513" s="45" t="inlineStr">
        <is>
          <t>PT2026-00510</t>
        </is>
      </c>
      <c r="S513" s="45" t="inlineStr"/>
    </row>
    <row r="514">
      <c r="A514" s="45" t="inlineStr">
        <is>
          <t>251230999</t>
        </is>
      </c>
      <c r="B514" s="45" t="inlineStr">
        <is>
          <t>PHAN ĐÌNH VIỆT</t>
        </is>
      </c>
      <c r="C514" s="45" t="inlineStr">
        <is>
          <t>Công nghệ thông tin 2 K66</t>
        </is>
      </c>
      <c r="D514" s="45" t="inlineStr">
        <is>
          <t>Năm 3</t>
        </is>
      </c>
      <c r="E514" s="45" t="inlineStr">
        <is>
          <t>2027_2028</t>
        </is>
      </c>
      <c r="F514" s="45" t="n">
        <v>4</v>
      </c>
      <c r="G514" s="46">
        <f>VLOOKUP(D514,'Cấu Hình Học Phí'!$A$8:$B$11,2,FALSE)</f>
        <v/>
      </c>
      <c r="H514" s="46">
        <f>F514*G514</f>
        <v/>
      </c>
      <c r="I514" s="45" t="n">
        <v>2</v>
      </c>
      <c r="J514" s="46">
        <f>I514*'Cấu Hình Học Phí'!$B$5</f>
        <v/>
      </c>
      <c r="K514" s="46" t="n">
        <v>0</v>
      </c>
      <c r="L514" s="46">
        <f>H514+J514-K514</f>
        <v/>
      </c>
      <c r="M514" s="46" t="n">
        <v>3662000</v>
      </c>
      <c r="N514" s="46" t="n">
        <v>0</v>
      </c>
      <c r="O514" s="46">
        <f>MAX(0,M514-N514-L514)</f>
        <v/>
      </c>
      <c r="P514" s="46">
        <f>MAX(0,L514-(M514-N514))</f>
        <v/>
      </c>
      <c r="Q514" s="45" t="inlineStr">
        <is>
          <t>30/09/2027</t>
        </is>
      </c>
      <c r="R514" s="45" t="inlineStr">
        <is>
          <t>PT2027-00511</t>
        </is>
      </c>
      <c r="S514" s="45" t="inlineStr">
        <is>
          <t>Chưa nộp phí phụ đạo 1 môn</t>
        </is>
      </c>
    </row>
    <row r="515">
      <c r="A515" s="45" t="inlineStr">
        <is>
          <t>251230999</t>
        </is>
      </c>
      <c r="B515" s="45" t="inlineStr">
        <is>
          <t>PHAN ĐÌNH VIỆT</t>
        </is>
      </c>
      <c r="C515" s="45" t="inlineStr">
        <is>
          <t>Công nghệ thông tin 2 K66</t>
        </is>
      </c>
      <c r="D515" s="45" t="inlineStr">
        <is>
          <t>Năm 4</t>
        </is>
      </c>
      <c r="E515" s="45" t="inlineStr">
        <is>
          <t>2028_2029</t>
        </is>
      </c>
      <c r="F515" s="45" t="n">
        <v>1</v>
      </c>
      <c r="G515" s="46">
        <f>VLOOKUP(D515,'Cấu Hình Học Phí'!$A$8:$B$11,2,FALSE)</f>
        <v/>
      </c>
      <c r="H515" s="46">
        <f>F515*G515</f>
        <v/>
      </c>
      <c r="I515" s="45" t="n">
        <v>0</v>
      </c>
      <c r="J515" s="46">
        <f>I515*'Cấu Hình Học Phí'!$B$5</f>
        <v/>
      </c>
      <c r="K515" s="46" t="n">
        <v>0</v>
      </c>
      <c r="L515" s="46">
        <f>H515+J515-K515</f>
        <v/>
      </c>
      <c r="M515" s="46" t="n">
        <v>732050</v>
      </c>
      <c r="N515" s="46" t="n">
        <v>0</v>
      </c>
      <c r="O515" s="46">
        <f>MAX(0,M515-N515-L515)</f>
        <v/>
      </c>
      <c r="P515" s="46">
        <f>MAX(0,L515-(M515-N515))</f>
        <v/>
      </c>
      <c r="Q515" s="45" t="inlineStr">
        <is>
          <t>30/09/2028</t>
        </is>
      </c>
      <c r="R515" s="45" t="inlineStr">
        <is>
          <t>PT2028-00512</t>
        </is>
      </c>
      <c r="S515" s="45" t="inlineStr"/>
    </row>
    <row r="516">
      <c r="A516" s="45" t="inlineStr">
        <is>
          <t>251231003</t>
        </is>
      </c>
      <c r="B516" s="45" t="inlineStr">
        <is>
          <t>TRẦN QUANG VINH</t>
        </is>
      </c>
      <c r="C516" s="45" t="inlineStr">
        <is>
          <t>Công nghệ thông tin 2 K66</t>
        </is>
      </c>
      <c r="D516" s="45" t="inlineStr">
        <is>
          <t>Năm 1</t>
        </is>
      </c>
      <c r="E516" s="45" t="inlineStr">
        <is>
          <t>2025_2026</t>
        </is>
      </c>
      <c r="F516" s="45" t="n">
        <v>4</v>
      </c>
      <c r="G516" s="46">
        <f>VLOOKUP(D516,'Cấu Hình Học Phí'!$A$8:$B$11,2,FALSE)</f>
        <v/>
      </c>
      <c r="H516" s="46">
        <f>F516*G516</f>
        <v/>
      </c>
      <c r="I516" s="45" t="n">
        <v>1</v>
      </c>
      <c r="J516" s="46">
        <f>I516*'Cấu Hình Học Phí'!$B$5</f>
        <v/>
      </c>
      <c r="K516" s="46" t="n">
        <v>0</v>
      </c>
      <c r="L516" s="46">
        <f>H516+J516-K516</f>
        <v/>
      </c>
      <c r="M516" s="46" t="n">
        <v>3200000</v>
      </c>
      <c r="N516" s="46" t="n">
        <v>0</v>
      </c>
      <c r="O516" s="46">
        <f>MAX(0,M516-N516-L516)</f>
        <v/>
      </c>
      <c r="P516" s="46">
        <f>MAX(0,L516-(M516-N516))</f>
        <v/>
      </c>
      <c r="Q516" s="45" t="inlineStr">
        <is>
          <t>30/09/2025</t>
        </is>
      </c>
      <c r="R516" s="45" t="inlineStr">
        <is>
          <t>PT2025-00513</t>
        </is>
      </c>
      <c r="S516" s="45" t="inlineStr"/>
    </row>
    <row r="517">
      <c r="A517" s="45" t="inlineStr">
        <is>
          <t>251231003</t>
        </is>
      </c>
      <c r="B517" s="45" t="inlineStr">
        <is>
          <t>TRẦN QUANG VINH</t>
        </is>
      </c>
      <c r="C517" s="45" t="inlineStr">
        <is>
          <t>Công nghệ thông tin 2 K66</t>
        </is>
      </c>
      <c r="D517" s="45" t="inlineStr">
        <is>
          <t>Năm 2</t>
        </is>
      </c>
      <c r="E517" s="45" t="inlineStr">
        <is>
          <t>2026_2027</t>
        </is>
      </c>
      <c r="F517" s="45" t="n">
        <v>4</v>
      </c>
      <c r="G517" s="46">
        <f>VLOOKUP(D517,'Cấu Hình Học Phí'!$A$8:$B$11,2,FALSE)</f>
        <v/>
      </c>
      <c r="H517" s="46">
        <f>F517*G517</f>
        <v/>
      </c>
      <c r="I517" s="45" t="n">
        <v>1</v>
      </c>
      <c r="J517" s="46">
        <f>I517*'Cấu Hình Học Phí'!$B$5</f>
        <v/>
      </c>
      <c r="K517" s="46" t="n">
        <v>0</v>
      </c>
      <c r="L517" s="46">
        <f>H517+J517-K517</f>
        <v/>
      </c>
      <c r="M517" s="46" t="n">
        <v>3420000</v>
      </c>
      <c r="N517" s="46" t="n">
        <v>0</v>
      </c>
      <c r="O517" s="46">
        <f>MAX(0,M517-N517-L517)</f>
        <v/>
      </c>
      <c r="P517" s="46">
        <f>MAX(0,L517-(M517-N517))</f>
        <v/>
      </c>
      <c r="Q517" s="45" t="inlineStr">
        <is>
          <t>30/09/2026</t>
        </is>
      </c>
      <c r="R517" s="45" t="inlineStr">
        <is>
          <t>PT2026-00514</t>
        </is>
      </c>
      <c r="S517" s="45" t="inlineStr"/>
    </row>
    <row r="518">
      <c r="A518" s="45" t="inlineStr">
        <is>
          <t>251231003</t>
        </is>
      </c>
      <c r="B518" s="45" t="inlineStr">
        <is>
          <t>TRẦN QUANG VINH</t>
        </is>
      </c>
      <c r="C518" s="45" t="inlineStr">
        <is>
          <t>Công nghệ thông tin 2 K66</t>
        </is>
      </c>
      <c r="D518" s="45" t="inlineStr">
        <is>
          <t>Năm 3</t>
        </is>
      </c>
      <c r="E518" s="45" t="inlineStr">
        <is>
          <t>2027_2028</t>
        </is>
      </c>
      <c r="F518" s="45" t="n">
        <v>4</v>
      </c>
      <c r="G518" s="46">
        <f>VLOOKUP(D518,'Cấu Hình Học Phí'!$A$8:$B$11,2,FALSE)</f>
        <v/>
      </c>
      <c r="H518" s="46">
        <f>F518*G518</f>
        <v/>
      </c>
      <c r="I518" s="45" t="n">
        <v>0</v>
      </c>
      <c r="J518" s="46">
        <f>I518*'Cấu Hình Học Phí'!$B$5</f>
        <v/>
      </c>
      <c r="K518" s="46" t="n">
        <v>0</v>
      </c>
      <c r="L518" s="46">
        <f>H518+J518-K518</f>
        <v/>
      </c>
      <c r="M518" s="46" t="n">
        <v>2662000</v>
      </c>
      <c r="N518" s="46" t="n">
        <v>0</v>
      </c>
      <c r="O518" s="46">
        <f>MAX(0,M518-N518-L518)</f>
        <v/>
      </c>
      <c r="P518" s="46">
        <f>MAX(0,L518-(M518-N518))</f>
        <v/>
      </c>
      <c r="Q518" s="45" t="inlineStr">
        <is>
          <t>30/09/2027</t>
        </is>
      </c>
      <c r="R518" s="45" t="inlineStr">
        <is>
          <t>PT2027-00515</t>
        </is>
      </c>
      <c r="S518" s="45" t="inlineStr"/>
    </row>
    <row r="519">
      <c r="A519" s="45" t="inlineStr">
        <is>
          <t>251231003</t>
        </is>
      </c>
      <c r="B519" s="45" t="inlineStr">
        <is>
          <t>TRẦN QUANG VINH</t>
        </is>
      </c>
      <c r="C519" s="45" t="inlineStr">
        <is>
          <t>Công nghệ thông tin 2 K66</t>
        </is>
      </c>
      <c r="D519" s="45" t="inlineStr">
        <is>
          <t>Năm 4</t>
        </is>
      </c>
      <c r="E519" s="45" t="inlineStr">
        <is>
          <t>2028_2029</t>
        </is>
      </c>
      <c r="F519" s="45" t="n">
        <v>1</v>
      </c>
      <c r="G519" s="46">
        <f>VLOOKUP(D519,'Cấu Hình Học Phí'!$A$8:$B$11,2,FALSE)</f>
        <v/>
      </c>
      <c r="H519" s="46">
        <f>F519*G519</f>
        <v/>
      </c>
      <c r="I519" s="45" t="n">
        <v>0</v>
      </c>
      <c r="J519" s="46">
        <f>I519*'Cấu Hình Học Phí'!$B$5</f>
        <v/>
      </c>
      <c r="K519" s="46" t="n">
        <v>0</v>
      </c>
      <c r="L519" s="46">
        <f>H519+J519-K519</f>
        <v/>
      </c>
      <c r="M519" s="46" t="n">
        <v>732050</v>
      </c>
      <c r="N519" s="46" t="n">
        <v>0</v>
      </c>
      <c r="O519" s="46">
        <f>MAX(0,M519-N519-L519)</f>
        <v/>
      </c>
      <c r="P519" s="46">
        <f>MAX(0,L519-(M519-N519))</f>
        <v/>
      </c>
      <c r="Q519" s="45" t="inlineStr">
        <is>
          <t>30/09/2028</t>
        </is>
      </c>
      <c r="R519" s="45" t="inlineStr">
        <is>
          <t>PT2028-00516</t>
        </is>
      </c>
      <c r="S519" s="45" t="inlineStr"/>
    </row>
    <row r="520">
      <c r="A520" s="45" t="inlineStr">
        <is>
          <t>251211005</t>
        </is>
      </c>
      <c r="B520" s="45" t="inlineStr">
        <is>
          <t>DƯƠNG HOÀNG VŨ</t>
        </is>
      </c>
      <c r="C520" s="45" t="inlineStr">
        <is>
          <t>Công nghệ thông tin 2 K66</t>
        </is>
      </c>
      <c r="D520" s="45" t="inlineStr">
        <is>
          <t>Năm 1</t>
        </is>
      </c>
      <c r="E520" s="45" t="inlineStr">
        <is>
          <t>2025_2026</t>
        </is>
      </c>
      <c r="F520" s="45" t="n">
        <v>4</v>
      </c>
      <c r="G520" s="46">
        <f>VLOOKUP(D520,'Cấu Hình Học Phí'!$A$8:$B$11,2,FALSE)</f>
        <v/>
      </c>
      <c r="H520" s="46">
        <f>F520*G520</f>
        <v/>
      </c>
      <c r="I520" s="45" t="n">
        <v>2</v>
      </c>
      <c r="J520" s="46">
        <f>I520*'Cấu Hình Học Phí'!$B$5</f>
        <v/>
      </c>
      <c r="K520" s="46" t="n">
        <v>0</v>
      </c>
      <c r="L520" s="46">
        <f>H520+J520-K520</f>
        <v/>
      </c>
      <c r="M520" s="46" t="n">
        <v>4200000</v>
      </c>
      <c r="N520" s="46" t="n">
        <v>0</v>
      </c>
      <c r="O520" s="46">
        <f>MAX(0,M520-N520-L520)</f>
        <v/>
      </c>
      <c r="P520" s="46">
        <f>MAX(0,L520-(M520-N520))</f>
        <v/>
      </c>
      <c r="Q520" s="45" t="inlineStr">
        <is>
          <t>30/09/2025</t>
        </is>
      </c>
      <c r="R520" s="45" t="inlineStr">
        <is>
          <t>PT2025-00517</t>
        </is>
      </c>
      <c r="S520" s="45" t="inlineStr"/>
    </row>
    <row r="521">
      <c r="A521" s="45" t="inlineStr">
        <is>
          <t>251211005</t>
        </is>
      </c>
      <c r="B521" s="45" t="inlineStr">
        <is>
          <t>DƯƠNG HOÀNG VŨ</t>
        </is>
      </c>
      <c r="C521" s="45" t="inlineStr">
        <is>
          <t>Công nghệ thông tin 2 K66</t>
        </is>
      </c>
      <c r="D521" s="45" t="inlineStr">
        <is>
          <t>Năm 2</t>
        </is>
      </c>
      <c r="E521" s="45" t="inlineStr">
        <is>
          <t>2026_2027</t>
        </is>
      </c>
      <c r="F521" s="45" t="n">
        <v>4</v>
      </c>
      <c r="G521" s="46">
        <f>VLOOKUP(D521,'Cấu Hình Học Phí'!$A$8:$B$11,2,FALSE)</f>
        <v/>
      </c>
      <c r="H521" s="46">
        <f>F521*G521</f>
        <v/>
      </c>
      <c r="I521" s="45" t="n">
        <v>0</v>
      </c>
      <c r="J521" s="46">
        <f>I521*'Cấu Hình Học Phí'!$B$5</f>
        <v/>
      </c>
      <c r="K521" s="46" t="n">
        <v>0</v>
      </c>
      <c r="L521" s="46">
        <f>H521+J521-K521</f>
        <v/>
      </c>
      <c r="M521" s="46" t="n">
        <v>2420000</v>
      </c>
      <c r="N521" s="46" t="n">
        <v>0</v>
      </c>
      <c r="O521" s="46">
        <f>MAX(0,M521-N521-L521)</f>
        <v/>
      </c>
      <c r="P521" s="46">
        <f>MAX(0,L521-(M521-N521))</f>
        <v/>
      </c>
      <c r="Q521" s="45" t="inlineStr">
        <is>
          <t>30/09/2026</t>
        </is>
      </c>
      <c r="R521" s="45" t="inlineStr">
        <is>
          <t>PT2026-00518</t>
        </is>
      </c>
      <c r="S521" s="45" t="inlineStr"/>
    </row>
    <row r="522">
      <c r="A522" s="45" t="inlineStr">
        <is>
          <t>251211005</t>
        </is>
      </c>
      <c r="B522" s="45" t="inlineStr">
        <is>
          <t>DƯƠNG HOÀNG VŨ</t>
        </is>
      </c>
      <c r="C522" s="45" t="inlineStr">
        <is>
          <t>Công nghệ thông tin 2 K66</t>
        </is>
      </c>
      <c r="D522" s="45" t="inlineStr">
        <is>
          <t>Năm 3</t>
        </is>
      </c>
      <c r="E522" s="45" t="inlineStr">
        <is>
          <t>2027_2028</t>
        </is>
      </c>
      <c r="F522" s="45" t="n">
        <v>4</v>
      </c>
      <c r="G522" s="46">
        <f>VLOOKUP(D522,'Cấu Hình Học Phí'!$A$8:$B$11,2,FALSE)</f>
        <v/>
      </c>
      <c r="H522" s="46">
        <f>F522*G522</f>
        <v/>
      </c>
      <c r="I522" s="45" t="n">
        <v>0</v>
      </c>
      <c r="J522" s="46">
        <f>I522*'Cấu Hình Học Phí'!$B$5</f>
        <v/>
      </c>
      <c r="K522" s="46" t="n">
        <v>0</v>
      </c>
      <c r="L522" s="46">
        <f>H522+J522-K522</f>
        <v/>
      </c>
      <c r="M522" s="46" t="n">
        <v>2662000</v>
      </c>
      <c r="N522" s="46" t="n">
        <v>0</v>
      </c>
      <c r="O522" s="46">
        <f>MAX(0,M522-N522-L522)</f>
        <v/>
      </c>
      <c r="P522" s="46">
        <f>MAX(0,L522-(M522-N522))</f>
        <v/>
      </c>
      <c r="Q522" s="45" t="inlineStr">
        <is>
          <t>30/09/2027</t>
        </is>
      </c>
      <c r="R522" s="45" t="inlineStr">
        <is>
          <t>PT2027-00519</t>
        </is>
      </c>
      <c r="S522" s="45" t="inlineStr"/>
    </row>
    <row r="523">
      <c r="A523" s="45" t="inlineStr">
        <is>
          <t>251211005</t>
        </is>
      </c>
      <c r="B523" s="45" t="inlineStr">
        <is>
          <t>DƯƠNG HOÀNG VŨ</t>
        </is>
      </c>
      <c r="C523" s="45" t="inlineStr">
        <is>
          <t>Công nghệ thông tin 2 K66</t>
        </is>
      </c>
      <c r="D523" s="45" t="inlineStr">
        <is>
          <t>Năm 4</t>
        </is>
      </c>
      <c r="E523" s="45" t="inlineStr">
        <is>
          <t>2028_2029</t>
        </is>
      </c>
      <c r="F523" s="45" t="n">
        <v>1</v>
      </c>
      <c r="G523" s="46">
        <f>VLOOKUP(D523,'Cấu Hình Học Phí'!$A$8:$B$11,2,FALSE)</f>
        <v/>
      </c>
      <c r="H523" s="46">
        <f>F523*G523</f>
        <v/>
      </c>
      <c r="I523" s="45" t="n">
        <v>0</v>
      </c>
      <c r="J523" s="46">
        <f>I523*'Cấu Hình Học Phí'!$B$5</f>
        <v/>
      </c>
      <c r="K523" s="46" t="n">
        <v>0</v>
      </c>
      <c r="L523" s="46">
        <f>H523+J523-K523</f>
        <v/>
      </c>
      <c r="M523" s="46" t="n">
        <v>732050</v>
      </c>
      <c r="N523" s="46" t="n">
        <v>0</v>
      </c>
      <c r="O523" s="46">
        <f>MAX(0,M523-N523-L523)</f>
        <v/>
      </c>
      <c r="P523" s="46">
        <f>MAX(0,L523-(M523-N523))</f>
        <v/>
      </c>
      <c r="Q523" s="45" t="inlineStr">
        <is>
          <t>30/09/2028</t>
        </is>
      </c>
      <c r="R523" s="45" t="inlineStr">
        <is>
          <t>PT2028-00520</t>
        </is>
      </c>
      <c r="S523" s="45" t="inlineStr"/>
    </row>
    <row r="524">
      <c r="A524" s="45" t="inlineStr">
        <is>
          <t>251231006</t>
        </is>
      </c>
      <c r="B524" s="45" t="inlineStr">
        <is>
          <t>HÀ HUY VŨ</t>
        </is>
      </c>
      <c r="C524" s="45" t="inlineStr">
        <is>
          <t>Công nghệ thông tin 2 K66</t>
        </is>
      </c>
      <c r="D524" s="45" t="inlineStr">
        <is>
          <t>Năm 1</t>
        </is>
      </c>
      <c r="E524" s="45" t="inlineStr">
        <is>
          <t>2025_2026</t>
        </is>
      </c>
      <c r="F524" s="45" t="n">
        <v>4</v>
      </c>
      <c r="G524" s="46">
        <f>VLOOKUP(D524,'Cấu Hình Học Phí'!$A$8:$B$11,2,FALSE)</f>
        <v/>
      </c>
      <c r="H524" s="46">
        <f>F524*G524</f>
        <v/>
      </c>
      <c r="I524" s="45" t="n">
        <v>0</v>
      </c>
      <c r="J524" s="46">
        <f>I524*'Cấu Hình Học Phí'!$B$5</f>
        <v/>
      </c>
      <c r="K524" s="46" t="n">
        <v>0</v>
      </c>
      <c r="L524" s="46">
        <f>H524+J524-K524</f>
        <v/>
      </c>
      <c r="M524" s="46" t="n">
        <v>2200000</v>
      </c>
      <c r="N524" s="46" t="n">
        <v>0</v>
      </c>
      <c r="O524" s="46">
        <f>MAX(0,M524-N524-L524)</f>
        <v/>
      </c>
      <c r="P524" s="46">
        <f>MAX(0,L524-(M524-N524))</f>
        <v/>
      </c>
      <c r="Q524" s="45" t="inlineStr">
        <is>
          <t>30/09/2025</t>
        </is>
      </c>
      <c r="R524" s="45" t="inlineStr">
        <is>
          <t>PT2025-00521</t>
        </is>
      </c>
      <c r="S524" s="45" t="inlineStr"/>
    </row>
    <row r="525">
      <c r="A525" s="45" t="inlineStr">
        <is>
          <t>251231006</t>
        </is>
      </c>
      <c r="B525" s="45" t="inlineStr">
        <is>
          <t>HÀ HUY VŨ</t>
        </is>
      </c>
      <c r="C525" s="45" t="inlineStr">
        <is>
          <t>Công nghệ thông tin 2 K66</t>
        </is>
      </c>
      <c r="D525" s="45" t="inlineStr">
        <is>
          <t>Năm 2</t>
        </is>
      </c>
      <c r="E525" s="45" t="inlineStr">
        <is>
          <t>2026_2027</t>
        </is>
      </c>
      <c r="F525" s="45" t="n">
        <v>4</v>
      </c>
      <c r="G525" s="46">
        <f>VLOOKUP(D525,'Cấu Hình Học Phí'!$A$8:$B$11,2,FALSE)</f>
        <v/>
      </c>
      <c r="H525" s="46">
        <f>F525*G525</f>
        <v/>
      </c>
      <c r="I525" s="45" t="n">
        <v>0</v>
      </c>
      <c r="J525" s="46">
        <f>I525*'Cấu Hình Học Phí'!$B$5</f>
        <v/>
      </c>
      <c r="K525" s="46" t="n">
        <v>0</v>
      </c>
      <c r="L525" s="46">
        <f>H525+J525-K525</f>
        <v/>
      </c>
      <c r="M525" s="46" t="n">
        <v>2420000</v>
      </c>
      <c r="N525" s="46" t="n">
        <v>0</v>
      </c>
      <c r="O525" s="46">
        <f>MAX(0,M525-N525-L525)</f>
        <v/>
      </c>
      <c r="P525" s="46">
        <f>MAX(0,L525-(M525-N525))</f>
        <v/>
      </c>
      <c r="Q525" s="45" t="inlineStr">
        <is>
          <t>30/09/2026</t>
        </is>
      </c>
      <c r="R525" s="45" t="inlineStr">
        <is>
          <t>PT2026-00522</t>
        </is>
      </c>
      <c r="S525" s="45" t="inlineStr"/>
    </row>
    <row r="526">
      <c r="A526" s="45" t="inlineStr">
        <is>
          <t>251231006</t>
        </is>
      </c>
      <c r="B526" s="45" t="inlineStr">
        <is>
          <t>HÀ HUY VŨ</t>
        </is>
      </c>
      <c r="C526" s="45" t="inlineStr">
        <is>
          <t>Công nghệ thông tin 2 K66</t>
        </is>
      </c>
      <c r="D526" s="45" t="inlineStr">
        <is>
          <t>Năm 3</t>
        </is>
      </c>
      <c r="E526" s="45" t="inlineStr">
        <is>
          <t>2027_2028</t>
        </is>
      </c>
      <c r="F526" s="45" t="n">
        <v>4</v>
      </c>
      <c r="G526" s="46">
        <f>VLOOKUP(D526,'Cấu Hình Học Phí'!$A$8:$B$11,2,FALSE)</f>
        <v/>
      </c>
      <c r="H526" s="46">
        <f>F526*G526</f>
        <v/>
      </c>
      <c r="I526" s="45" t="n">
        <v>0</v>
      </c>
      <c r="J526" s="46">
        <f>I526*'Cấu Hình Học Phí'!$B$5</f>
        <v/>
      </c>
      <c r="K526" s="46" t="n">
        <v>0</v>
      </c>
      <c r="L526" s="46">
        <f>H526+J526-K526</f>
        <v/>
      </c>
      <c r="M526" s="46" t="n">
        <v>2662000</v>
      </c>
      <c r="N526" s="46" t="n">
        <v>0</v>
      </c>
      <c r="O526" s="46">
        <f>MAX(0,M526-N526-L526)</f>
        <v/>
      </c>
      <c r="P526" s="46">
        <f>MAX(0,L526-(M526-N526))</f>
        <v/>
      </c>
      <c r="Q526" s="45" t="inlineStr">
        <is>
          <t>30/09/2027</t>
        </is>
      </c>
      <c r="R526" s="45" t="inlineStr">
        <is>
          <t>PT2027-00523</t>
        </is>
      </c>
      <c r="S526" s="45" t="inlineStr"/>
    </row>
    <row r="527">
      <c r="A527" s="45" t="inlineStr">
        <is>
          <t>251231006</t>
        </is>
      </c>
      <c r="B527" s="45" t="inlineStr">
        <is>
          <t>HÀ HUY VŨ</t>
        </is>
      </c>
      <c r="C527" s="45" t="inlineStr">
        <is>
          <t>Công nghệ thông tin 2 K66</t>
        </is>
      </c>
      <c r="D527" s="45" t="inlineStr">
        <is>
          <t>Năm 4</t>
        </is>
      </c>
      <c r="E527" s="45" t="inlineStr">
        <is>
          <t>2028_2029</t>
        </is>
      </c>
      <c r="F527" s="45" t="n">
        <v>1</v>
      </c>
      <c r="G527" s="46">
        <f>VLOOKUP(D527,'Cấu Hình Học Phí'!$A$8:$B$11,2,FALSE)</f>
        <v/>
      </c>
      <c r="H527" s="46">
        <f>F527*G527</f>
        <v/>
      </c>
      <c r="I527" s="45" t="n">
        <v>0</v>
      </c>
      <c r="J527" s="46">
        <f>I527*'Cấu Hình Học Phí'!$B$5</f>
        <v/>
      </c>
      <c r="K527" s="46" t="n">
        <v>0</v>
      </c>
      <c r="L527" s="46">
        <f>H527+J527-K527</f>
        <v/>
      </c>
      <c r="M527" s="46" t="n">
        <v>732050</v>
      </c>
      <c r="N527" s="46" t="n">
        <v>0</v>
      </c>
      <c r="O527" s="46">
        <f>MAX(0,M527-N527-L527)</f>
        <v/>
      </c>
      <c r="P527" s="46">
        <f>MAX(0,L527-(M527-N527))</f>
        <v/>
      </c>
      <c r="Q527" s="45" t="inlineStr">
        <is>
          <t>30/09/2028</t>
        </is>
      </c>
      <c r="R527" s="45" t="inlineStr">
        <is>
          <t>PT2028-00524</t>
        </is>
      </c>
      <c r="S527" s="45" t="inlineStr"/>
    </row>
    <row r="528">
      <c r="A528" s="45" t="inlineStr">
        <is>
          <t>251210795</t>
        </is>
      </c>
      <c r="B528" s="45" t="inlineStr">
        <is>
          <t>NGÔ ĐÌNH NGỌC AN</t>
        </is>
      </c>
      <c r="C528" s="45" t="inlineStr">
        <is>
          <t>Công nghệ thông tin 3 K66</t>
        </is>
      </c>
      <c r="D528" s="45" t="inlineStr">
        <is>
          <t>Năm 1</t>
        </is>
      </c>
      <c r="E528" s="45" t="inlineStr">
        <is>
          <t>2025_2026</t>
        </is>
      </c>
      <c r="F528" s="45" t="n">
        <v>4</v>
      </c>
      <c r="G528" s="46">
        <f>VLOOKUP(D528,'Cấu Hình Học Phí'!$A$8:$B$11,2,FALSE)</f>
        <v/>
      </c>
      <c r="H528" s="46">
        <f>F528*G528</f>
        <v/>
      </c>
      <c r="I528" s="45" t="n">
        <v>1</v>
      </c>
      <c r="J528" s="46">
        <f>I528*'Cấu Hình Học Phí'!$B$5</f>
        <v/>
      </c>
      <c r="K528" s="46" t="n">
        <v>0</v>
      </c>
      <c r="L528" s="46">
        <f>H528+J528-K528</f>
        <v/>
      </c>
      <c r="M528" s="46" t="n">
        <v>2200000</v>
      </c>
      <c r="N528" s="46" t="n">
        <v>0</v>
      </c>
      <c r="O528" s="46">
        <f>MAX(0,M528-N528-L528)</f>
        <v/>
      </c>
      <c r="P528" s="46">
        <f>MAX(0,L528-(M528-N528))</f>
        <v/>
      </c>
      <c r="Q528" s="45" t="inlineStr">
        <is>
          <t>30/09/2025</t>
        </is>
      </c>
      <c r="R528" s="45" t="inlineStr">
        <is>
          <t>PT2025-00525</t>
        </is>
      </c>
      <c r="S528" s="45" t="inlineStr">
        <is>
          <t>Chưa nộp phí phụ đạo 1 môn</t>
        </is>
      </c>
    </row>
    <row r="529">
      <c r="A529" s="45" t="inlineStr">
        <is>
          <t>251210795</t>
        </is>
      </c>
      <c r="B529" s="45" t="inlineStr">
        <is>
          <t>NGÔ ĐÌNH NGỌC AN</t>
        </is>
      </c>
      <c r="C529" s="45" t="inlineStr">
        <is>
          <t>Công nghệ thông tin 3 K66</t>
        </is>
      </c>
      <c r="D529" s="45" t="inlineStr">
        <is>
          <t>Năm 2</t>
        </is>
      </c>
      <c r="E529" s="45" t="inlineStr">
        <is>
          <t>2026_2027</t>
        </is>
      </c>
      <c r="F529" s="45" t="n">
        <v>4</v>
      </c>
      <c r="G529" s="46">
        <f>VLOOKUP(D529,'Cấu Hình Học Phí'!$A$8:$B$11,2,FALSE)</f>
        <v/>
      </c>
      <c r="H529" s="46">
        <f>F529*G529</f>
        <v/>
      </c>
      <c r="I529" s="45" t="n">
        <v>0</v>
      </c>
      <c r="J529" s="46">
        <f>I529*'Cấu Hình Học Phí'!$B$5</f>
        <v/>
      </c>
      <c r="K529" s="46" t="n">
        <v>0</v>
      </c>
      <c r="L529" s="46">
        <f>H529+J529-K529</f>
        <v/>
      </c>
      <c r="M529" s="46" t="n">
        <v>2420000</v>
      </c>
      <c r="N529" s="46" t="n">
        <v>0</v>
      </c>
      <c r="O529" s="46">
        <f>MAX(0,M529-N529-L529)</f>
        <v/>
      </c>
      <c r="P529" s="46">
        <f>MAX(0,L529-(M529-N529))</f>
        <v/>
      </c>
      <c r="Q529" s="45" t="inlineStr">
        <is>
          <t>30/09/2026</t>
        </is>
      </c>
      <c r="R529" s="45" t="inlineStr">
        <is>
          <t>PT2026-00526</t>
        </is>
      </c>
      <c r="S529" s="45" t="inlineStr"/>
    </row>
    <row r="530">
      <c r="A530" s="45" t="inlineStr">
        <is>
          <t>251210795</t>
        </is>
      </c>
      <c r="B530" s="45" t="inlineStr">
        <is>
          <t>NGÔ ĐÌNH NGỌC AN</t>
        </is>
      </c>
      <c r="C530" s="45" t="inlineStr">
        <is>
          <t>Công nghệ thông tin 3 K66</t>
        </is>
      </c>
      <c r="D530" s="45" t="inlineStr">
        <is>
          <t>Năm 3</t>
        </is>
      </c>
      <c r="E530" s="45" t="inlineStr">
        <is>
          <t>2027_2028</t>
        </is>
      </c>
      <c r="F530" s="45" t="n">
        <v>4</v>
      </c>
      <c r="G530" s="46">
        <f>VLOOKUP(D530,'Cấu Hình Học Phí'!$A$8:$B$11,2,FALSE)</f>
        <v/>
      </c>
      <c r="H530" s="46">
        <f>F530*G530</f>
        <v/>
      </c>
      <c r="I530" s="45" t="n">
        <v>0</v>
      </c>
      <c r="J530" s="46">
        <f>I530*'Cấu Hình Học Phí'!$B$5</f>
        <v/>
      </c>
      <c r="K530" s="46" t="n">
        <v>0</v>
      </c>
      <c r="L530" s="46">
        <f>H530+J530-K530</f>
        <v/>
      </c>
      <c r="M530" s="46" t="n">
        <v>2662000</v>
      </c>
      <c r="N530" s="46" t="n">
        <v>0</v>
      </c>
      <c r="O530" s="46">
        <f>MAX(0,M530-N530-L530)</f>
        <v/>
      </c>
      <c r="P530" s="46">
        <f>MAX(0,L530-(M530-N530))</f>
        <v/>
      </c>
      <c r="Q530" s="45" t="inlineStr">
        <is>
          <t>30/09/2027</t>
        </is>
      </c>
      <c r="R530" s="45" t="inlineStr">
        <is>
          <t>PT2027-00527</t>
        </is>
      </c>
      <c r="S530" s="45" t="inlineStr"/>
    </row>
    <row r="531">
      <c r="A531" s="45" t="inlineStr">
        <is>
          <t>251210795</t>
        </is>
      </c>
      <c r="B531" s="45" t="inlineStr">
        <is>
          <t>NGÔ ĐÌNH NGỌC AN</t>
        </is>
      </c>
      <c r="C531" s="45" t="inlineStr">
        <is>
          <t>Công nghệ thông tin 3 K66</t>
        </is>
      </c>
      <c r="D531" s="45" t="inlineStr">
        <is>
          <t>Năm 4</t>
        </is>
      </c>
      <c r="E531" s="45" t="inlineStr">
        <is>
          <t>2028_2029</t>
        </is>
      </c>
      <c r="F531" s="45" t="n">
        <v>1</v>
      </c>
      <c r="G531" s="46">
        <f>VLOOKUP(D531,'Cấu Hình Học Phí'!$A$8:$B$11,2,FALSE)</f>
        <v/>
      </c>
      <c r="H531" s="46">
        <f>F531*G531</f>
        <v/>
      </c>
      <c r="I531" s="45" t="n">
        <v>0</v>
      </c>
      <c r="J531" s="46">
        <f>I531*'Cấu Hình Học Phí'!$B$5</f>
        <v/>
      </c>
      <c r="K531" s="46" t="n">
        <v>0</v>
      </c>
      <c r="L531" s="46">
        <f>H531+J531-K531</f>
        <v/>
      </c>
      <c r="M531" s="46" t="n">
        <v>732050</v>
      </c>
      <c r="N531" s="46" t="n">
        <v>0</v>
      </c>
      <c r="O531" s="46">
        <f>MAX(0,M531-N531-L531)</f>
        <v/>
      </c>
      <c r="P531" s="46">
        <f>MAX(0,L531-(M531-N531))</f>
        <v/>
      </c>
      <c r="Q531" s="45" t="inlineStr">
        <is>
          <t>30/09/2028</t>
        </is>
      </c>
      <c r="R531" s="45" t="inlineStr">
        <is>
          <t>PT2028-00528</t>
        </is>
      </c>
      <c r="S531" s="45" t="inlineStr"/>
    </row>
    <row r="532">
      <c r="A532" s="45" t="inlineStr">
        <is>
          <t>251210797</t>
        </is>
      </c>
      <c r="B532" s="45" t="inlineStr">
        <is>
          <t>NGUYỄN VIỆT AN</t>
        </is>
      </c>
      <c r="C532" s="45" t="inlineStr">
        <is>
          <t>Công nghệ thông tin 3 K66</t>
        </is>
      </c>
      <c r="D532" s="45" t="inlineStr">
        <is>
          <t>Năm 1</t>
        </is>
      </c>
      <c r="E532" s="45" t="inlineStr">
        <is>
          <t>2025_2026</t>
        </is>
      </c>
      <c r="F532" s="45" t="n">
        <v>4</v>
      </c>
      <c r="G532" s="46">
        <f>VLOOKUP(D532,'Cấu Hình Học Phí'!$A$8:$B$11,2,FALSE)</f>
        <v/>
      </c>
      <c r="H532" s="46">
        <f>F532*G532</f>
        <v/>
      </c>
      <c r="I532" s="45" t="n">
        <v>0</v>
      </c>
      <c r="J532" s="46">
        <f>I532*'Cấu Hình Học Phí'!$B$5</f>
        <v/>
      </c>
      <c r="K532" s="46" t="n">
        <v>0</v>
      </c>
      <c r="L532" s="46">
        <f>H532+J532-K532</f>
        <v/>
      </c>
      <c r="M532" s="46" t="n">
        <v>2200000</v>
      </c>
      <c r="N532" s="46" t="n">
        <v>0</v>
      </c>
      <c r="O532" s="46">
        <f>MAX(0,M532-N532-L532)</f>
        <v/>
      </c>
      <c r="P532" s="46">
        <f>MAX(0,L532-(M532-N532))</f>
        <v/>
      </c>
      <c r="Q532" s="45" t="inlineStr">
        <is>
          <t>30/09/2025</t>
        </is>
      </c>
      <c r="R532" s="45" t="inlineStr">
        <is>
          <t>PT2025-00529</t>
        </is>
      </c>
      <c r="S532" s="45" t="inlineStr"/>
    </row>
    <row r="533">
      <c r="A533" s="45" t="inlineStr">
        <is>
          <t>251210797</t>
        </is>
      </c>
      <c r="B533" s="45" t="inlineStr">
        <is>
          <t>NGUYỄN VIỆT AN</t>
        </is>
      </c>
      <c r="C533" s="45" t="inlineStr">
        <is>
          <t>Công nghệ thông tin 3 K66</t>
        </is>
      </c>
      <c r="D533" s="45" t="inlineStr">
        <is>
          <t>Năm 2</t>
        </is>
      </c>
      <c r="E533" s="45" t="inlineStr">
        <is>
          <t>2026_2027</t>
        </is>
      </c>
      <c r="F533" s="45" t="n">
        <v>4</v>
      </c>
      <c r="G533" s="46">
        <f>VLOOKUP(D533,'Cấu Hình Học Phí'!$A$8:$B$11,2,FALSE)</f>
        <v/>
      </c>
      <c r="H533" s="46">
        <f>F533*G533</f>
        <v/>
      </c>
      <c r="I533" s="45" t="n">
        <v>1</v>
      </c>
      <c r="J533" s="46">
        <f>I533*'Cấu Hình Học Phí'!$B$5</f>
        <v/>
      </c>
      <c r="K533" s="46" t="n">
        <v>0</v>
      </c>
      <c r="L533" s="46">
        <f>H533+J533-K533</f>
        <v/>
      </c>
      <c r="M533" s="46" t="n">
        <v>2420000</v>
      </c>
      <c r="N533" s="46" t="n">
        <v>0</v>
      </c>
      <c r="O533" s="46">
        <f>MAX(0,M533-N533-L533)</f>
        <v/>
      </c>
      <c r="P533" s="46">
        <f>MAX(0,L533-(M533-N533))</f>
        <v/>
      </c>
      <c r="Q533" s="45" t="inlineStr">
        <is>
          <t>30/09/2026</t>
        </is>
      </c>
      <c r="R533" s="45" t="inlineStr">
        <is>
          <t>PT2026-00530</t>
        </is>
      </c>
      <c r="S533" s="45" t="inlineStr">
        <is>
          <t>Chưa nộp phí phụ đạo 1 môn</t>
        </is>
      </c>
    </row>
    <row r="534">
      <c r="A534" s="45" t="inlineStr">
        <is>
          <t>251210797</t>
        </is>
      </c>
      <c r="B534" s="45" t="inlineStr">
        <is>
          <t>NGUYỄN VIỆT AN</t>
        </is>
      </c>
      <c r="C534" s="45" t="inlineStr">
        <is>
          <t>Công nghệ thông tin 3 K66</t>
        </is>
      </c>
      <c r="D534" s="45" t="inlineStr">
        <is>
          <t>Năm 3</t>
        </is>
      </c>
      <c r="E534" s="45" t="inlineStr">
        <is>
          <t>2027_2028</t>
        </is>
      </c>
      <c r="F534" s="45" t="n">
        <v>4</v>
      </c>
      <c r="G534" s="46">
        <f>VLOOKUP(D534,'Cấu Hình Học Phí'!$A$8:$B$11,2,FALSE)</f>
        <v/>
      </c>
      <c r="H534" s="46">
        <f>F534*G534</f>
        <v/>
      </c>
      <c r="I534" s="45" t="n">
        <v>0</v>
      </c>
      <c r="J534" s="46">
        <f>I534*'Cấu Hình Học Phí'!$B$5</f>
        <v/>
      </c>
      <c r="K534" s="46" t="n">
        <v>0</v>
      </c>
      <c r="L534" s="46">
        <f>H534+J534-K534</f>
        <v/>
      </c>
      <c r="M534" s="46" t="n">
        <v>2662000</v>
      </c>
      <c r="N534" s="46" t="n">
        <v>0</v>
      </c>
      <c r="O534" s="46">
        <f>MAX(0,M534-N534-L534)</f>
        <v/>
      </c>
      <c r="P534" s="46">
        <f>MAX(0,L534-(M534-N534))</f>
        <v/>
      </c>
      <c r="Q534" s="45" t="inlineStr">
        <is>
          <t>30/09/2027</t>
        </is>
      </c>
      <c r="R534" s="45" t="inlineStr">
        <is>
          <t>PT2027-00531</t>
        </is>
      </c>
      <c r="S534" s="45" t="inlineStr"/>
    </row>
    <row r="535">
      <c r="A535" s="45" t="inlineStr">
        <is>
          <t>251210797</t>
        </is>
      </c>
      <c r="B535" s="45" t="inlineStr">
        <is>
          <t>NGUYỄN VIỆT AN</t>
        </is>
      </c>
      <c r="C535" s="45" t="inlineStr">
        <is>
          <t>Công nghệ thông tin 3 K66</t>
        </is>
      </c>
      <c r="D535" s="45" t="inlineStr">
        <is>
          <t>Năm 4</t>
        </is>
      </c>
      <c r="E535" s="45" t="inlineStr">
        <is>
          <t>2028_2029</t>
        </is>
      </c>
      <c r="F535" s="45" t="n">
        <v>1</v>
      </c>
      <c r="G535" s="46">
        <f>VLOOKUP(D535,'Cấu Hình Học Phí'!$A$8:$B$11,2,FALSE)</f>
        <v/>
      </c>
      <c r="H535" s="46">
        <f>F535*G535</f>
        <v/>
      </c>
      <c r="I535" s="45" t="n">
        <v>0</v>
      </c>
      <c r="J535" s="46">
        <f>I535*'Cấu Hình Học Phí'!$B$5</f>
        <v/>
      </c>
      <c r="K535" s="46" t="n">
        <v>0</v>
      </c>
      <c r="L535" s="46">
        <f>H535+J535-K535</f>
        <v/>
      </c>
      <c r="M535" s="46" t="n">
        <v>732050</v>
      </c>
      <c r="N535" s="46" t="n">
        <v>0</v>
      </c>
      <c r="O535" s="46">
        <f>MAX(0,M535-N535-L535)</f>
        <v/>
      </c>
      <c r="P535" s="46">
        <f>MAX(0,L535-(M535-N535))</f>
        <v/>
      </c>
      <c r="Q535" s="45" t="inlineStr">
        <is>
          <t>30/09/2028</t>
        </is>
      </c>
      <c r="R535" s="45" t="inlineStr">
        <is>
          <t>PT2028-00532</t>
        </is>
      </c>
      <c r="S535" s="45" t="inlineStr"/>
    </row>
    <row r="536">
      <c r="A536" s="45" t="inlineStr">
        <is>
          <t>251230803</t>
        </is>
      </c>
      <c r="B536" s="45" t="inlineStr">
        <is>
          <t>NGUYỄN ĐỨC ANH</t>
        </is>
      </c>
      <c r="C536" s="45" t="inlineStr">
        <is>
          <t>Công nghệ thông tin 3 K66</t>
        </is>
      </c>
      <c r="D536" s="45" t="inlineStr">
        <is>
          <t>Năm 1</t>
        </is>
      </c>
      <c r="E536" s="45" t="inlineStr">
        <is>
          <t>2025_2026</t>
        </is>
      </c>
      <c r="F536" s="45" t="n">
        <v>4</v>
      </c>
      <c r="G536" s="46">
        <f>VLOOKUP(D536,'Cấu Hình Học Phí'!$A$8:$B$11,2,FALSE)</f>
        <v/>
      </c>
      <c r="H536" s="46">
        <f>F536*G536</f>
        <v/>
      </c>
      <c r="I536" s="45" t="n">
        <v>1</v>
      </c>
      <c r="J536" s="46">
        <f>I536*'Cấu Hình Học Phí'!$B$5</f>
        <v/>
      </c>
      <c r="K536" s="46" t="n">
        <v>0</v>
      </c>
      <c r="L536" s="46">
        <f>H536+J536-K536</f>
        <v/>
      </c>
      <c r="M536" s="46" t="n">
        <v>3200000</v>
      </c>
      <c r="N536" s="46" t="n">
        <v>0</v>
      </c>
      <c r="O536" s="46">
        <f>MAX(0,M536-N536-L536)</f>
        <v/>
      </c>
      <c r="P536" s="46">
        <f>MAX(0,L536-(M536-N536))</f>
        <v/>
      </c>
      <c r="Q536" s="45" t="inlineStr">
        <is>
          <t>30/09/2025</t>
        </is>
      </c>
      <c r="R536" s="45" t="inlineStr">
        <is>
          <t>PT2025-00533</t>
        </is>
      </c>
      <c r="S536" s="45" t="inlineStr"/>
    </row>
    <row r="537">
      <c r="A537" s="45" t="inlineStr">
        <is>
          <t>251230803</t>
        </is>
      </c>
      <c r="B537" s="45" t="inlineStr">
        <is>
          <t>NGUYỄN ĐỨC ANH</t>
        </is>
      </c>
      <c r="C537" s="45" t="inlineStr">
        <is>
          <t>Công nghệ thông tin 3 K66</t>
        </is>
      </c>
      <c r="D537" s="45" t="inlineStr">
        <is>
          <t>Năm 2</t>
        </is>
      </c>
      <c r="E537" s="45" t="inlineStr">
        <is>
          <t>2026_2027</t>
        </is>
      </c>
      <c r="F537" s="45" t="n">
        <v>4</v>
      </c>
      <c r="G537" s="46">
        <f>VLOOKUP(D537,'Cấu Hình Học Phí'!$A$8:$B$11,2,FALSE)</f>
        <v/>
      </c>
      <c r="H537" s="46">
        <f>F537*G537</f>
        <v/>
      </c>
      <c r="I537" s="45" t="n">
        <v>1</v>
      </c>
      <c r="J537" s="46">
        <f>I537*'Cấu Hình Học Phí'!$B$5</f>
        <v/>
      </c>
      <c r="K537" s="46" t="n">
        <v>0</v>
      </c>
      <c r="L537" s="46">
        <f>H537+J537-K537</f>
        <v/>
      </c>
      <c r="M537" s="46" t="n">
        <v>3420000</v>
      </c>
      <c r="N537" s="46" t="n">
        <v>0</v>
      </c>
      <c r="O537" s="46">
        <f>MAX(0,M537-N537-L537)</f>
        <v/>
      </c>
      <c r="P537" s="46">
        <f>MAX(0,L537-(M537-N537))</f>
        <v/>
      </c>
      <c r="Q537" s="45" t="inlineStr">
        <is>
          <t>30/09/2026</t>
        </is>
      </c>
      <c r="R537" s="45" t="inlineStr">
        <is>
          <t>PT2026-00534</t>
        </is>
      </c>
      <c r="S537" s="45" t="inlineStr"/>
    </row>
    <row r="538">
      <c r="A538" s="45" t="inlineStr">
        <is>
          <t>251230803</t>
        </is>
      </c>
      <c r="B538" s="45" t="inlineStr">
        <is>
          <t>NGUYỄN ĐỨC ANH</t>
        </is>
      </c>
      <c r="C538" s="45" t="inlineStr">
        <is>
          <t>Công nghệ thông tin 3 K66</t>
        </is>
      </c>
      <c r="D538" s="45" t="inlineStr">
        <is>
          <t>Năm 3</t>
        </is>
      </c>
      <c r="E538" s="45" t="inlineStr">
        <is>
          <t>2027_2028</t>
        </is>
      </c>
      <c r="F538" s="45" t="n">
        <v>4</v>
      </c>
      <c r="G538" s="46">
        <f>VLOOKUP(D538,'Cấu Hình Học Phí'!$A$8:$B$11,2,FALSE)</f>
        <v/>
      </c>
      <c r="H538" s="46">
        <f>F538*G538</f>
        <v/>
      </c>
      <c r="I538" s="45" t="n">
        <v>0</v>
      </c>
      <c r="J538" s="46">
        <f>I538*'Cấu Hình Học Phí'!$B$5</f>
        <v/>
      </c>
      <c r="K538" s="46" t="n">
        <v>0</v>
      </c>
      <c r="L538" s="46">
        <f>H538+J538-K538</f>
        <v/>
      </c>
      <c r="M538" s="46" t="n">
        <v>2662000</v>
      </c>
      <c r="N538" s="46" t="n">
        <v>0</v>
      </c>
      <c r="O538" s="46">
        <f>MAX(0,M538-N538-L538)</f>
        <v/>
      </c>
      <c r="P538" s="46">
        <f>MAX(0,L538-(M538-N538))</f>
        <v/>
      </c>
      <c r="Q538" s="45" t="inlineStr">
        <is>
          <t>30/09/2027</t>
        </is>
      </c>
      <c r="R538" s="45" t="inlineStr">
        <is>
          <t>PT2027-00535</t>
        </is>
      </c>
      <c r="S538" s="45" t="inlineStr"/>
    </row>
    <row r="539">
      <c r="A539" s="45" t="inlineStr">
        <is>
          <t>251230803</t>
        </is>
      </c>
      <c r="B539" s="45" t="inlineStr">
        <is>
          <t>NGUYỄN ĐỨC ANH</t>
        </is>
      </c>
      <c r="C539" s="45" t="inlineStr">
        <is>
          <t>Công nghệ thông tin 3 K66</t>
        </is>
      </c>
      <c r="D539" s="45" t="inlineStr">
        <is>
          <t>Năm 4</t>
        </is>
      </c>
      <c r="E539" s="45" t="inlineStr">
        <is>
          <t>2028_2029</t>
        </is>
      </c>
      <c r="F539" s="45" t="n">
        <v>1</v>
      </c>
      <c r="G539" s="46">
        <f>VLOOKUP(D539,'Cấu Hình Học Phí'!$A$8:$B$11,2,FALSE)</f>
        <v/>
      </c>
      <c r="H539" s="46">
        <f>F539*G539</f>
        <v/>
      </c>
      <c r="I539" s="45" t="n">
        <v>0</v>
      </c>
      <c r="J539" s="46">
        <f>I539*'Cấu Hình Học Phí'!$B$5</f>
        <v/>
      </c>
      <c r="K539" s="46" t="n">
        <v>0</v>
      </c>
      <c r="L539" s="46">
        <f>H539+J539-K539</f>
        <v/>
      </c>
      <c r="M539" s="46" t="n">
        <v>732050</v>
      </c>
      <c r="N539" s="46" t="n">
        <v>0</v>
      </c>
      <c r="O539" s="46">
        <f>MAX(0,M539-N539-L539)</f>
        <v/>
      </c>
      <c r="P539" s="46">
        <f>MAX(0,L539-(M539-N539))</f>
        <v/>
      </c>
      <c r="Q539" s="45" t="inlineStr">
        <is>
          <t>30/09/2028</t>
        </is>
      </c>
      <c r="R539" s="45" t="inlineStr">
        <is>
          <t>PT2028-00536</t>
        </is>
      </c>
      <c r="S539" s="45" t="inlineStr"/>
    </row>
    <row r="540">
      <c r="A540" s="45" t="inlineStr">
        <is>
          <t>251210804</t>
        </is>
      </c>
      <c r="B540" s="45" t="inlineStr">
        <is>
          <t>NGUYỄN NHẬT ANH</t>
        </is>
      </c>
      <c r="C540" s="45" t="inlineStr">
        <is>
          <t>Công nghệ thông tin 3 K66</t>
        </is>
      </c>
      <c r="D540" s="45" t="inlineStr">
        <is>
          <t>Năm 1</t>
        </is>
      </c>
      <c r="E540" s="45" t="inlineStr">
        <is>
          <t>2025_2026</t>
        </is>
      </c>
      <c r="F540" s="45" t="n">
        <v>4</v>
      </c>
      <c r="G540" s="46">
        <f>VLOOKUP(D540,'Cấu Hình Học Phí'!$A$8:$B$11,2,FALSE)</f>
        <v/>
      </c>
      <c r="H540" s="46">
        <f>F540*G540</f>
        <v/>
      </c>
      <c r="I540" s="45" t="n">
        <v>1</v>
      </c>
      <c r="J540" s="46">
        <f>I540*'Cấu Hình Học Phí'!$B$5</f>
        <v/>
      </c>
      <c r="K540" s="46" t="n">
        <v>0</v>
      </c>
      <c r="L540" s="46">
        <f>H540+J540-K540</f>
        <v/>
      </c>
      <c r="M540" s="46" t="n">
        <v>3200000</v>
      </c>
      <c r="N540" s="46" t="n">
        <v>0</v>
      </c>
      <c r="O540" s="46">
        <f>MAX(0,M540-N540-L540)</f>
        <v/>
      </c>
      <c r="P540" s="46">
        <f>MAX(0,L540-(M540-N540))</f>
        <v/>
      </c>
      <c r="Q540" s="45" t="inlineStr">
        <is>
          <t>30/09/2025</t>
        </is>
      </c>
      <c r="R540" s="45" t="inlineStr">
        <is>
          <t>PT2025-00537</t>
        </is>
      </c>
      <c r="S540" s="45" t="inlineStr"/>
    </row>
    <row r="541">
      <c r="A541" s="45" t="inlineStr">
        <is>
          <t>251210804</t>
        </is>
      </c>
      <c r="B541" s="45" t="inlineStr">
        <is>
          <t>NGUYỄN NHẬT ANH</t>
        </is>
      </c>
      <c r="C541" s="45" t="inlineStr">
        <is>
          <t>Công nghệ thông tin 3 K66</t>
        </is>
      </c>
      <c r="D541" s="45" t="inlineStr">
        <is>
          <t>Năm 2</t>
        </is>
      </c>
      <c r="E541" s="45" t="inlineStr">
        <is>
          <t>2026_2027</t>
        </is>
      </c>
      <c r="F541" s="45" t="n">
        <v>4</v>
      </c>
      <c r="G541" s="46">
        <f>VLOOKUP(D541,'Cấu Hình Học Phí'!$A$8:$B$11,2,FALSE)</f>
        <v/>
      </c>
      <c r="H541" s="46">
        <f>F541*G541</f>
        <v/>
      </c>
      <c r="I541" s="45" t="n">
        <v>0</v>
      </c>
      <c r="J541" s="46">
        <f>I541*'Cấu Hình Học Phí'!$B$5</f>
        <v/>
      </c>
      <c r="K541" s="46" t="n">
        <v>0</v>
      </c>
      <c r="L541" s="46">
        <f>H541+J541-K541</f>
        <v/>
      </c>
      <c r="M541" s="46" t="n">
        <v>2420000</v>
      </c>
      <c r="N541" s="46" t="n">
        <v>0</v>
      </c>
      <c r="O541" s="46">
        <f>MAX(0,M541-N541-L541)</f>
        <v/>
      </c>
      <c r="P541" s="46">
        <f>MAX(0,L541-(M541-N541))</f>
        <v/>
      </c>
      <c r="Q541" s="45" t="inlineStr">
        <is>
          <t>30/09/2026</t>
        </is>
      </c>
      <c r="R541" s="45" t="inlineStr">
        <is>
          <t>PT2026-00538</t>
        </is>
      </c>
      <c r="S541" s="45" t="inlineStr"/>
    </row>
    <row r="542">
      <c r="A542" s="45" t="inlineStr">
        <is>
          <t>251210804</t>
        </is>
      </c>
      <c r="B542" s="45" t="inlineStr">
        <is>
          <t>NGUYỄN NHẬT ANH</t>
        </is>
      </c>
      <c r="C542" s="45" t="inlineStr">
        <is>
          <t>Công nghệ thông tin 3 K66</t>
        </is>
      </c>
      <c r="D542" s="45" t="inlineStr">
        <is>
          <t>Năm 3</t>
        </is>
      </c>
      <c r="E542" s="45" t="inlineStr">
        <is>
          <t>2027_2028</t>
        </is>
      </c>
      <c r="F542" s="45" t="n">
        <v>4</v>
      </c>
      <c r="G542" s="46">
        <f>VLOOKUP(D542,'Cấu Hình Học Phí'!$A$8:$B$11,2,FALSE)</f>
        <v/>
      </c>
      <c r="H542" s="46">
        <f>F542*G542</f>
        <v/>
      </c>
      <c r="I542" s="45" t="n">
        <v>1</v>
      </c>
      <c r="J542" s="46">
        <f>I542*'Cấu Hình Học Phí'!$B$5</f>
        <v/>
      </c>
      <c r="K542" s="46" t="n">
        <v>0</v>
      </c>
      <c r="L542" s="46">
        <f>H542+J542-K542</f>
        <v/>
      </c>
      <c r="M542" s="46" t="n">
        <v>2662000</v>
      </c>
      <c r="N542" s="46" t="n">
        <v>0</v>
      </c>
      <c r="O542" s="46">
        <f>MAX(0,M542-N542-L542)</f>
        <v/>
      </c>
      <c r="P542" s="46">
        <f>MAX(0,L542-(M542-N542))</f>
        <v/>
      </c>
      <c r="Q542" s="45" t="inlineStr">
        <is>
          <t>30/09/2027</t>
        </is>
      </c>
      <c r="R542" s="45" t="inlineStr">
        <is>
          <t>PT2027-00539</t>
        </is>
      </c>
      <c r="S542" s="45" t="inlineStr">
        <is>
          <t>Chưa nộp phí phụ đạo 1 môn</t>
        </is>
      </c>
    </row>
    <row r="543">
      <c r="A543" s="45" t="inlineStr">
        <is>
          <t>251210804</t>
        </is>
      </c>
      <c r="B543" s="45" t="inlineStr">
        <is>
          <t>NGUYỄN NHẬT ANH</t>
        </is>
      </c>
      <c r="C543" s="45" t="inlineStr">
        <is>
          <t>Công nghệ thông tin 3 K66</t>
        </is>
      </c>
      <c r="D543" s="45" t="inlineStr">
        <is>
          <t>Năm 4</t>
        </is>
      </c>
      <c r="E543" s="45" t="inlineStr">
        <is>
          <t>2028_2029</t>
        </is>
      </c>
      <c r="F543" s="45" t="n">
        <v>1</v>
      </c>
      <c r="G543" s="46">
        <f>VLOOKUP(D543,'Cấu Hình Học Phí'!$A$8:$B$11,2,FALSE)</f>
        <v/>
      </c>
      <c r="H543" s="46">
        <f>F543*G543</f>
        <v/>
      </c>
      <c r="I543" s="45" t="n">
        <v>0</v>
      </c>
      <c r="J543" s="46">
        <f>I543*'Cấu Hình Học Phí'!$B$5</f>
        <v/>
      </c>
      <c r="K543" s="46" t="n">
        <v>0</v>
      </c>
      <c r="L543" s="46">
        <f>H543+J543-K543</f>
        <v/>
      </c>
      <c r="M543" s="46" t="n">
        <v>732050</v>
      </c>
      <c r="N543" s="46" t="n">
        <v>0</v>
      </c>
      <c r="O543" s="46">
        <f>MAX(0,M543-N543-L543)</f>
        <v/>
      </c>
      <c r="P543" s="46">
        <f>MAX(0,L543-(M543-N543))</f>
        <v/>
      </c>
      <c r="Q543" s="45" t="inlineStr">
        <is>
          <t>30/09/2028</t>
        </is>
      </c>
      <c r="R543" s="45" t="inlineStr">
        <is>
          <t>PT2028-00540</t>
        </is>
      </c>
      <c r="S543" s="45" t="inlineStr"/>
    </row>
    <row r="544">
      <c r="A544" s="45" t="inlineStr">
        <is>
          <t>251230805</t>
        </is>
      </c>
      <c r="B544" s="45" t="inlineStr">
        <is>
          <t>NGUYỄN QUỐC ANH</t>
        </is>
      </c>
      <c r="C544" s="45" t="inlineStr">
        <is>
          <t>Công nghệ thông tin 3 K66</t>
        </is>
      </c>
      <c r="D544" s="45" t="inlineStr">
        <is>
          <t>Năm 1</t>
        </is>
      </c>
      <c r="E544" s="45" t="inlineStr">
        <is>
          <t>2025_2026</t>
        </is>
      </c>
      <c r="F544" s="45" t="n">
        <v>4</v>
      </c>
      <c r="G544" s="46">
        <f>VLOOKUP(D544,'Cấu Hình Học Phí'!$A$8:$B$11,2,FALSE)</f>
        <v/>
      </c>
      <c r="H544" s="46">
        <f>F544*G544</f>
        <v/>
      </c>
      <c r="I544" s="45" t="n">
        <v>1</v>
      </c>
      <c r="J544" s="46">
        <f>I544*'Cấu Hình Học Phí'!$B$5</f>
        <v/>
      </c>
      <c r="K544" s="46" t="n">
        <v>0</v>
      </c>
      <c r="L544" s="46">
        <f>H544+J544-K544</f>
        <v/>
      </c>
      <c r="M544" s="46" t="n">
        <v>3200000</v>
      </c>
      <c r="N544" s="46" t="n">
        <v>0</v>
      </c>
      <c r="O544" s="46">
        <f>MAX(0,M544-N544-L544)</f>
        <v/>
      </c>
      <c r="P544" s="46">
        <f>MAX(0,L544-(M544-N544))</f>
        <v/>
      </c>
      <c r="Q544" s="45" t="inlineStr">
        <is>
          <t>30/09/2025</t>
        </is>
      </c>
      <c r="R544" s="45" t="inlineStr">
        <is>
          <t>PT2025-00541</t>
        </is>
      </c>
      <c r="S544" s="45" t="inlineStr"/>
    </row>
    <row r="545">
      <c r="A545" s="45" t="inlineStr">
        <is>
          <t>251230805</t>
        </is>
      </c>
      <c r="B545" s="45" t="inlineStr">
        <is>
          <t>NGUYỄN QUỐC ANH</t>
        </is>
      </c>
      <c r="C545" s="45" t="inlineStr">
        <is>
          <t>Công nghệ thông tin 3 K66</t>
        </is>
      </c>
      <c r="D545" s="45" t="inlineStr">
        <is>
          <t>Năm 2</t>
        </is>
      </c>
      <c r="E545" s="45" t="inlineStr">
        <is>
          <t>2026_2027</t>
        </is>
      </c>
      <c r="F545" s="45" t="n">
        <v>4</v>
      </c>
      <c r="G545" s="46">
        <f>VLOOKUP(D545,'Cấu Hình Học Phí'!$A$8:$B$11,2,FALSE)</f>
        <v/>
      </c>
      <c r="H545" s="46">
        <f>F545*G545</f>
        <v/>
      </c>
      <c r="I545" s="45" t="n">
        <v>0</v>
      </c>
      <c r="J545" s="46">
        <f>I545*'Cấu Hình Học Phí'!$B$5</f>
        <v/>
      </c>
      <c r="K545" s="46" t="n">
        <v>0</v>
      </c>
      <c r="L545" s="46">
        <f>H545+J545-K545</f>
        <v/>
      </c>
      <c r="M545" s="46" t="n">
        <v>2420000</v>
      </c>
      <c r="N545" s="46" t="n">
        <v>0</v>
      </c>
      <c r="O545" s="46">
        <f>MAX(0,M545-N545-L545)</f>
        <v/>
      </c>
      <c r="P545" s="46">
        <f>MAX(0,L545-(M545-N545))</f>
        <v/>
      </c>
      <c r="Q545" s="45" t="inlineStr">
        <is>
          <t>30/09/2026</t>
        </is>
      </c>
      <c r="R545" s="45" t="inlineStr">
        <is>
          <t>PT2026-00542</t>
        </is>
      </c>
      <c r="S545" s="45" t="inlineStr"/>
    </row>
    <row r="546">
      <c r="A546" s="45" t="inlineStr">
        <is>
          <t>251230805</t>
        </is>
      </c>
      <c r="B546" s="45" t="inlineStr">
        <is>
          <t>NGUYỄN QUỐC ANH</t>
        </is>
      </c>
      <c r="C546" s="45" t="inlineStr">
        <is>
          <t>Công nghệ thông tin 3 K66</t>
        </is>
      </c>
      <c r="D546" s="45" t="inlineStr">
        <is>
          <t>Năm 3</t>
        </is>
      </c>
      <c r="E546" s="45" t="inlineStr">
        <is>
          <t>2027_2028</t>
        </is>
      </c>
      <c r="F546" s="45" t="n">
        <v>4</v>
      </c>
      <c r="G546" s="46">
        <f>VLOOKUP(D546,'Cấu Hình Học Phí'!$A$8:$B$11,2,FALSE)</f>
        <v/>
      </c>
      <c r="H546" s="46">
        <f>F546*G546</f>
        <v/>
      </c>
      <c r="I546" s="45" t="n">
        <v>0</v>
      </c>
      <c r="J546" s="46">
        <f>I546*'Cấu Hình Học Phí'!$B$5</f>
        <v/>
      </c>
      <c r="K546" s="46" t="n">
        <v>0</v>
      </c>
      <c r="L546" s="46">
        <f>H546+J546-K546</f>
        <v/>
      </c>
      <c r="M546" s="46" t="n">
        <v>2662000</v>
      </c>
      <c r="N546" s="46" t="n">
        <v>0</v>
      </c>
      <c r="O546" s="46">
        <f>MAX(0,M546-N546-L546)</f>
        <v/>
      </c>
      <c r="P546" s="46">
        <f>MAX(0,L546-(M546-N546))</f>
        <v/>
      </c>
      <c r="Q546" s="45" t="inlineStr">
        <is>
          <t>30/09/2027</t>
        </is>
      </c>
      <c r="R546" s="45" t="inlineStr">
        <is>
          <t>PT2027-00543</t>
        </is>
      </c>
      <c r="S546" s="45" t="inlineStr"/>
    </row>
    <row r="547">
      <c r="A547" s="45" t="inlineStr">
        <is>
          <t>251230805</t>
        </is>
      </c>
      <c r="B547" s="45" t="inlineStr">
        <is>
          <t>NGUYỄN QUỐC ANH</t>
        </is>
      </c>
      <c r="C547" s="45" t="inlineStr">
        <is>
          <t>Công nghệ thông tin 3 K66</t>
        </is>
      </c>
      <c r="D547" s="45" t="inlineStr">
        <is>
          <t>Năm 4</t>
        </is>
      </c>
      <c r="E547" s="45" t="inlineStr">
        <is>
          <t>2028_2029</t>
        </is>
      </c>
      <c r="F547" s="45" t="n">
        <v>1</v>
      </c>
      <c r="G547" s="46">
        <f>VLOOKUP(D547,'Cấu Hình Học Phí'!$A$8:$B$11,2,FALSE)</f>
        <v/>
      </c>
      <c r="H547" s="46">
        <f>F547*G547</f>
        <v/>
      </c>
      <c r="I547" s="45" t="n">
        <v>0</v>
      </c>
      <c r="J547" s="46">
        <f>I547*'Cấu Hình Học Phí'!$B$5</f>
        <v/>
      </c>
      <c r="K547" s="46" t="n">
        <v>0</v>
      </c>
      <c r="L547" s="46">
        <f>H547+J547-K547</f>
        <v/>
      </c>
      <c r="M547" s="46" t="n">
        <v>732050</v>
      </c>
      <c r="N547" s="46" t="n">
        <v>0</v>
      </c>
      <c r="O547" s="46">
        <f>MAX(0,M547-N547-L547)</f>
        <v/>
      </c>
      <c r="P547" s="46">
        <f>MAX(0,L547-(M547-N547))</f>
        <v/>
      </c>
      <c r="Q547" s="45" t="inlineStr">
        <is>
          <t>30/09/2028</t>
        </is>
      </c>
      <c r="R547" s="45" t="inlineStr">
        <is>
          <t>PT2028-00544</t>
        </is>
      </c>
      <c r="S547" s="45" t="inlineStr"/>
    </row>
    <row r="548">
      <c r="A548" s="45" t="inlineStr">
        <is>
          <t>251230810</t>
        </is>
      </c>
      <c r="B548" s="45" t="inlineStr">
        <is>
          <t>NGUYỄN XUÂN BÁCH</t>
        </is>
      </c>
      <c r="C548" s="45" t="inlineStr">
        <is>
          <t>Công nghệ thông tin 3 K66</t>
        </is>
      </c>
      <c r="D548" s="45" t="inlineStr">
        <is>
          <t>Năm 1</t>
        </is>
      </c>
      <c r="E548" s="45" t="inlineStr">
        <is>
          <t>2025_2026</t>
        </is>
      </c>
      <c r="F548" s="45" t="n">
        <v>4</v>
      </c>
      <c r="G548" s="46">
        <f>VLOOKUP(D548,'Cấu Hình Học Phí'!$A$8:$B$11,2,FALSE)</f>
        <v/>
      </c>
      <c r="H548" s="46">
        <f>F548*G548</f>
        <v/>
      </c>
      <c r="I548" s="45" t="n">
        <v>2</v>
      </c>
      <c r="J548" s="46">
        <f>I548*'Cấu Hình Học Phí'!$B$5</f>
        <v/>
      </c>
      <c r="K548" s="46" t="n">
        <v>0</v>
      </c>
      <c r="L548" s="46">
        <f>H548+J548-K548</f>
        <v/>
      </c>
      <c r="M548" s="46" t="n">
        <v>2200000</v>
      </c>
      <c r="N548" s="46" t="n">
        <v>0</v>
      </c>
      <c r="O548" s="46">
        <f>MAX(0,M548-N548-L548)</f>
        <v/>
      </c>
      <c r="P548" s="46">
        <f>MAX(0,L548-(M548-N548))</f>
        <v/>
      </c>
      <c r="Q548" s="45" t="inlineStr">
        <is>
          <t>30/09/2025</t>
        </is>
      </c>
      <c r="R548" s="45" t="inlineStr">
        <is>
          <t>PT2025-00545</t>
        </is>
      </c>
      <c r="S548" s="45" t="inlineStr">
        <is>
          <t>Chưa nộp phí phụ đạo 2 môn</t>
        </is>
      </c>
    </row>
    <row r="549">
      <c r="A549" s="45" t="inlineStr">
        <is>
          <t>251230810</t>
        </is>
      </c>
      <c r="B549" s="45" t="inlineStr">
        <is>
          <t>NGUYỄN XUÂN BÁCH</t>
        </is>
      </c>
      <c r="C549" s="45" t="inlineStr">
        <is>
          <t>Công nghệ thông tin 3 K66</t>
        </is>
      </c>
      <c r="D549" s="45" t="inlineStr">
        <is>
          <t>Năm 2</t>
        </is>
      </c>
      <c r="E549" s="45" t="inlineStr">
        <is>
          <t>2026_2027</t>
        </is>
      </c>
      <c r="F549" s="45" t="n">
        <v>4</v>
      </c>
      <c r="G549" s="46">
        <f>VLOOKUP(D549,'Cấu Hình Học Phí'!$A$8:$B$11,2,FALSE)</f>
        <v/>
      </c>
      <c r="H549" s="46">
        <f>F549*G549</f>
        <v/>
      </c>
      <c r="I549" s="45" t="n">
        <v>0</v>
      </c>
      <c r="J549" s="46">
        <f>I549*'Cấu Hình Học Phí'!$B$5</f>
        <v/>
      </c>
      <c r="K549" s="46" t="n">
        <v>0</v>
      </c>
      <c r="L549" s="46">
        <f>H549+J549-K549</f>
        <v/>
      </c>
      <c r="M549" s="46" t="n">
        <v>2420000</v>
      </c>
      <c r="N549" s="46" t="n">
        <v>0</v>
      </c>
      <c r="O549" s="46">
        <f>MAX(0,M549-N549-L549)</f>
        <v/>
      </c>
      <c r="P549" s="46">
        <f>MAX(0,L549-(M549-N549))</f>
        <v/>
      </c>
      <c r="Q549" s="45" t="inlineStr">
        <is>
          <t>30/09/2026</t>
        </is>
      </c>
      <c r="R549" s="45" t="inlineStr">
        <is>
          <t>PT2026-00546</t>
        </is>
      </c>
      <c r="S549" s="45" t="inlineStr"/>
    </row>
    <row r="550">
      <c r="A550" s="45" t="inlineStr">
        <is>
          <t>251230810</t>
        </is>
      </c>
      <c r="B550" s="45" t="inlineStr">
        <is>
          <t>NGUYỄN XUÂN BÁCH</t>
        </is>
      </c>
      <c r="C550" s="45" t="inlineStr">
        <is>
          <t>Công nghệ thông tin 3 K66</t>
        </is>
      </c>
      <c r="D550" s="45" t="inlineStr">
        <is>
          <t>Năm 3</t>
        </is>
      </c>
      <c r="E550" s="45" t="inlineStr">
        <is>
          <t>2027_2028</t>
        </is>
      </c>
      <c r="F550" s="45" t="n">
        <v>4</v>
      </c>
      <c r="G550" s="46">
        <f>VLOOKUP(D550,'Cấu Hình Học Phí'!$A$8:$B$11,2,FALSE)</f>
        <v/>
      </c>
      <c r="H550" s="46">
        <f>F550*G550</f>
        <v/>
      </c>
      <c r="I550" s="45" t="n">
        <v>0</v>
      </c>
      <c r="J550" s="46">
        <f>I550*'Cấu Hình Học Phí'!$B$5</f>
        <v/>
      </c>
      <c r="K550" s="46" t="n">
        <v>0</v>
      </c>
      <c r="L550" s="46">
        <f>H550+J550-K550</f>
        <v/>
      </c>
      <c r="M550" s="46" t="n">
        <v>2662000</v>
      </c>
      <c r="N550" s="46" t="n">
        <v>0</v>
      </c>
      <c r="O550" s="46">
        <f>MAX(0,M550-N550-L550)</f>
        <v/>
      </c>
      <c r="P550" s="46">
        <f>MAX(0,L550-(M550-N550))</f>
        <v/>
      </c>
      <c r="Q550" s="45" t="inlineStr">
        <is>
          <t>30/09/2027</t>
        </is>
      </c>
      <c r="R550" s="45" t="inlineStr">
        <is>
          <t>PT2027-00547</t>
        </is>
      </c>
      <c r="S550" s="45" t="inlineStr"/>
    </row>
    <row r="551">
      <c r="A551" s="45" t="inlineStr">
        <is>
          <t>251230810</t>
        </is>
      </c>
      <c r="B551" s="45" t="inlineStr">
        <is>
          <t>NGUYỄN XUÂN BÁCH</t>
        </is>
      </c>
      <c r="C551" s="45" t="inlineStr">
        <is>
          <t>Công nghệ thông tin 3 K66</t>
        </is>
      </c>
      <c r="D551" s="45" t="inlineStr">
        <is>
          <t>Năm 4</t>
        </is>
      </c>
      <c r="E551" s="45" t="inlineStr">
        <is>
          <t>2028_2029</t>
        </is>
      </c>
      <c r="F551" s="45" t="n">
        <v>1</v>
      </c>
      <c r="G551" s="46">
        <f>VLOOKUP(D551,'Cấu Hình Học Phí'!$A$8:$B$11,2,FALSE)</f>
        <v/>
      </c>
      <c r="H551" s="46">
        <f>F551*G551</f>
        <v/>
      </c>
      <c r="I551" s="45" t="n">
        <v>0</v>
      </c>
      <c r="J551" s="46">
        <f>I551*'Cấu Hình Học Phí'!$B$5</f>
        <v/>
      </c>
      <c r="K551" s="46" t="n">
        <v>0</v>
      </c>
      <c r="L551" s="46">
        <f>H551+J551-K551</f>
        <v/>
      </c>
      <c r="M551" s="46" t="n">
        <v>732050</v>
      </c>
      <c r="N551" s="46" t="n">
        <v>0</v>
      </c>
      <c r="O551" s="46">
        <f>MAX(0,M551-N551-L551)</f>
        <v/>
      </c>
      <c r="P551" s="46">
        <f>MAX(0,L551-(M551-N551))</f>
        <v/>
      </c>
      <c r="Q551" s="45" t="inlineStr">
        <is>
          <t>30/09/2028</t>
        </is>
      </c>
      <c r="R551" s="45" t="inlineStr">
        <is>
          <t>PT2028-00548</t>
        </is>
      </c>
      <c r="S551" s="45" t="inlineStr"/>
    </row>
    <row r="552">
      <c r="A552" s="45" t="inlineStr">
        <is>
          <t>251210814</t>
        </is>
      </c>
      <c r="B552" s="45" t="inlineStr">
        <is>
          <t>NGUYỄN DUY CAO</t>
        </is>
      </c>
      <c r="C552" s="45" t="inlineStr">
        <is>
          <t>Công nghệ thông tin 3 K66</t>
        </is>
      </c>
      <c r="D552" s="45" t="inlineStr">
        <is>
          <t>Năm 1</t>
        </is>
      </c>
      <c r="E552" s="45" t="inlineStr">
        <is>
          <t>2025_2026</t>
        </is>
      </c>
      <c r="F552" s="45" t="n">
        <v>4</v>
      </c>
      <c r="G552" s="46">
        <f>VLOOKUP(D552,'Cấu Hình Học Phí'!$A$8:$B$11,2,FALSE)</f>
        <v/>
      </c>
      <c r="H552" s="46">
        <f>F552*G552</f>
        <v/>
      </c>
      <c r="I552" s="45" t="n">
        <v>1</v>
      </c>
      <c r="J552" s="46">
        <f>I552*'Cấu Hình Học Phí'!$B$5</f>
        <v/>
      </c>
      <c r="K552" s="46" t="n">
        <v>0</v>
      </c>
      <c r="L552" s="46">
        <f>H552+J552-K552</f>
        <v/>
      </c>
      <c r="M552" s="46" t="n">
        <v>3200000</v>
      </c>
      <c r="N552" s="46" t="n">
        <v>0</v>
      </c>
      <c r="O552" s="46">
        <f>MAX(0,M552-N552-L552)</f>
        <v/>
      </c>
      <c r="P552" s="46">
        <f>MAX(0,L552-(M552-N552))</f>
        <v/>
      </c>
      <c r="Q552" s="45" t="inlineStr">
        <is>
          <t>30/09/2025</t>
        </is>
      </c>
      <c r="R552" s="45" t="inlineStr">
        <is>
          <t>PT2025-00549</t>
        </is>
      </c>
      <c r="S552" s="45" t="inlineStr"/>
    </row>
    <row r="553">
      <c r="A553" s="45" t="inlineStr">
        <is>
          <t>251210814</t>
        </is>
      </c>
      <c r="B553" s="45" t="inlineStr">
        <is>
          <t>NGUYỄN DUY CAO</t>
        </is>
      </c>
      <c r="C553" s="45" t="inlineStr">
        <is>
          <t>Công nghệ thông tin 3 K66</t>
        </is>
      </c>
      <c r="D553" s="45" t="inlineStr">
        <is>
          <t>Năm 2</t>
        </is>
      </c>
      <c r="E553" s="45" t="inlineStr">
        <is>
          <t>2026_2027</t>
        </is>
      </c>
      <c r="F553" s="45" t="n">
        <v>4</v>
      </c>
      <c r="G553" s="46">
        <f>VLOOKUP(D553,'Cấu Hình Học Phí'!$A$8:$B$11,2,FALSE)</f>
        <v/>
      </c>
      <c r="H553" s="46">
        <f>F553*G553</f>
        <v/>
      </c>
      <c r="I553" s="45" t="n">
        <v>1</v>
      </c>
      <c r="J553" s="46">
        <f>I553*'Cấu Hình Học Phí'!$B$5</f>
        <v/>
      </c>
      <c r="K553" s="46" t="n">
        <v>0</v>
      </c>
      <c r="L553" s="46">
        <f>H553+J553-K553</f>
        <v/>
      </c>
      <c r="M553" s="46" t="n">
        <v>3420000</v>
      </c>
      <c r="N553" s="46" t="n">
        <v>0</v>
      </c>
      <c r="O553" s="46">
        <f>MAX(0,M553-N553-L553)</f>
        <v/>
      </c>
      <c r="P553" s="46">
        <f>MAX(0,L553-(M553-N553))</f>
        <v/>
      </c>
      <c r="Q553" s="45" t="inlineStr">
        <is>
          <t>30/09/2026</t>
        </is>
      </c>
      <c r="R553" s="45" t="inlineStr">
        <is>
          <t>PT2026-00550</t>
        </is>
      </c>
      <c r="S553" s="45" t="inlineStr"/>
    </row>
    <row r="554">
      <c r="A554" s="45" t="inlineStr">
        <is>
          <t>251210814</t>
        </is>
      </c>
      <c r="B554" s="45" t="inlineStr">
        <is>
          <t>NGUYỄN DUY CAO</t>
        </is>
      </c>
      <c r="C554" s="45" t="inlineStr">
        <is>
          <t>Công nghệ thông tin 3 K66</t>
        </is>
      </c>
      <c r="D554" s="45" t="inlineStr">
        <is>
          <t>Năm 3</t>
        </is>
      </c>
      <c r="E554" s="45" t="inlineStr">
        <is>
          <t>2027_2028</t>
        </is>
      </c>
      <c r="F554" s="45" t="n">
        <v>4</v>
      </c>
      <c r="G554" s="46">
        <f>VLOOKUP(D554,'Cấu Hình Học Phí'!$A$8:$B$11,2,FALSE)</f>
        <v/>
      </c>
      <c r="H554" s="46">
        <f>F554*G554</f>
        <v/>
      </c>
      <c r="I554" s="45" t="n">
        <v>1</v>
      </c>
      <c r="J554" s="46">
        <f>I554*'Cấu Hình Học Phí'!$B$5</f>
        <v/>
      </c>
      <c r="K554" s="46" t="n">
        <v>0</v>
      </c>
      <c r="L554" s="46">
        <f>H554+J554-K554</f>
        <v/>
      </c>
      <c r="M554" s="46" t="n">
        <v>3662000</v>
      </c>
      <c r="N554" s="46" t="n">
        <v>0</v>
      </c>
      <c r="O554" s="46">
        <f>MAX(0,M554-N554-L554)</f>
        <v/>
      </c>
      <c r="P554" s="46">
        <f>MAX(0,L554-(M554-N554))</f>
        <v/>
      </c>
      <c r="Q554" s="45" t="inlineStr">
        <is>
          <t>30/09/2027</t>
        </is>
      </c>
      <c r="R554" s="45" t="inlineStr">
        <is>
          <t>PT2027-00551</t>
        </is>
      </c>
      <c r="S554" s="45" t="inlineStr"/>
    </row>
    <row r="555">
      <c r="A555" s="45" t="inlineStr">
        <is>
          <t>251210814</t>
        </is>
      </c>
      <c r="B555" s="45" t="inlineStr">
        <is>
          <t>NGUYỄN DUY CAO</t>
        </is>
      </c>
      <c r="C555" s="45" t="inlineStr">
        <is>
          <t>Công nghệ thông tin 3 K66</t>
        </is>
      </c>
      <c r="D555" s="45" t="inlineStr">
        <is>
          <t>Năm 4</t>
        </is>
      </c>
      <c r="E555" s="45" t="inlineStr">
        <is>
          <t>2028_2029</t>
        </is>
      </c>
      <c r="F555" s="45" t="n">
        <v>1</v>
      </c>
      <c r="G555" s="46">
        <f>VLOOKUP(D555,'Cấu Hình Học Phí'!$A$8:$B$11,2,FALSE)</f>
        <v/>
      </c>
      <c r="H555" s="46">
        <f>F555*G555</f>
        <v/>
      </c>
      <c r="I555" s="45" t="n">
        <v>0</v>
      </c>
      <c r="J555" s="46">
        <f>I555*'Cấu Hình Học Phí'!$B$5</f>
        <v/>
      </c>
      <c r="K555" s="46" t="n">
        <v>0</v>
      </c>
      <c r="L555" s="46">
        <f>H555+J555-K555</f>
        <v/>
      </c>
      <c r="M555" s="46" t="n">
        <v>732050</v>
      </c>
      <c r="N555" s="46" t="n">
        <v>0</v>
      </c>
      <c r="O555" s="46">
        <f>MAX(0,M555-N555-L555)</f>
        <v/>
      </c>
      <c r="P555" s="46">
        <f>MAX(0,L555-(M555-N555))</f>
        <v/>
      </c>
      <c r="Q555" s="45" t="inlineStr">
        <is>
          <t>30/09/2028</t>
        </is>
      </c>
      <c r="R555" s="45" t="inlineStr">
        <is>
          <t>PT2028-00552</t>
        </is>
      </c>
      <c r="S555" s="45" t="inlineStr"/>
    </row>
    <row r="556">
      <c r="A556" s="45" t="inlineStr">
        <is>
          <t>251230815</t>
        </is>
      </c>
      <c r="B556" s="45" t="inlineStr">
        <is>
          <t>NGUYỄN THÀNH CÔNG</t>
        </is>
      </c>
      <c r="C556" s="45" t="inlineStr">
        <is>
          <t>Công nghệ thông tin 3 K66</t>
        </is>
      </c>
      <c r="D556" s="45" t="inlineStr">
        <is>
          <t>Năm 1</t>
        </is>
      </c>
      <c r="E556" s="45" t="inlineStr">
        <is>
          <t>2025_2026</t>
        </is>
      </c>
      <c r="F556" s="45" t="n">
        <v>4</v>
      </c>
      <c r="G556" s="46">
        <f>VLOOKUP(D556,'Cấu Hình Học Phí'!$A$8:$B$11,2,FALSE)</f>
        <v/>
      </c>
      <c r="H556" s="46">
        <f>F556*G556</f>
        <v/>
      </c>
      <c r="I556" s="45" t="n">
        <v>1</v>
      </c>
      <c r="J556" s="46">
        <f>I556*'Cấu Hình Học Phí'!$B$5</f>
        <v/>
      </c>
      <c r="K556" s="46" t="n">
        <v>0</v>
      </c>
      <c r="L556" s="46">
        <f>H556+J556-K556</f>
        <v/>
      </c>
      <c r="M556" s="46" t="n">
        <v>3200000</v>
      </c>
      <c r="N556" s="46" t="n">
        <v>0</v>
      </c>
      <c r="O556" s="46">
        <f>MAX(0,M556-N556-L556)</f>
        <v/>
      </c>
      <c r="P556" s="46">
        <f>MAX(0,L556-(M556-N556))</f>
        <v/>
      </c>
      <c r="Q556" s="45" t="inlineStr">
        <is>
          <t>30/09/2025</t>
        </is>
      </c>
      <c r="R556" s="45" t="inlineStr">
        <is>
          <t>PT2025-00553</t>
        </is>
      </c>
      <c r="S556" s="45" t="inlineStr"/>
    </row>
    <row r="557">
      <c r="A557" s="45" t="inlineStr">
        <is>
          <t>251230815</t>
        </is>
      </c>
      <c r="B557" s="45" t="inlineStr">
        <is>
          <t>NGUYỄN THÀNH CÔNG</t>
        </is>
      </c>
      <c r="C557" s="45" t="inlineStr">
        <is>
          <t>Công nghệ thông tin 3 K66</t>
        </is>
      </c>
      <c r="D557" s="45" t="inlineStr">
        <is>
          <t>Năm 2</t>
        </is>
      </c>
      <c r="E557" s="45" t="inlineStr">
        <is>
          <t>2026_2027</t>
        </is>
      </c>
      <c r="F557" s="45" t="n">
        <v>4</v>
      </c>
      <c r="G557" s="46">
        <f>VLOOKUP(D557,'Cấu Hình Học Phí'!$A$8:$B$11,2,FALSE)</f>
        <v/>
      </c>
      <c r="H557" s="46">
        <f>F557*G557</f>
        <v/>
      </c>
      <c r="I557" s="45" t="n">
        <v>0</v>
      </c>
      <c r="J557" s="46">
        <f>I557*'Cấu Hình Học Phí'!$B$5</f>
        <v/>
      </c>
      <c r="K557" s="46" t="n">
        <v>0</v>
      </c>
      <c r="L557" s="46">
        <f>H557+J557-K557</f>
        <v/>
      </c>
      <c r="M557" s="46" t="n">
        <v>2420000</v>
      </c>
      <c r="N557" s="46" t="n">
        <v>0</v>
      </c>
      <c r="O557" s="46">
        <f>MAX(0,M557-N557-L557)</f>
        <v/>
      </c>
      <c r="P557" s="46">
        <f>MAX(0,L557-(M557-N557))</f>
        <v/>
      </c>
      <c r="Q557" s="45" t="inlineStr">
        <is>
          <t>30/09/2026</t>
        </is>
      </c>
      <c r="R557" s="45" t="inlineStr">
        <is>
          <t>PT2026-00554</t>
        </is>
      </c>
      <c r="S557" s="45" t="inlineStr"/>
    </row>
    <row r="558">
      <c r="A558" s="45" t="inlineStr">
        <is>
          <t>251230815</t>
        </is>
      </c>
      <c r="B558" s="45" t="inlineStr">
        <is>
          <t>NGUYỄN THÀNH CÔNG</t>
        </is>
      </c>
      <c r="C558" s="45" t="inlineStr">
        <is>
          <t>Công nghệ thông tin 3 K66</t>
        </is>
      </c>
      <c r="D558" s="45" t="inlineStr">
        <is>
          <t>Năm 3</t>
        </is>
      </c>
      <c r="E558" s="45" t="inlineStr">
        <is>
          <t>2027_2028</t>
        </is>
      </c>
      <c r="F558" s="45" t="n">
        <v>4</v>
      </c>
      <c r="G558" s="46">
        <f>VLOOKUP(D558,'Cấu Hình Học Phí'!$A$8:$B$11,2,FALSE)</f>
        <v/>
      </c>
      <c r="H558" s="46">
        <f>F558*G558</f>
        <v/>
      </c>
      <c r="I558" s="45" t="n">
        <v>1</v>
      </c>
      <c r="J558" s="46">
        <f>I558*'Cấu Hình Học Phí'!$B$5</f>
        <v/>
      </c>
      <c r="K558" s="46" t="n">
        <v>0</v>
      </c>
      <c r="L558" s="46">
        <f>H558+J558-K558</f>
        <v/>
      </c>
      <c r="M558" s="46" t="n">
        <v>3662000</v>
      </c>
      <c r="N558" s="46" t="n">
        <v>0</v>
      </c>
      <c r="O558" s="46">
        <f>MAX(0,M558-N558-L558)</f>
        <v/>
      </c>
      <c r="P558" s="46">
        <f>MAX(0,L558-(M558-N558))</f>
        <v/>
      </c>
      <c r="Q558" s="45" t="inlineStr">
        <is>
          <t>30/09/2027</t>
        </is>
      </c>
      <c r="R558" s="45" t="inlineStr">
        <is>
          <t>PT2027-00555</t>
        </is>
      </c>
      <c r="S558" s="45" t="inlineStr"/>
    </row>
    <row r="559">
      <c r="A559" s="45" t="inlineStr">
        <is>
          <t>251230815</t>
        </is>
      </c>
      <c r="B559" s="45" t="inlineStr">
        <is>
          <t>NGUYỄN THÀNH CÔNG</t>
        </is>
      </c>
      <c r="C559" s="45" t="inlineStr">
        <is>
          <t>Công nghệ thông tin 3 K66</t>
        </is>
      </c>
      <c r="D559" s="45" t="inlineStr">
        <is>
          <t>Năm 4</t>
        </is>
      </c>
      <c r="E559" s="45" t="inlineStr">
        <is>
          <t>2028_2029</t>
        </is>
      </c>
      <c r="F559" s="45" t="n">
        <v>1</v>
      </c>
      <c r="G559" s="46">
        <f>VLOOKUP(D559,'Cấu Hình Học Phí'!$A$8:$B$11,2,FALSE)</f>
        <v/>
      </c>
      <c r="H559" s="46">
        <f>F559*G559</f>
        <v/>
      </c>
      <c r="I559" s="45" t="n">
        <v>0</v>
      </c>
      <c r="J559" s="46">
        <f>I559*'Cấu Hình Học Phí'!$B$5</f>
        <v/>
      </c>
      <c r="K559" s="46" t="n">
        <v>0</v>
      </c>
      <c r="L559" s="46">
        <f>H559+J559-K559</f>
        <v/>
      </c>
      <c r="M559" s="46" t="n">
        <v>732050</v>
      </c>
      <c r="N559" s="46" t="n">
        <v>0</v>
      </c>
      <c r="O559" s="46">
        <f>MAX(0,M559-N559-L559)</f>
        <v/>
      </c>
      <c r="P559" s="46">
        <f>MAX(0,L559-(M559-N559))</f>
        <v/>
      </c>
      <c r="Q559" s="45" t="inlineStr">
        <is>
          <t>30/09/2028</t>
        </is>
      </c>
      <c r="R559" s="45" t="inlineStr">
        <is>
          <t>PT2028-00556</t>
        </is>
      </c>
      <c r="S559" s="45" t="inlineStr"/>
    </row>
    <row r="560">
      <c r="A560" s="45" t="inlineStr">
        <is>
          <t>251230816</t>
        </is>
      </c>
      <c r="B560" s="45" t="inlineStr">
        <is>
          <t>VŨ THÀNH CÔNG</t>
        </is>
      </c>
      <c r="C560" s="45" t="inlineStr">
        <is>
          <t>Công nghệ thông tin 3 K66</t>
        </is>
      </c>
      <c r="D560" s="45" t="inlineStr">
        <is>
          <t>Năm 1</t>
        </is>
      </c>
      <c r="E560" s="45" t="inlineStr">
        <is>
          <t>2025_2026</t>
        </is>
      </c>
      <c r="F560" s="45" t="n">
        <v>4</v>
      </c>
      <c r="G560" s="46">
        <f>VLOOKUP(D560,'Cấu Hình Học Phí'!$A$8:$B$11,2,FALSE)</f>
        <v/>
      </c>
      <c r="H560" s="46">
        <f>F560*G560</f>
        <v/>
      </c>
      <c r="I560" s="45" t="n">
        <v>1</v>
      </c>
      <c r="J560" s="46">
        <f>I560*'Cấu Hình Học Phí'!$B$5</f>
        <v/>
      </c>
      <c r="K560" s="46" t="n">
        <v>0</v>
      </c>
      <c r="L560" s="46">
        <f>H560+J560-K560</f>
        <v/>
      </c>
      <c r="M560" s="46" t="n">
        <v>2200000</v>
      </c>
      <c r="N560" s="46" t="n">
        <v>0</v>
      </c>
      <c r="O560" s="46">
        <f>MAX(0,M560-N560-L560)</f>
        <v/>
      </c>
      <c r="P560" s="46">
        <f>MAX(0,L560-(M560-N560))</f>
        <v/>
      </c>
      <c r="Q560" s="45" t="inlineStr">
        <is>
          <t>30/09/2025</t>
        </is>
      </c>
      <c r="R560" s="45" t="inlineStr">
        <is>
          <t>PT2025-00557</t>
        </is>
      </c>
      <c r="S560" s="45" t="inlineStr">
        <is>
          <t>Chưa nộp phí phụ đạo 1 môn</t>
        </is>
      </c>
    </row>
    <row r="561">
      <c r="A561" s="45" t="inlineStr">
        <is>
          <t>251230816</t>
        </is>
      </c>
      <c r="B561" s="45" t="inlineStr">
        <is>
          <t>VŨ THÀNH CÔNG</t>
        </is>
      </c>
      <c r="C561" s="45" t="inlineStr">
        <is>
          <t>Công nghệ thông tin 3 K66</t>
        </is>
      </c>
      <c r="D561" s="45" t="inlineStr">
        <is>
          <t>Năm 2</t>
        </is>
      </c>
      <c r="E561" s="45" t="inlineStr">
        <is>
          <t>2026_2027</t>
        </is>
      </c>
      <c r="F561" s="45" t="n">
        <v>4</v>
      </c>
      <c r="G561" s="46">
        <f>VLOOKUP(D561,'Cấu Hình Học Phí'!$A$8:$B$11,2,FALSE)</f>
        <v/>
      </c>
      <c r="H561" s="46">
        <f>F561*G561</f>
        <v/>
      </c>
      <c r="I561" s="45" t="n">
        <v>0</v>
      </c>
      <c r="J561" s="46">
        <f>I561*'Cấu Hình Học Phí'!$B$5</f>
        <v/>
      </c>
      <c r="K561" s="46" t="n">
        <v>0</v>
      </c>
      <c r="L561" s="46">
        <f>H561+J561-K561</f>
        <v/>
      </c>
      <c r="M561" s="46" t="n">
        <v>2420000</v>
      </c>
      <c r="N561" s="46" t="n">
        <v>0</v>
      </c>
      <c r="O561" s="46">
        <f>MAX(0,M561-N561-L561)</f>
        <v/>
      </c>
      <c r="P561" s="46">
        <f>MAX(0,L561-(M561-N561))</f>
        <v/>
      </c>
      <c r="Q561" s="45" t="inlineStr">
        <is>
          <t>30/09/2026</t>
        </is>
      </c>
      <c r="R561" s="45" t="inlineStr">
        <is>
          <t>PT2026-00558</t>
        </is>
      </c>
      <c r="S561" s="45" t="inlineStr"/>
    </row>
    <row r="562">
      <c r="A562" s="45" t="inlineStr">
        <is>
          <t>251230816</t>
        </is>
      </c>
      <c r="B562" s="45" t="inlineStr">
        <is>
          <t>VŨ THÀNH CÔNG</t>
        </is>
      </c>
      <c r="C562" s="45" t="inlineStr">
        <is>
          <t>Công nghệ thông tin 3 K66</t>
        </is>
      </c>
      <c r="D562" s="45" t="inlineStr">
        <is>
          <t>Năm 3</t>
        </is>
      </c>
      <c r="E562" s="45" t="inlineStr">
        <is>
          <t>2027_2028</t>
        </is>
      </c>
      <c r="F562" s="45" t="n">
        <v>4</v>
      </c>
      <c r="G562" s="46">
        <f>VLOOKUP(D562,'Cấu Hình Học Phí'!$A$8:$B$11,2,FALSE)</f>
        <v/>
      </c>
      <c r="H562" s="46">
        <f>F562*G562</f>
        <v/>
      </c>
      <c r="I562" s="45" t="n">
        <v>2</v>
      </c>
      <c r="J562" s="46">
        <f>I562*'Cấu Hình Học Phí'!$B$5</f>
        <v/>
      </c>
      <c r="K562" s="46" t="n">
        <v>0</v>
      </c>
      <c r="L562" s="46">
        <f>H562+J562-K562</f>
        <v/>
      </c>
      <c r="M562" s="46" t="n">
        <v>2662000</v>
      </c>
      <c r="N562" s="46" t="n">
        <v>0</v>
      </c>
      <c r="O562" s="46">
        <f>MAX(0,M562-N562-L562)</f>
        <v/>
      </c>
      <c r="P562" s="46">
        <f>MAX(0,L562-(M562-N562))</f>
        <v/>
      </c>
      <c r="Q562" s="45" t="inlineStr">
        <is>
          <t>30/09/2027</t>
        </is>
      </c>
      <c r="R562" s="45" t="inlineStr">
        <is>
          <t>PT2027-00559</t>
        </is>
      </c>
      <c r="S562" s="45" t="inlineStr">
        <is>
          <t>Chưa nộp phí phụ đạo 2 môn</t>
        </is>
      </c>
    </row>
    <row r="563">
      <c r="A563" s="45" t="inlineStr">
        <is>
          <t>251230816</t>
        </is>
      </c>
      <c r="B563" s="45" t="inlineStr">
        <is>
          <t>VŨ THÀNH CÔNG</t>
        </is>
      </c>
      <c r="C563" s="45" t="inlineStr">
        <is>
          <t>Công nghệ thông tin 3 K66</t>
        </is>
      </c>
      <c r="D563" s="45" t="inlineStr">
        <is>
          <t>Năm 4</t>
        </is>
      </c>
      <c r="E563" s="45" t="inlineStr">
        <is>
          <t>2028_2029</t>
        </is>
      </c>
      <c r="F563" s="45" t="n">
        <v>1</v>
      </c>
      <c r="G563" s="46">
        <f>VLOOKUP(D563,'Cấu Hình Học Phí'!$A$8:$B$11,2,FALSE)</f>
        <v/>
      </c>
      <c r="H563" s="46">
        <f>F563*G563</f>
        <v/>
      </c>
      <c r="I563" s="45" t="n">
        <v>0</v>
      </c>
      <c r="J563" s="46">
        <f>I563*'Cấu Hình Học Phí'!$B$5</f>
        <v/>
      </c>
      <c r="K563" s="46" t="n">
        <v>0</v>
      </c>
      <c r="L563" s="46">
        <f>H563+J563-K563</f>
        <v/>
      </c>
      <c r="M563" s="46" t="n">
        <v>732050</v>
      </c>
      <c r="N563" s="46" t="n">
        <v>0</v>
      </c>
      <c r="O563" s="46">
        <f>MAX(0,M563-N563-L563)</f>
        <v/>
      </c>
      <c r="P563" s="46">
        <f>MAX(0,L563-(M563-N563))</f>
        <v/>
      </c>
      <c r="Q563" s="45" t="inlineStr">
        <is>
          <t>30/09/2028</t>
        </is>
      </c>
      <c r="R563" s="45" t="inlineStr">
        <is>
          <t>PT2028-00560</t>
        </is>
      </c>
      <c r="S563" s="45" t="inlineStr"/>
    </row>
    <row r="564">
      <c r="A564" s="45" t="inlineStr">
        <is>
          <t>251230820</t>
        </is>
      </c>
      <c r="B564" s="45" t="inlineStr">
        <is>
          <t>BÙI VĂN CƯỜNG</t>
        </is>
      </c>
      <c r="C564" s="45" t="inlineStr">
        <is>
          <t>Công nghệ thông tin 3 K66</t>
        </is>
      </c>
      <c r="D564" s="45" t="inlineStr">
        <is>
          <t>Năm 1</t>
        </is>
      </c>
      <c r="E564" s="45" t="inlineStr">
        <is>
          <t>2025_2026</t>
        </is>
      </c>
      <c r="F564" s="45" t="n">
        <v>4</v>
      </c>
      <c r="G564" s="46">
        <f>VLOOKUP(D564,'Cấu Hình Học Phí'!$A$8:$B$11,2,FALSE)</f>
        <v/>
      </c>
      <c r="H564" s="46">
        <f>F564*G564</f>
        <v/>
      </c>
      <c r="I564" s="45" t="n">
        <v>1</v>
      </c>
      <c r="J564" s="46">
        <f>I564*'Cấu Hình Học Phí'!$B$5</f>
        <v/>
      </c>
      <c r="K564" s="46" t="n">
        <v>0</v>
      </c>
      <c r="L564" s="46">
        <f>H564+J564-K564</f>
        <v/>
      </c>
      <c r="M564" s="46" t="n">
        <v>2200000</v>
      </c>
      <c r="N564" s="46" t="n">
        <v>0</v>
      </c>
      <c r="O564" s="46">
        <f>MAX(0,M564-N564-L564)</f>
        <v/>
      </c>
      <c r="P564" s="46">
        <f>MAX(0,L564-(M564-N564))</f>
        <v/>
      </c>
      <c r="Q564" s="45" t="inlineStr">
        <is>
          <t>30/09/2025</t>
        </is>
      </c>
      <c r="R564" s="45" t="inlineStr">
        <is>
          <t>PT2025-00561</t>
        </is>
      </c>
      <c r="S564" s="45" t="inlineStr">
        <is>
          <t>Chưa nộp phí phụ đạo 1 môn</t>
        </is>
      </c>
    </row>
    <row r="565">
      <c r="A565" s="45" t="inlineStr">
        <is>
          <t>251230820</t>
        </is>
      </c>
      <c r="B565" s="45" t="inlineStr">
        <is>
          <t>BÙI VĂN CƯỜNG</t>
        </is>
      </c>
      <c r="C565" s="45" t="inlineStr">
        <is>
          <t>Công nghệ thông tin 3 K66</t>
        </is>
      </c>
      <c r="D565" s="45" t="inlineStr">
        <is>
          <t>Năm 2</t>
        </is>
      </c>
      <c r="E565" s="45" t="inlineStr">
        <is>
          <t>2026_2027</t>
        </is>
      </c>
      <c r="F565" s="45" t="n">
        <v>4</v>
      </c>
      <c r="G565" s="46">
        <f>VLOOKUP(D565,'Cấu Hình Học Phí'!$A$8:$B$11,2,FALSE)</f>
        <v/>
      </c>
      <c r="H565" s="46">
        <f>F565*G565</f>
        <v/>
      </c>
      <c r="I565" s="45" t="n">
        <v>1</v>
      </c>
      <c r="J565" s="46">
        <f>I565*'Cấu Hình Học Phí'!$B$5</f>
        <v/>
      </c>
      <c r="K565" s="46" t="n">
        <v>0</v>
      </c>
      <c r="L565" s="46">
        <f>H565+J565-K565</f>
        <v/>
      </c>
      <c r="M565" s="46" t="n">
        <v>3420000</v>
      </c>
      <c r="N565" s="46" t="n">
        <v>0</v>
      </c>
      <c r="O565" s="46">
        <f>MAX(0,M565-N565-L565)</f>
        <v/>
      </c>
      <c r="P565" s="46">
        <f>MAX(0,L565-(M565-N565))</f>
        <v/>
      </c>
      <c r="Q565" s="45" t="inlineStr">
        <is>
          <t>30/09/2026</t>
        </is>
      </c>
      <c r="R565" s="45" t="inlineStr">
        <is>
          <t>PT2026-00562</t>
        </is>
      </c>
      <c r="S565" s="45" t="inlineStr"/>
    </row>
    <row r="566">
      <c r="A566" s="45" t="inlineStr">
        <is>
          <t>251230820</t>
        </is>
      </c>
      <c r="B566" s="45" t="inlineStr">
        <is>
          <t>BÙI VĂN CƯỜNG</t>
        </is>
      </c>
      <c r="C566" s="45" t="inlineStr">
        <is>
          <t>Công nghệ thông tin 3 K66</t>
        </is>
      </c>
      <c r="D566" s="45" t="inlineStr">
        <is>
          <t>Năm 3</t>
        </is>
      </c>
      <c r="E566" s="45" t="inlineStr">
        <is>
          <t>2027_2028</t>
        </is>
      </c>
      <c r="F566" s="45" t="n">
        <v>4</v>
      </c>
      <c r="G566" s="46">
        <f>VLOOKUP(D566,'Cấu Hình Học Phí'!$A$8:$B$11,2,FALSE)</f>
        <v/>
      </c>
      <c r="H566" s="46">
        <f>F566*G566</f>
        <v/>
      </c>
      <c r="I566" s="45" t="n">
        <v>2</v>
      </c>
      <c r="J566" s="46">
        <f>I566*'Cấu Hình Học Phí'!$B$5</f>
        <v/>
      </c>
      <c r="K566" s="46" t="n">
        <v>0</v>
      </c>
      <c r="L566" s="46">
        <f>H566+J566-K566</f>
        <v/>
      </c>
      <c r="M566" s="46" t="n">
        <v>4662000</v>
      </c>
      <c r="N566" s="46" t="n">
        <v>0</v>
      </c>
      <c r="O566" s="46">
        <f>MAX(0,M566-N566-L566)</f>
        <v/>
      </c>
      <c r="P566" s="46">
        <f>MAX(0,L566-(M566-N566))</f>
        <v/>
      </c>
      <c r="Q566" s="45" t="inlineStr">
        <is>
          <t>30/09/2027</t>
        </is>
      </c>
      <c r="R566" s="45" t="inlineStr">
        <is>
          <t>PT2027-00563</t>
        </is>
      </c>
      <c r="S566" s="45" t="inlineStr"/>
    </row>
    <row r="567">
      <c r="A567" s="45" t="inlineStr">
        <is>
          <t>251230820</t>
        </is>
      </c>
      <c r="B567" s="45" t="inlineStr">
        <is>
          <t>BÙI VĂN CƯỜNG</t>
        </is>
      </c>
      <c r="C567" s="45" t="inlineStr">
        <is>
          <t>Công nghệ thông tin 3 K66</t>
        </is>
      </c>
      <c r="D567" s="45" t="inlineStr">
        <is>
          <t>Năm 4</t>
        </is>
      </c>
      <c r="E567" s="45" t="inlineStr">
        <is>
          <t>2028_2029</t>
        </is>
      </c>
      <c r="F567" s="45" t="n">
        <v>1</v>
      </c>
      <c r="G567" s="46">
        <f>VLOOKUP(D567,'Cấu Hình Học Phí'!$A$8:$B$11,2,FALSE)</f>
        <v/>
      </c>
      <c r="H567" s="46">
        <f>F567*G567</f>
        <v/>
      </c>
      <c r="I567" s="45" t="n">
        <v>1</v>
      </c>
      <c r="J567" s="46">
        <f>I567*'Cấu Hình Học Phí'!$B$5</f>
        <v/>
      </c>
      <c r="K567" s="46" t="n">
        <v>0</v>
      </c>
      <c r="L567" s="46">
        <f>H567+J567-K567</f>
        <v/>
      </c>
      <c r="M567" s="46" t="n">
        <v>1732050</v>
      </c>
      <c r="N567" s="46" t="n">
        <v>0</v>
      </c>
      <c r="O567" s="46">
        <f>MAX(0,M567-N567-L567)</f>
        <v/>
      </c>
      <c r="P567" s="46">
        <f>MAX(0,L567-(M567-N567))</f>
        <v/>
      </c>
      <c r="Q567" s="45" t="inlineStr">
        <is>
          <t>30/09/2028</t>
        </is>
      </c>
      <c r="R567" s="45" t="inlineStr">
        <is>
          <t>PT2028-00564</t>
        </is>
      </c>
      <c r="S567" s="45" t="inlineStr"/>
    </row>
    <row r="568">
      <c r="A568" s="45" t="inlineStr">
        <is>
          <t>251230823</t>
        </is>
      </c>
      <c r="B568" s="45" t="inlineStr">
        <is>
          <t>NGUYỄN THÁI DOANH</t>
        </is>
      </c>
      <c r="C568" s="45" t="inlineStr">
        <is>
          <t>Công nghệ thông tin 3 K66</t>
        </is>
      </c>
      <c r="D568" s="45" t="inlineStr">
        <is>
          <t>Năm 1</t>
        </is>
      </c>
      <c r="E568" s="45" t="inlineStr">
        <is>
          <t>2025_2026</t>
        </is>
      </c>
      <c r="F568" s="45" t="n">
        <v>4</v>
      </c>
      <c r="G568" s="46">
        <f>VLOOKUP(D568,'Cấu Hình Học Phí'!$A$8:$B$11,2,FALSE)</f>
        <v/>
      </c>
      <c r="H568" s="46">
        <f>F568*G568</f>
        <v/>
      </c>
      <c r="I568" s="45" t="n">
        <v>1</v>
      </c>
      <c r="J568" s="46">
        <f>I568*'Cấu Hình Học Phí'!$B$5</f>
        <v/>
      </c>
      <c r="K568" s="46" t="n">
        <v>0</v>
      </c>
      <c r="L568" s="46">
        <f>H568+J568-K568</f>
        <v/>
      </c>
      <c r="M568" s="46" t="n">
        <v>3200000</v>
      </c>
      <c r="N568" s="46" t="n">
        <v>0</v>
      </c>
      <c r="O568" s="46">
        <f>MAX(0,M568-N568-L568)</f>
        <v/>
      </c>
      <c r="P568" s="46">
        <f>MAX(0,L568-(M568-N568))</f>
        <v/>
      </c>
      <c r="Q568" s="45" t="inlineStr">
        <is>
          <t>30/09/2025</t>
        </is>
      </c>
      <c r="R568" s="45" t="inlineStr">
        <is>
          <t>PT2025-00565</t>
        </is>
      </c>
      <c r="S568" s="45" t="inlineStr"/>
    </row>
    <row r="569">
      <c r="A569" s="45" t="inlineStr">
        <is>
          <t>251230823</t>
        </is>
      </c>
      <c r="B569" s="45" t="inlineStr">
        <is>
          <t>NGUYỄN THÁI DOANH</t>
        </is>
      </c>
      <c r="C569" s="45" t="inlineStr">
        <is>
          <t>Công nghệ thông tin 3 K66</t>
        </is>
      </c>
      <c r="D569" s="45" t="inlineStr">
        <is>
          <t>Năm 2</t>
        </is>
      </c>
      <c r="E569" s="45" t="inlineStr">
        <is>
          <t>2026_2027</t>
        </is>
      </c>
      <c r="F569" s="45" t="n">
        <v>4</v>
      </c>
      <c r="G569" s="46">
        <f>VLOOKUP(D569,'Cấu Hình Học Phí'!$A$8:$B$11,2,FALSE)</f>
        <v/>
      </c>
      <c r="H569" s="46">
        <f>F569*G569</f>
        <v/>
      </c>
      <c r="I569" s="45" t="n">
        <v>0</v>
      </c>
      <c r="J569" s="46">
        <f>I569*'Cấu Hình Học Phí'!$B$5</f>
        <v/>
      </c>
      <c r="K569" s="46" t="n">
        <v>0</v>
      </c>
      <c r="L569" s="46">
        <f>H569+J569-K569</f>
        <v/>
      </c>
      <c r="M569" s="46" t="n">
        <v>2420000</v>
      </c>
      <c r="N569" s="46" t="n">
        <v>0</v>
      </c>
      <c r="O569" s="46">
        <f>MAX(0,M569-N569-L569)</f>
        <v/>
      </c>
      <c r="P569" s="46">
        <f>MAX(0,L569-(M569-N569))</f>
        <v/>
      </c>
      <c r="Q569" s="45" t="inlineStr">
        <is>
          <t>30/09/2026</t>
        </is>
      </c>
      <c r="R569" s="45" t="inlineStr">
        <is>
          <t>PT2026-00566</t>
        </is>
      </c>
      <c r="S569" s="45" t="inlineStr"/>
    </row>
    <row r="570">
      <c r="A570" s="45" t="inlineStr">
        <is>
          <t>251230823</t>
        </is>
      </c>
      <c r="B570" s="45" t="inlineStr">
        <is>
          <t>NGUYỄN THÁI DOANH</t>
        </is>
      </c>
      <c r="C570" s="45" t="inlineStr">
        <is>
          <t>Công nghệ thông tin 3 K66</t>
        </is>
      </c>
      <c r="D570" s="45" t="inlineStr">
        <is>
          <t>Năm 3</t>
        </is>
      </c>
      <c r="E570" s="45" t="inlineStr">
        <is>
          <t>2027_2028</t>
        </is>
      </c>
      <c r="F570" s="45" t="n">
        <v>4</v>
      </c>
      <c r="G570" s="46">
        <f>VLOOKUP(D570,'Cấu Hình Học Phí'!$A$8:$B$11,2,FALSE)</f>
        <v/>
      </c>
      <c r="H570" s="46">
        <f>F570*G570</f>
        <v/>
      </c>
      <c r="I570" s="45" t="n">
        <v>1</v>
      </c>
      <c r="J570" s="46">
        <f>I570*'Cấu Hình Học Phí'!$B$5</f>
        <v/>
      </c>
      <c r="K570" s="46" t="n">
        <v>0</v>
      </c>
      <c r="L570" s="46">
        <f>H570+J570-K570</f>
        <v/>
      </c>
      <c r="M570" s="46" t="n">
        <v>3662000</v>
      </c>
      <c r="N570" s="46" t="n">
        <v>0</v>
      </c>
      <c r="O570" s="46">
        <f>MAX(0,M570-N570-L570)</f>
        <v/>
      </c>
      <c r="P570" s="46">
        <f>MAX(0,L570-(M570-N570))</f>
        <v/>
      </c>
      <c r="Q570" s="45" t="inlineStr">
        <is>
          <t>30/09/2027</t>
        </is>
      </c>
      <c r="R570" s="45" t="inlineStr">
        <is>
          <t>PT2027-00567</t>
        </is>
      </c>
      <c r="S570" s="45" t="inlineStr"/>
    </row>
    <row r="571">
      <c r="A571" s="45" t="inlineStr">
        <is>
          <t>251230823</t>
        </is>
      </c>
      <c r="B571" s="45" t="inlineStr">
        <is>
          <t>NGUYỄN THÁI DOANH</t>
        </is>
      </c>
      <c r="C571" s="45" t="inlineStr">
        <is>
          <t>Công nghệ thông tin 3 K66</t>
        </is>
      </c>
      <c r="D571" s="45" t="inlineStr">
        <is>
          <t>Năm 4</t>
        </is>
      </c>
      <c r="E571" s="45" t="inlineStr">
        <is>
          <t>2028_2029</t>
        </is>
      </c>
      <c r="F571" s="45" t="n">
        <v>1</v>
      </c>
      <c r="G571" s="46">
        <f>VLOOKUP(D571,'Cấu Hình Học Phí'!$A$8:$B$11,2,FALSE)</f>
        <v/>
      </c>
      <c r="H571" s="46">
        <f>F571*G571</f>
        <v/>
      </c>
      <c r="I571" s="45" t="n">
        <v>0</v>
      </c>
      <c r="J571" s="46">
        <f>I571*'Cấu Hình Học Phí'!$B$5</f>
        <v/>
      </c>
      <c r="K571" s="46" t="n">
        <v>0</v>
      </c>
      <c r="L571" s="46">
        <f>H571+J571-K571</f>
        <v/>
      </c>
      <c r="M571" s="46" t="n">
        <v>732050</v>
      </c>
      <c r="N571" s="46" t="n">
        <v>0</v>
      </c>
      <c r="O571" s="46">
        <f>MAX(0,M571-N571-L571)</f>
        <v/>
      </c>
      <c r="P571" s="46">
        <f>MAX(0,L571-(M571-N571))</f>
        <v/>
      </c>
      <c r="Q571" s="45" t="inlineStr">
        <is>
          <t>30/09/2028</t>
        </is>
      </c>
      <c r="R571" s="45" t="inlineStr">
        <is>
          <t>PT2028-00568</t>
        </is>
      </c>
      <c r="S571" s="45" t="inlineStr"/>
    </row>
    <row r="572">
      <c r="A572" s="45" t="inlineStr">
        <is>
          <t>251230826</t>
        </is>
      </c>
      <c r="B572" s="45" t="inlineStr">
        <is>
          <t>ĐINH VĂN PHAN DŨNG</t>
        </is>
      </c>
      <c r="C572" s="45" t="inlineStr">
        <is>
          <t>Công nghệ thông tin 3 K66</t>
        </is>
      </c>
      <c r="D572" s="45" t="inlineStr">
        <is>
          <t>Năm 1</t>
        </is>
      </c>
      <c r="E572" s="45" t="inlineStr">
        <is>
          <t>2025_2026</t>
        </is>
      </c>
      <c r="F572" s="45" t="n">
        <v>4</v>
      </c>
      <c r="G572" s="46">
        <f>VLOOKUP(D572,'Cấu Hình Học Phí'!$A$8:$B$11,2,FALSE)</f>
        <v/>
      </c>
      <c r="H572" s="46">
        <f>F572*G572</f>
        <v/>
      </c>
      <c r="I572" s="45" t="n">
        <v>1</v>
      </c>
      <c r="J572" s="46">
        <f>I572*'Cấu Hình Học Phí'!$B$5</f>
        <v/>
      </c>
      <c r="K572" s="46" t="n">
        <v>0</v>
      </c>
      <c r="L572" s="46">
        <f>H572+J572-K572</f>
        <v/>
      </c>
      <c r="M572" s="46" t="n">
        <v>3200000</v>
      </c>
      <c r="N572" s="46" t="n">
        <v>0</v>
      </c>
      <c r="O572" s="46">
        <f>MAX(0,M572-N572-L572)</f>
        <v/>
      </c>
      <c r="P572" s="46">
        <f>MAX(0,L572-(M572-N572))</f>
        <v/>
      </c>
      <c r="Q572" s="45" t="inlineStr">
        <is>
          <t>30/09/2025</t>
        </is>
      </c>
      <c r="R572" s="45" t="inlineStr">
        <is>
          <t>PT2025-00569</t>
        </is>
      </c>
      <c r="S572" s="45" t="inlineStr"/>
    </row>
    <row r="573">
      <c r="A573" s="45" t="inlineStr">
        <is>
          <t>251230826</t>
        </is>
      </c>
      <c r="B573" s="45" t="inlineStr">
        <is>
          <t>ĐINH VĂN PHAN DŨNG</t>
        </is>
      </c>
      <c r="C573" s="45" t="inlineStr">
        <is>
          <t>Công nghệ thông tin 3 K66</t>
        </is>
      </c>
      <c r="D573" s="45" t="inlineStr">
        <is>
          <t>Năm 2</t>
        </is>
      </c>
      <c r="E573" s="45" t="inlineStr">
        <is>
          <t>2026_2027</t>
        </is>
      </c>
      <c r="F573" s="45" t="n">
        <v>4</v>
      </c>
      <c r="G573" s="46">
        <f>VLOOKUP(D573,'Cấu Hình Học Phí'!$A$8:$B$11,2,FALSE)</f>
        <v/>
      </c>
      <c r="H573" s="46">
        <f>F573*G573</f>
        <v/>
      </c>
      <c r="I573" s="45" t="n">
        <v>1</v>
      </c>
      <c r="J573" s="46">
        <f>I573*'Cấu Hình Học Phí'!$B$5</f>
        <v/>
      </c>
      <c r="K573" s="46" t="n">
        <v>0</v>
      </c>
      <c r="L573" s="46">
        <f>H573+J573-K573</f>
        <v/>
      </c>
      <c r="M573" s="46" t="n">
        <v>2420000</v>
      </c>
      <c r="N573" s="46" t="n">
        <v>0</v>
      </c>
      <c r="O573" s="46">
        <f>MAX(0,M573-N573-L573)</f>
        <v/>
      </c>
      <c r="P573" s="46">
        <f>MAX(0,L573-(M573-N573))</f>
        <v/>
      </c>
      <c r="Q573" s="45" t="inlineStr">
        <is>
          <t>30/09/2026</t>
        </is>
      </c>
      <c r="R573" s="45" t="inlineStr">
        <is>
          <t>PT2026-00570</t>
        </is>
      </c>
      <c r="S573" s="45" t="inlineStr">
        <is>
          <t>Chưa nộp phí phụ đạo 1 môn</t>
        </is>
      </c>
    </row>
    <row r="574">
      <c r="A574" s="45" t="inlineStr">
        <is>
          <t>251230826</t>
        </is>
      </c>
      <c r="B574" s="45" t="inlineStr">
        <is>
          <t>ĐINH VĂN PHAN DŨNG</t>
        </is>
      </c>
      <c r="C574" s="45" t="inlineStr">
        <is>
          <t>Công nghệ thông tin 3 K66</t>
        </is>
      </c>
      <c r="D574" s="45" t="inlineStr">
        <is>
          <t>Năm 3</t>
        </is>
      </c>
      <c r="E574" s="45" t="inlineStr">
        <is>
          <t>2027_2028</t>
        </is>
      </c>
      <c r="F574" s="45" t="n">
        <v>4</v>
      </c>
      <c r="G574" s="46">
        <f>VLOOKUP(D574,'Cấu Hình Học Phí'!$A$8:$B$11,2,FALSE)</f>
        <v/>
      </c>
      <c r="H574" s="46">
        <f>F574*G574</f>
        <v/>
      </c>
      <c r="I574" s="45" t="n">
        <v>0</v>
      </c>
      <c r="J574" s="46">
        <f>I574*'Cấu Hình Học Phí'!$B$5</f>
        <v/>
      </c>
      <c r="K574" s="46" t="n">
        <v>0</v>
      </c>
      <c r="L574" s="46">
        <f>H574+J574-K574</f>
        <v/>
      </c>
      <c r="M574" s="46" t="n">
        <v>2662000</v>
      </c>
      <c r="N574" s="46" t="n">
        <v>0</v>
      </c>
      <c r="O574" s="46">
        <f>MAX(0,M574-N574-L574)</f>
        <v/>
      </c>
      <c r="P574" s="46">
        <f>MAX(0,L574-(M574-N574))</f>
        <v/>
      </c>
      <c r="Q574" s="45" t="inlineStr">
        <is>
          <t>30/09/2027</t>
        </is>
      </c>
      <c r="R574" s="45" t="inlineStr">
        <is>
          <t>PT2027-00571</t>
        </is>
      </c>
      <c r="S574" s="45" t="inlineStr"/>
    </row>
    <row r="575">
      <c r="A575" s="45" t="inlineStr">
        <is>
          <t>251230826</t>
        </is>
      </c>
      <c r="B575" s="45" t="inlineStr">
        <is>
          <t>ĐINH VĂN PHAN DŨNG</t>
        </is>
      </c>
      <c r="C575" s="45" t="inlineStr">
        <is>
          <t>Công nghệ thông tin 3 K66</t>
        </is>
      </c>
      <c r="D575" s="45" t="inlineStr">
        <is>
          <t>Năm 4</t>
        </is>
      </c>
      <c r="E575" s="45" t="inlineStr">
        <is>
          <t>2028_2029</t>
        </is>
      </c>
      <c r="F575" s="45" t="n">
        <v>1</v>
      </c>
      <c r="G575" s="46">
        <f>VLOOKUP(D575,'Cấu Hình Học Phí'!$A$8:$B$11,2,FALSE)</f>
        <v/>
      </c>
      <c r="H575" s="46">
        <f>F575*G575</f>
        <v/>
      </c>
      <c r="I575" s="45" t="n">
        <v>0</v>
      </c>
      <c r="J575" s="46">
        <f>I575*'Cấu Hình Học Phí'!$B$5</f>
        <v/>
      </c>
      <c r="K575" s="46" t="n">
        <v>0</v>
      </c>
      <c r="L575" s="46">
        <f>H575+J575-K575</f>
        <v/>
      </c>
      <c r="M575" s="46" t="n">
        <v>732050</v>
      </c>
      <c r="N575" s="46" t="n">
        <v>0</v>
      </c>
      <c r="O575" s="46">
        <f>MAX(0,M575-N575-L575)</f>
        <v/>
      </c>
      <c r="P575" s="46">
        <f>MAX(0,L575-(M575-N575))</f>
        <v/>
      </c>
      <c r="Q575" s="45" t="inlineStr">
        <is>
          <t>30/09/2028</t>
        </is>
      </c>
      <c r="R575" s="45" t="inlineStr">
        <is>
          <t>PT2028-00572</t>
        </is>
      </c>
      <c r="S575" s="45" t="inlineStr"/>
    </row>
    <row r="576">
      <c r="A576" s="45" t="inlineStr">
        <is>
          <t>251230824</t>
        </is>
      </c>
      <c r="B576" s="45" t="inlineStr">
        <is>
          <t>MAI PHƯƠNG DUNG</t>
        </is>
      </c>
      <c r="C576" s="45" t="inlineStr">
        <is>
          <t>Công nghệ thông tin 3 K66</t>
        </is>
      </c>
      <c r="D576" s="45" t="inlineStr">
        <is>
          <t>Năm 1</t>
        </is>
      </c>
      <c r="E576" s="45" t="inlineStr">
        <is>
          <t>2025_2026</t>
        </is>
      </c>
      <c r="F576" s="45" t="n">
        <v>4</v>
      </c>
      <c r="G576" s="46">
        <f>VLOOKUP(D576,'Cấu Hình Học Phí'!$A$8:$B$11,2,FALSE)</f>
        <v/>
      </c>
      <c r="H576" s="46">
        <f>F576*G576</f>
        <v/>
      </c>
      <c r="I576" s="45" t="n">
        <v>1</v>
      </c>
      <c r="J576" s="46">
        <f>I576*'Cấu Hình Học Phí'!$B$5</f>
        <v/>
      </c>
      <c r="K576" s="46" t="n">
        <v>0</v>
      </c>
      <c r="L576" s="46">
        <f>H576+J576-K576</f>
        <v/>
      </c>
      <c r="M576" s="46" t="n">
        <v>3200000</v>
      </c>
      <c r="N576" s="46" t="n">
        <v>0</v>
      </c>
      <c r="O576" s="46">
        <f>MAX(0,M576-N576-L576)</f>
        <v/>
      </c>
      <c r="P576" s="46">
        <f>MAX(0,L576-(M576-N576))</f>
        <v/>
      </c>
      <c r="Q576" s="45" t="inlineStr">
        <is>
          <t>30/09/2025</t>
        </is>
      </c>
      <c r="R576" s="45" t="inlineStr">
        <is>
          <t>PT2025-00573</t>
        </is>
      </c>
      <c r="S576" s="45" t="inlineStr"/>
    </row>
    <row r="577">
      <c r="A577" s="45" t="inlineStr">
        <is>
          <t>251230824</t>
        </is>
      </c>
      <c r="B577" s="45" t="inlineStr">
        <is>
          <t>MAI PHƯƠNG DUNG</t>
        </is>
      </c>
      <c r="C577" s="45" t="inlineStr">
        <is>
          <t>Công nghệ thông tin 3 K66</t>
        </is>
      </c>
      <c r="D577" s="45" t="inlineStr">
        <is>
          <t>Năm 2</t>
        </is>
      </c>
      <c r="E577" s="45" t="inlineStr">
        <is>
          <t>2026_2027</t>
        </is>
      </c>
      <c r="F577" s="45" t="n">
        <v>4</v>
      </c>
      <c r="G577" s="46">
        <f>VLOOKUP(D577,'Cấu Hình Học Phí'!$A$8:$B$11,2,FALSE)</f>
        <v/>
      </c>
      <c r="H577" s="46">
        <f>F577*G577</f>
        <v/>
      </c>
      <c r="I577" s="45" t="n">
        <v>1</v>
      </c>
      <c r="J577" s="46">
        <f>I577*'Cấu Hình Học Phí'!$B$5</f>
        <v/>
      </c>
      <c r="K577" s="46" t="n">
        <v>0</v>
      </c>
      <c r="L577" s="46">
        <f>H577+J577-K577</f>
        <v/>
      </c>
      <c r="M577" s="46" t="n">
        <v>3420000</v>
      </c>
      <c r="N577" s="46" t="n">
        <v>0</v>
      </c>
      <c r="O577" s="46">
        <f>MAX(0,M577-N577-L577)</f>
        <v/>
      </c>
      <c r="P577" s="46">
        <f>MAX(0,L577-(M577-N577))</f>
        <v/>
      </c>
      <c r="Q577" s="45" t="inlineStr">
        <is>
          <t>30/09/2026</t>
        </is>
      </c>
      <c r="R577" s="45" t="inlineStr">
        <is>
          <t>PT2026-00574</t>
        </is>
      </c>
      <c r="S577" s="45" t="inlineStr"/>
    </row>
    <row r="578">
      <c r="A578" s="45" t="inlineStr">
        <is>
          <t>251230824</t>
        </is>
      </c>
      <c r="B578" s="45" t="inlineStr">
        <is>
          <t>MAI PHƯƠNG DUNG</t>
        </is>
      </c>
      <c r="C578" s="45" t="inlineStr">
        <is>
          <t>Công nghệ thông tin 3 K66</t>
        </is>
      </c>
      <c r="D578" s="45" t="inlineStr">
        <is>
          <t>Năm 3</t>
        </is>
      </c>
      <c r="E578" s="45" t="inlineStr">
        <is>
          <t>2027_2028</t>
        </is>
      </c>
      <c r="F578" s="45" t="n">
        <v>4</v>
      </c>
      <c r="G578" s="46">
        <f>VLOOKUP(D578,'Cấu Hình Học Phí'!$A$8:$B$11,2,FALSE)</f>
        <v/>
      </c>
      <c r="H578" s="46">
        <f>F578*G578</f>
        <v/>
      </c>
      <c r="I578" s="45" t="n">
        <v>1</v>
      </c>
      <c r="J578" s="46">
        <f>I578*'Cấu Hình Học Phí'!$B$5</f>
        <v/>
      </c>
      <c r="K578" s="46" t="n">
        <v>0</v>
      </c>
      <c r="L578" s="46">
        <f>H578+J578-K578</f>
        <v/>
      </c>
      <c r="M578" s="46" t="n">
        <v>3662000</v>
      </c>
      <c r="N578" s="46" t="n">
        <v>0</v>
      </c>
      <c r="O578" s="46">
        <f>MAX(0,M578-N578-L578)</f>
        <v/>
      </c>
      <c r="P578" s="46">
        <f>MAX(0,L578-(M578-N578))</f>
        <v/>
      </c>
      <c r="Q578" s="45" t="inlineStr">
        <is>
          <t>30/09/2027</t>
        </is>
      </c>
      <c r="R578" s="45" t="inlineStr">
        <is>
          <t>PT2027-00575</t>
        </is>
      </c>
      <c r="S578" s="45" t="inlineStr"/>
    </row>
    <row r="579">
      <c r="A579" s="45" t="inlineStr">
        <is>
          <t>251230824</t>
        </is>
      </c>
      <c r="B579" s="45" t="inlineStr">
        <is>
          <t>MAI PHƯƠNG DUNG</t>
        </is>
      </c>
      <c r="C579" s="45" t="inlineStr">
        <is>
          <t>Công nghệ thông tin 3 K66</t>
        </is>
      </c>
      <c r="D579" s="45" t="inlineStr">
        <is>
          <t>Năm 4</t>
        </is>
      </c>
      <c r="E579" s="45" t="inlineStr">
        <is>
          <t>2028_2029</t>
        </is>
      </c>
      <c r="F579" s="45" t="n">
        <v>1</v>
      </c>
      <c r="G579" s="46">
        <f>VLOOKUP(D579,'Cấu Hình Học Phí'!$A$8:$B$11,2,FALSE)</f>
        <v/>
      </c>
      <c r="H579" s="46">
        <f>F579*G579</f>
        <v/>
      </c>
      <c r="I579" s="45" t="n">
        <v>0</v>
      </c>
      <c r="J579" s="46">
        <f>I579*'Cấu Hình Học Phí'!$B$5</f>
        <v/>
      </c>
      <c r="K579" s="46" t="n">
        <v>0</v>
      </c>
      <c r="L579" s="46">
        <f>H579+J579-K579</f>
        <v/>
      </c>
      <c r="M579" s="46" t="n">
        <v>732050</v>
      </c>
      <c r="N579" s="46" t="n">
        <v>0</v>
      </c>
      <c r="O579" s="46">
        <f>MAX(0,M579-N579-L579)</f>
        <v/>
      </c>
      <c r="P579" s="46">
        <f>MAX(0,L579-(M579-N579))</f>
        <v/>
      </c>
      <c r="Q579" s="45" t="inlineStr">
        <is>
          <t>30/09/2028</t>
        </is>
      </c>
      <c r="R579" s="45" t="inlineStr">
        <is>
          <t>PT2028-00576</t>
        </is>
      </c>
      <c r="S579" s="45" t="inlineStr"/>
    </row>
    <row r="580">
      <c r="A580" s="45" t="inlineStr">
        <is>
          <t>251230832</t>
        </is>
      </c>
      <c r="B580" s="45" t="inlineStr">
        <is>
          <t>NGUYỄN THỊ THÙY DƯƠNG</t>
        </is>
      </c>
      <c r="C580" s="45" t="inlineStr">
        <is>
          <t>Công nghệ thông tin 3 K66</t>
        </is>
      </c>
      <c r="D580" s="45" t="inlineStr">
        <is>
          <t>Năm 1</t>
        </is>
      </c>
      <c r="E580" s="45" t="inlineStr">
        <is>
          <t>2025_2026</t>
        </is>
      </c>
      <c r="F580" s="45" t="n">
        <v>4</v>
      </c>
      <c r="G580" s="46">
        <f>VLOOKUP(D580,'Cấu Hình Học Phí'!$A$8:$B$11,2,FALSE)</f>
        <v/>
      </c>
      <c r="H580" s="46">
        <f>F580*G580</f>
        <v/>
      </c>
      <c r="I580" s="45" t="n">
        <v>0</v>
      </c>
      <c r="J580" s="46">
        <f>I580*'Cấu Hình Học Phí'!$B$5</f>
        <v/>
      </c>
      <c r="K580" s="46" t="n">
        <v>0</v>
      </c>
      <c r="L580" s="46">
        <f>H580+J580-K580</f>
        <v/>
      </c>
      <c r="M580" s="46" t="n">
        <v>2200000</v>
      </c>
      <c r="N580" s="46" t="n">
        <v>0</v>
      </c>
      <c r="O580" s="46">
        <f>MAX(0,M580-N580-L580)</f>
        <v/>
      </c>
      <c r="P580" s="46">
        <f>MAX(0,L580-(M580-N580))</f>
        <v/>
      </c>
      <c r="Q580" s="45" t="inlineStr">
        <is>
          <t>30/09/2025</t>
        </is>
      </c>
      <c r="R580" s="45" t="inlineStr">
        <is>
          <t>PT2025-00577</t>
        </is>
      </c>
      <c r="S580" s="45" t="inlineStr"/>
    </row>
    <row r="581">
      <c r="A581" s="45" t="inlineStr">
        <is>
          <t>251230832</t>
        </is>
      </c>
      <c r="B581" s="45" t="inlineStr">
        <is>
          <t>NGUYỄN THỊ THÙY DƯƠNG</t>
        </is>
      </c>
      <c r="C581" s="45" t="inlineStr">
        <is>
          <t>Công nghệ thông tin 3 K66</t>
        </is>
      </c>
      <c r="D581" s="45" t="inlineStr">
        <is>
          <t>Năm 2</t>
        </is>
      </c>
      <c r="E581" s="45" t="inlineStr">
        <is>
          <t>2026_2027</t>
        </is>
      </c>
      <c r="F581" s="45" t="n">
        <v>4</v>
      </c>
      <c r="G581" s="46">
        <f>VLOOKUP(D581,'Cấu Hình Học Phí'!$A$8:$B$11,2,FALSE)</f>
        <v/>
      </c>
      <c r="H581" s="46">
        <f>F581*G581</f>
        <v/>
      </c>
      <c r="I581" s="45" t="n">
        <v>0</v>
      </c>
      <c r="J581" s="46">
        <f>I581*'Cấu Hình Học Phí'!$B$5</f>
        <v/>
      </c>
      <c r="K581" s="46" t="n">
        <v>0</v>
      </c>
      <c r="L581" s="46">
        <f>H581+J581-K581</f>
        <v/>
      </c>
      <c r="M581" s="46" t="n">
        <v>2420000</v>
      </c>
      <c r="N581" s="46" t="n">
        <v>0</v>
      </c>
      <c r="O581" s="46">
        <f>MAX(0,M581-N581-L581)</f>
        <v/>
      </c>
      <c r="P581" s="46">
        <f>MAX(0,L581-(M581-N581))</f>
        <v/>
      </c>
      <c r="Q581" s="45" t="inlineStr">
        <is>
          <t>30/09/2026</t>
        </is>
      </c>
      <c r="R581" s="45" t="inlineStr">
        <is>
          <t>PT2026-00578</t>
        </is>
      </c>
      <c r="S581" s="45" t="inlineStr"/>
    </row>
    <row r="582">
      <c r="A582" s="45" t="inlineStr">
        <is>
          <t>251230832</t>
        </is>
      </c>
      <c r="B582" s="45" t="inlineStr">
        <is>
          <t>NGUYỄN THỊ THÙY DƯƠNG</t>
        </is>
      </c>
      <c r="C582" s="45" t="inlineStr">
        <is>
          <t>Công nghệ thông tin 3 K66</t>
        </is>
      </c>
      <c r="D582" s="45" t="inlineStr">
        <is>
          <t>Năm 3</t>
        </is>
      </c>
      <c r="E582" s="45" t="inlineStr">
        <is>
          <t>2027_2028</t>
        </is>
      </c>
      <c r="F582" s="45" t="n">
        <v>4</v>
      </c>
      <c r="G582" s="46">
        <f>VLOOKUP(D582,'Cấu Hình Học Phí'!$A$8:$B$11,2,FALSE)</f>
        <v/>
      </c>
      <c r="H582" s="46">
        <f>F582*G582</f>
        <v/>
      </c>
      <c r="I582" s="45" t="n">
        <v>0</v>
      </c>
      <c r="J582" s="46">
        <f>I582*'Cấu Hình Học Phí'!$B$5</f>
        <v/>
      </c>
      <c r="K582" s="46" t="n">
        <v>0</v>
      </c>
      <c r="L582" s="46">
        <f>H582+J582-K582</f>
        <v/>
      </c>
      <c r="M582" s="46" t="n">
        <v>2662000</v>
      </c>
      <c r="N582" s="46" t="n">
        <v>0</v>
      </c>
      <c r="O582" s="46">
        <f>MAX(0,M582-N582-L582)</f>
        <v/>
      </c>
      <c r="P582" s="46">
        <f>MAX(0,L582-(M582-N582))</f>
        <v/>
      </c>
      <c r="Q582" s="45" t="inlineStr">
        <is>
          <t>30/09/2027</t>
        </is>
      </c>
      <c r="R582" s="45" t="inlineStr">
        <is>
          <t>PT2027-00579</t>
        </is>
      </c>
      <c r="S582" s="45" t="inlineStr"/>
    </row>
    <row r="583">
      <c r="A583" s="45" t="inlineStr">
        <is>
          <t>251230832</t>
        </is>
      </c>
      <c r="B583" s="45" t="inlineStr">
        <is>
          <t>NGUYỄN THỊ THÙY DƯƠNG</t>
        </is>
      </c>
      <c r="C583" s="45" t="inlineStr">
        <is>
          <t>Công nghệ thông tin 3 K66</t>
        </is>
      </c>
      <c r="D583" s="45" t="inlineStr">
        <is>
          <t>Năm 4</t>
        </is>
      </c>
      <c r="E583" s="45" t="inlineStr">
        <is>
          <t>2028_2029</t>
        </is>
      </c>
      <c r="F583" s="45" t="n">
        <v>1</v>
      </c>
      <c r="G583" s="46">
        <f>VLOOKUP(D583,'Cấu Hình Học Phí'!$A$8:$B$11,2,FALSE)</f>
        <v/>
      </c>
      <c r="H583" s="46">
        <f>F583*G583</f>
        <v/>
      </c>
      <c r="I583" s="45" t="n">
        <v>0</v>
      </c>
      <c r="J583" s="46">
        <f>I583*'Cấu Hình Học Phí'!$B$5</f>
        <v/>
      </c>
      <c r="K583" s="46" t="n">
        <v>0</v>
      </c>
      <c r="L583" s="46">
        <f>H583+J583-K583</f>
        <v/>
      </c>
      <c r="M583" s="46" t="n">
        <v>732050</v>
      </c>
      <c r="N583" s="46" t="n">
        <v>0</v>
      </c>
      <c r="O583" s="46">
        <f>MAX(0,M583-N583-L583)</f>
        <v/>
      </c>
      <c r="P583" s="46">
        <f>MAX(0,L583-(M583-N583))</f>
        <v/>
      </c>
      <c r="Q583" s="45" t="inlineStr">
        <is>
          <t>30/09/2028</t>
        </is>
      </c>
      <c r="R583" s="45" t="inlineStr">
        <is>
          <t>PT2028-00580</t>
        </is>
      </c>
      <c r="S583" s="45" t="inlineStr"/>
    </row>
    <row r="584">
      <c r="A584" s="45" t="inlineStr">
        <is>
          <t>251230841</t>
        </is>
      </c>
      <c r="B584" s="45" t="inlineStr">
        <is>
          <t>TRƯƠNG MẠNH ĐẠT</t>
        </is>
      </c>
      <c r="C584" s="45" t="inlineStr">
        <is>
          <t>Công nghệ thông tin 3 K66</t>
        </is>
      </c>
      <c r="D584" s="45" t="inlineStr">
        <is>
          <t>Năm 1</t>
        </is>
      </c>
      <c r="E584" s="45" t="inlineStr">
        <is>
          <t>2025_2026</t>
        </is>
      </c>
      <c r="F584" s="45" t="n">
        <v>4</v>
      </c>
      <c r="G584" s="46">
        <f>VLOOKUP(D584,'Cấu Hình Học Phí'!$A$8:$B$11,2,FALSE)</f>
        <v/>
      </c>
      <c r="H584" s="46">
        <f>F584*G584</f>
        <v/>
      </c>
      <c r="I584" s="45" t="n">
        <v>1</v>
      </c>
      <c r="J584" s="46">
        <f>I584*'Cấu Hình Học Phí'!$B$5</f>
        <v/>
      </c>
      <c r="K584" s="46" t="n">
        <v>0</v>
      </c>
      <c r="L584" s="46">
        <f>H584+J584-K584</f>
        <v/>
      </c>
      <c r="M584" s="46" t="n">
        <v>2200000</v>
      </c>
      <c r="N584" s="46" t="n">
        <v>0</v>
      </c>
      <c r="O584" s="46">
        <f>MAX(0,M584-N584-L584)</f>
        <v/>
      </c>
      <c r="P584" s="46">
        <f>MAX(0,L584-(M584-N584))</f>
        <v/>
      </c>
      <c r="Q584" s="45" t="inlineStr">
        <is>
          <t>30/09/2025</t>
        </is>
      </c>
      <c r="R584" s="45" t="inlineStr">
        <is>
          <t>PT2025-00581</t>
        </is>
      </c>
      <c r="S584" s="45" t="inlineStr">
        <is>
          <t>Chưa nộp phí phụ đạo 1 môn</t>
        </is>
      </c>
    </row>
    <row r="585">
      <c r="A585" s="45" t="inlineStr">
        <is>
          <t>251230841</t>
        </is>
      </c>
      <c r="B585" s="45" t="inlineStr">
        <is>
          <t>TRƯƠNG MẠNH ĐẠT</t>
        </is>
      </c>
      <c r="C585" s="45" t="inlineStr">
        <is>
          <t>Công nghệ thông tin 3 K66</t>
        </is>
      </c>
      <c r="D585" s="45" t="inlineStr">
        <is>
          <t>Năm 2</t>
        </is>
      </c>
      <c r="E585" s="45" t="inlineStr">
        <is>
          <t>2026_2027</t>
        </is>
      </c>
      <c r="F585" s="45" t="n">
        <v>4</v>
      </c>
      <c r="G585" s="46">
        <f>VLOOKUP(D585,'Cấu Hình Học Phí'!$A$8:$B$11,2,FALSE)</f>
        <v/>
      </c>
      <c r="H585" s="46">
        <f>F585*G585</f>
        <v/>
      </c>
      <c r="I585" s="45" t="n">
        <v>1</v>
      </c>
      <c r="J585" s="46">
        <f>I585*'Cấu Hình Học Phí'!$B$5</f>
        <v/>
      </c>
      <c r="K585" s="46" t="n">
        <v>0</v>
      </c>
      <c r="L585" s="46">
        <f>H585+J585-K585</f>
        <v/>
      </c>
      <c r="M585" s="46" t="n">
        <v>3420000</v>
      </c>
      <c r="N585" s="46" t="n">
        <v>0</v>
      </c>
      <c r="O585" s="46">
        <f>MAX(0,M585-N585-L585)</f>
        <v/>
      </c>
      <c r="P585" s="46">
        <f>MAX(0,L585-(M585-N585))</f>
        <v/>
      </c>
      <c r="Q585" s="45" t="inlineStr">
        <is>
          <t>30/09/2026</t>
        </is>
      </c>
      <c r="R585" s="45" t="inlineStr">
        <is>
          <t>PT2026-00582</t>
        </is>
      </c>
      <c r="S585" s="45" t="inlineStr"/>
    </row>
    <row r="586">
      <c r="A586" s="45" t="inlineStr">
        <is>
          <t>251230841</t>
        </is>
      </c>
      <c r="B586" s="45" t="inlineStr">
        <is>
          <t>TRƯƠNG MẠNH ĐẠT</t>
        </is>
      </c>
      <c r="C586" s="45" t="inlineStr">
        <is>
          <t>Công nghệ thông tin 3 K66</t>
        </is>
      </c>
      <c r="D586" s="45" t="inlineStr">
        <is>
          <t>Năm 3</t>
        </is>
      </c>
      <c r="E586" s="45" t="inlineStr">
        <is>
          <t>2027_2028</t>
        </is>
      </c>
      <c r="F586" s="45" t="n">
        <v>4</v>
      </c>
      <c r="G586" s="46">
        <f>VLOOKUP(D586,'Cấu Hình Học Phí'!$A$8:$B$11,2,FALSE)</f>
        <v/>
      </c>
      <c r="H586" s="46">
        <f>F586*G586</f>
        <v/>
      </c>
      <c r="I586" s="45" t="n">
        <v>0</v>
      </c>
      <c r="J586" s="46">
        <f>I586*'Cấu Hình Học Phí'!$B$5</f>
        <v/>
      </c>
      <c r="K586" s="46" t="n">
        <v>0</v>
      </c>
      <c r="L586" s="46">
        <f>H586+J586-K586</f>
        <v/>
      </c>
      <c r="M586" s="46" t="n">
        <v>2662000</v>
      </c>
      <c r="N586" s="46" t="n">
        <v>0</v>
      </c>
      <c r="O586" s="46">
        <f>MAX(0,M586-N586-L586)</f>
        <v/>
      </c>
      <c r="P586" s="46">
        <f>MAX(0,L586-(M586-N586))</f>
        <v/>
      </c>
      <c r="Q586" s="45" t="inlineStr">
        <is>
          <t>30/09/2027</t>
        </is>
      </c>
      <c r="R586" s="45" t="inlineStr">
        <is>
          <t>PT2027-00583</t>
        </is>
      </c>
      <c r="S586" s="45" t="inlineStr"/>
    </row>
    <row r="587">
      <c r="A587" s="45" t="inlineStr">
        <is>
          <t>251230841</t>
        </is>
      </c>
      <c r="B587" s="45" t="inlineStr">
        <is>
          <t>TRƯƠNG MẠNH ĐẠT</t>
        </is>
      </c>
      <c r="C587" s="45" t="inlineStr">
        <is>
          <t>Công nghệ thông tin 3 K66</t>
        </is>
      </c>
      <c r="D587" s="45" t="inlineStr">
        <is>
          <t>Năm 4</t>
        </is>
      </c>
      <c r="E587" s="45" t="inlineStr">
        <is>
          <t>2028_2029</t>
        </is>
      </c>
      <c r="F587" s="45" t="n">
        <v>1</v>
      </c>
      <c r="G587" s="46">
        <f>VLOOKUP(D587,'Cấu Hình Học Phí'!$A$8:$B$11,2,FALSE)</f>
        <v/>
      </c>
      <c r="H587" s="46">
        <f>F587*G587</f>
        <v/>
      </c>
      <c r="I587" s="45" t="n">
        <v>0</v>
      </c>
      <c r="J587" s="46">
        <f>I587*'Cấu Hình Học Phí'!$B$5</f>
        <v/>
      </c>
      <c r="K587" s="46" t="n">
        <v>0</v>
      </c>
      <c r="L587" s="46">
        <f>H587+J587-K587</f>
        <v/>
      </c>
      <c r="M587" s="46" t="n">
        <v>732050</v>
      </c>
      <c r="N587" s="46" t="n">
        <v>0</v>
      </c>
      <c r="O587" s="46">
        <f>MAX(0,M587-N587-L587)</f>
        <v/>
      </c>
      <c r="P587" s="46">
        <f>MAX(0,L587-(M587-N587))</f>
        <v/>
      </c>
      <c r="Q587" s="45" t="inlineStr">
        <is>
          <t>30/09/2028</t>
        </is>
      </c>
      <c r="R587" s="45" t="inlineStr">
        <is>
          <t>PT2028-00584</t>
        </is>
      </c>
      <c r="S587" s="45" t="inlineStr"/>
    </row>
    <row r="588">
      <c r="A588" s="45" t="inlineStr">
        <is>
          <t>251230843</t>
        </is>
      </c>
      <c r="B588" s="45" t="inlineStr">
        <is>
          <t>TRẦN XUÂN ĐÔ</t>
        </is>
      </c>
      <c r="C588" s="45" t="inlineStr">
        <is>
          <t>Công nghệ thông tin 3 K66</t>
        </is>
      </c>
      <c r="D588" s="45" t="inlineStr">
        <is>
          <t>Năm 1</t>
        </is>
      </c>
      <c r="E588" s="45" t="inlineStr">
        <is>
          <t>2025_2026</t>
        </is>
      </c>
      <c r="F588" s="45" t="n">
        <v>4</v>
      </c>
      <c r="G588" s="46">
        <f>VLOOKUP(D588,'Cấu Hình Học Phí'!$A$8:$B$11,2,FALSE)</f>
        <v/>
      </c>
      <c r="H588" s="46">
        <f>F588*G588</f>
        <v/>
      </c>
      <c r="I588" s="45" t="n">
        <v>0</v>
      </c>
      <c r="J588" s="46">
        <f>I588*'Cấu Hình Học Phí'!$B$5</f>
        <v/>
      </c>
      <c r="K588" s="46" t="n">
        <v>0</v>
      </c>
      <c r="L588" s="46">
        <f>H588+J588-K588</f>
        <v/>
      </c>
      <c r="M588" s="46" t="n">
        <v>2200000</v>
      </c>
      <c r="N588" s="46" t="n">
        <v>0</v>
      </c>
      <c r="O588" s="46">
        <f>MAX(0,M588-N588-L588)</f>
        <v/>
      </c>
      <c r="P588" s="46">
        <f>MAX(0,L588-(M588-N588))</f>
        <v/>
      </c>
      <c r="Q588" s="45" t="inlineStr">
        <is>
          <t>30/09/2025</t>
        </is>
      </c>
      <c r="R588" s="45" t="inlineStr">
        <is>
          <t>PT2025-00585</t>
        </is>
      </c>
      <c r="S588" s="45" t="inlineStr"/>
    </row>
    <row r="589">
      <c r="A589" s="45" t="inlineStr">
        <is>
          <t>251230843</t>
        </is>
      </c>
      <c r="B589" s="45" t="inlineStr">
        <is>
          <t>TRẦN XUÂN ĐÔ</t>
        </is>
      </c>
      <c r="C589" s="45" t="inlineStr">
        <is>
          <t>Công nghệ thông tin 3 K66</t>
        </is>
      </c>
      <c r="D589" s="45" t="inlineStr">
        <is>
          <t>Năm 2</t>
        </is>
      </c>
      <c r="E589" s="45" t="inlineStr">
        <is>
          <t>2026_2027</t>
        </is>
      </c>
      <c r="F589" s="45" t="n">
        <v>4</v>
      </c>
      <c r="G589" s="46">
        <f>VLOOKUP(D589,'Cấu Hình Học Phí'!$A$8:$B$11,2,FALSE)</f>
        <v/>
      </c>
      <c r="H589" s="46">
        <f>F589*G589</f>
        <v/>
      </c>
      <c r="I589" s="45" t="n">
        <v>0</v>
      </c>
      <c r="J589" s="46">
        <f>I589*'Cấu Hình Học Phí'!$B$5</f>
        <v/>
      </c>
      <c r="K589" s="46" t="n">
        <v>0</v>
      </c>
      <c r="L589" s="46">
        <f>H589+J589-K589</f>
        <v/>
      </c>
      <c r="M589" s="46" t="n">
        <v>2420000</v>
      </c>
      <c r="N589" s="46" t="n">
        <v>0</v>
      </c>
      <c r="O589" s="46">
        <f>MAX(0,M589-N589-L589)</f>
        <v/>
      </c>
      <c r="P589" s="46">
        <f>MAX(0,L589-(M589-N589))</f>
        <v/>
      </c>
      <c r="Q589" s="45" t="inlineStr">
        <is>
          <t>30/09/2026</t>
        </is>
      </c>
      <c r="R589" s="45" t="inlineStr">
        <is>
          <t>PT2026-00586</t>
        </is>
      </c>
      <c r="S589" s="45" t="inlineStr"/>
    </row>
    <row r="590">
      <c r="A590" s="45" t="inlineStr">
        <is>
          <t>251230843</t>
        </is>
      </c>
      <c r="B590" s="45" t="inlineStr">
        <is>
          <t>TRẦN XUÂN ĐÔ</t>
        </is>
      </c>
      <c r="C590" s="45" t="inlineStr">
        <is>
          <t>Công nghệ thông tin 3 K66</t>
        </is>
      </c>
      <c r="D590" s="45" t="inlineStr">
        <is>
          <t>Năm 3</t>
        </is>
      </c>
      <c r="E590" s="45" t="inlineStr">
        <is>
          <t>2027_2028</t>
        </is>
      </c>
      <c r="F590" s="45" t="n">
        <v>4</v>
      </c>
      <c r="G590" s="46">
        <f>VLOOKUP(D590,'Cấu Hình Học Phí'!$A$8:$B$11,2,FALSE)</f>
        <v/>
      </c>
      <c r="H590" s="46">
        <f>F590*G590</f>
        <v/>
      </c>
      <c r="I590" s="45" t="n">
        <v>0</v>
      </c>
      <c r="J590" s="46">
        <f>I590*'Cấu Hình Học Phí'!$B$5</f>
        <v/>
      </c>
      <c r="K590" s="46" t="n">
        <v>0</v>
      </c>
      <c r="L590" s="46">
        <f>H590+J590-K590</f>
        <v/>
      </c>
      <c r="M590" s="46" t="n">
        <v>2662000</v>
      </c>
      <c r="N590" s="46" t="n">
        <v>0</v>
      </c>
      <c r="O590" s="46">
        <f>MAX(0,M590-N590-L590)</f>
        <v/>
      </c>
      <c r="P590" s="46">
        <f>MAX(0,L590-(M590-N590))</f>
        <v/>
      </c>
      <c r="Q590" s="45" t="inlineStr">
        <is>
          <t>30/09/2027</t>
        </is>
      </c>
      <c r="R590" s="45" t="inlineStr">
        <is>
          <t>PT2027-00587</t>
        </is>
      </c>
      <c r="S590" s="45" t="inlineStr"/>
    </row>
    <row r="591">
      <c r="A591" s="45" t="inlineStr">
        <is>
          <t>251230843</t>
        </is>
      </c>
      <c r="B591" s="45" t="inlineStr">
        <is>
          <t>TRẦN XUÂN ĐÔ</t>
        </is>
      </c>
      <c r="C591" s="45" t="inlineStr">
        <is>
          <t>Công nghệ thông tin 3 K66</t>
        </is>
      </c>
      <c r="D591" s="45" t="inlineStr">
        <is>
          <t>Năm 4</t>
        </is>
      </c>
      <c r="E591" s="45" t="inlineStr">
        <is>
          <t>2028_2029</t>
        </is>
      </c>
      <c r="F591" s="45" t="n">
        <v>1</v>
      </c>
      <c r="G591" s="46">
        <f>VLOOKUP(D591,'Cấu Hình Học Phí'!$A$8:$B$11,2,FALSE)</f>
        <v/>
      </c>
      <c r="H591" s="46">
        <f>F591*G591</f>
        <v/>
      </c>
      <c r="I591" s="45" t="n">
        <v>1</v>
      </c>
      <c r="J591" s="46">
        <f>I591*'Cấu Hình Học Phí'!$B$5</f>
        <v/>
      </c>
      <c r="K591" s="46" t="n">
        <v>0</v>
      </c>
      <c r="L591" s="46">
        <f>H591+J591-K591</f>
        <v/>
      </c>
      <c r="M591" s="46" t="n">
        <v>1732050</v>
      </c>
      <c r="N591" s="46" t="n">
        <v>0</v>
      </c>
      <c r="O591" s="46">
        <f>MAX(0,M591-N591-L591)</f>
        <v/>
      </c>
      <c r="P591" s="46">
        <f>MAX(0,L591-(M591-N591))</f>
        <v/>
      </c>
      <c r="Q591" s="45" t="inlineStr">
        <is>
          <t>30/09/2028</t>
        </is>
      </c>
      <c r="R591" s="45" t="inlineStr">
        <is>
          <t>PT2028-00588</t>
        </is>
      </c>
      <c r="S591" s="45" t="inlineStr"/>
    </row>
    <row r="592">
      <c r="A592" s="45" t="inlineStr">
        <is>
          <t>251230846</t>
        </is>
      </c>
      <c r="B592" s="45" t="inlineStr">
        <is>
          <t>MAI MINH ĐỨC</t>
        </is>
      </c>
      <c r="C592" s="45" t="inlineStr">
        <is>
          <t>Công nghệ thông tin 3 K66</t>
        </is>
      </c>
      <c r="D592" s="45" t="inlineStr">
        <is>
          <t>Năm 1</t>
        </is>
      </c>
      <c r="E592" s="45" t="inlineStr">
        <is>
          <t>2025_2026</t>
        </is>
      </c>
      <c r="F592" s="45" t="n">
        <v>4</v>
      </c>
      <c r="G592" s="46">
        <f>VLOOKUP(D592,'Cấu Hình Học Phí'!$A$8:$B$11,2,FALSE)</f>
        <v/>
      </c>
      <c r="H592" s="46">
        <f>F592*G592</f>
        <v/>
      </c>
      <c r="I592" s="45" t="n">
        <v>0</v>
      </c>
      <c r="J592" s="46">
        <f>I592*'Cấu Hình Học Phí'!$B$5</f>
        <v/>
      </c>
      <c r="K592" s="46" t="n">
        <v>0</v>
      </c>
      <c r="L592" s="46">
        <f>H592+J592-K592</f>
        <v/>
      </c>
      <c r="M592" s="46" t="n">
        <v>2200000</v>
      </c>
      <c r="N592" s="46" t="n">
        <v>0</v>
      </c>
      <c r="O592" s="46">
        <f>MAX(0,M592-N592-L592)</f>
        <v/>
      </c>
      <c r="P592" s="46">
        <f>MAX(0,L592-(M592-N592))</f>
        <v/>
      </c>
      <c r="Q592" s="45" t="inlineStr">
        <is>
          <t>30/09/2025</t>
        </is>
      </c>
      <c r="R592" s="45" t="inlineStr">
        <is>
          <t>PT2025-00589</t>
        </is>
      </c>
      <c r="S592" s="45" t="inlineStr"/>
    </row>
    <row r="593">
      <c r="A593" s="45" t="inlineStr">
        <is>
          <t>251230846</t>
        </is>
      </c>
      <c r="B593" s="45" t="inlineStr">
        <is>
          <t>MAI MINH ĐỨC</t>
        </is>
      </c>
      <c r="C593" s="45" t="inlineStr">
        <is>
          <t>Công nghệ thông tin 3 K66</t>
        </is>
      </c>
      <c r="D593" s="45" t="inlineStr">
        <is>
          <t>Năm 2</t>
        </is>
      </c>
      <c r="E593" s="45" t="inlineStr">
        <is>
          <t>2026_2027</t>
        </is>
      </c>
      <c r="F593" s="45" t="n">
        <v>4</v>
      </c>
      <c r="G593" s="46">
        <f>VLOOKUP(D593,'Cấu Hình Học Phí'!$A$8:$B$11,2,FALSE)</f>
        <v/>
      </c>
      <c r="H593" s="46">
        <f>F593*G593</f>
        <v/>
      </c>
      <c r="I593" s="45" t="n">
        <v>0</v>
      </c>
      <c r="J593" s="46">
        <f>I593*'Cấu Hình Học Phí'!$B$5</f>
        <v/>
      </c>
      <c r="K593" s="46" t="n">
        <v>0</v>
      </c>
      <c r="L593" s="46">
        <f>H593+J593-K593</f>
        <v/>
      </c>
      <c r="M593" s="46" t="n">
        <v>2420000</v>
      </c>
      <c r="N593" s="46" t="n">
        <v>0</v>
      </c>
      <c r="O593" s="46">
        <f>MAX(0,M593-N593-L593)</f>
        <v/>
      </c>
      <c r="P593" s="46">
        <f>MAX(0,L593-(M593-N593))</f>
        <v/>
      </c>
      <c r="Q593" s="45" t="inlineStr">
        <is>
          <t>30/09/2026</t>
        </is>
      </c>
      <c r="R593" s="45" t="inlineStr">
        <is>
          <t>PT2026-00590</t>
        </is>
      </c>
      <c r="S593" s="45" t="inlineStr"/>
    </row>
    <row r="594">
      <c r="A594" s="45" t="inlineStr">
        <is>
          <t>251230846</t>
        </is>
      </c>
      <c r="B594" s="45" t="inlineStr">
        <is>
          <t>MAI MINH ĐỨC</t>
        </is>
      </c>
      <c r="C594" s="45" t="inlineStr">
        <is>
          <t>Công nghệ thông tin 3 K66</t>
        </is>
      </c>
      <c r="D594" s="45" t="inlineStr">
        <is>
          <t>Năm 3</t>
        </is>
      </c>
      <c r="E594" s="45" t="inlineStr">
        <is>
          <t>2027_2028</t>
        </is>
      </c>
      <c r="F594" s="45" t="n">
        <v>4</v>
      </c>
      <c r="G594" s="46">
        <f>VLOOKUP(D594,'Cấu Hình Học Phí'!$A$8:$B$11,2,FALSE)</f>
        <v/>
      </c>
      <c r="H594" s="46">
        <f>F594*G594</f>
        <v/>
      </c>
      <c r="I594" s="45" t="n">
        <v>0</v>
      </c>
      <c r="J594" s="46">
        <f>I594*'Cấu Hình Học Phí'!$B$5</f>
        <v/>
      </c>
      <c r="K594" s="46" t="n">
        <v>0</v>
      </c>
      <c r="L594" s="46">
        <f>H594+J594-K594</f>
        <v/>
      </c>
      <c r="M594" s="46" t="n">
        <v>2662000</v>
      </c>
      <c r="N594" s="46" t="n">
        <v>0</v>
      </c>
      <c r="O594" s="46">
        <f>MAX(0,M594-N594-L594)</f>
        <v/>
      </c>
      <c r="P594" s="46">
        <f>MAX(0,L594-(M594-N594))</f>
        <v/>
      </c>
      <c r="Q594" s="45" t="inlineStr">
        <is>
          <t>30/09/2027</t>
        </is>
      </c>
      <c r="R594" s="45" t="inlineStr">
        <is>
          <t>PT2027-00591</t>
        </is>
      </c>
      <c r="S594" s="45" t="inlineStr"/>
    </row>
    <row r="595">
      <c r="A595" s="45" t="inlineStr">
        <is>
          <t>251230846</t>
        </is>
      </c>
      <c r="B595" s="45" t="inlineStr">
        <is>
          <t>MAI MINH ĐỨC</t>
        </is>
      </c>
      <c r="C595" s="45" t="inlineStr">
        <is>
          <t>Công nghệ thông tin 3 K66</t>
        </is>
      </c>
      <c r="D595" s="45" t="inlineStr">
        <is>
          <t>Năm 4</t>
        </is>
      </c>
      <c r="E595" s="45" t="inlineStr">
        <is>
          <t>2028_2029</t>
        </is>
      </c>
      <c r="F595" s="45" t="n">
        <v>1</v>
      </c>
      <c r="G595" s="46">
        <f>VLOOKUP(D595,'Cấu Hình Học Phí'!$A$8:$B$11,2,FALSE)</f>
        <v/>
      </c>
      <c r="H595" s="46">
        <f>F595*G595</f>
        <v/>
      </c>
      <c r="I595" s="45" t="n">
        <v>0</v>
      </c>
      <c r="J595" s="46">
        <f>I595*'Cấu Hình Học Phí'!$B$5</f>
        <v/>
      </c>
      <c r="K595" s="46" t="n">
        <v>0</v>
      </c>
      <c r="L595" s="46">
        <f>H595+J595-K595</f>
        <v/>
      </c>
      <c r="M595" s="46" t="n">
        <v>732050</v>
      </c>
      <c r="N595" s="46" t="n">
        <v>0</v>
      </c>
      <c r="O595" s="46">
        <f>MAX(0,M595-N595-L595)</f>
        <v/>
      </c>
      <c r="P595" s="46">
        <f>MAX(0,L595-(M595-N595))</f>
        <v/>
      </c>
      <c r="Q595" s="45" t="inlineStr">
        <is>
          <t>30/09/2028</t>
        </is>
      </c>
      <c r="R595" s="45" t="inlineStr">
        <is>
          <t>PT2028-00592</t>
        </is>
      </c>
      <c r="S595" s="45" t="inlineStr"/>
    </row>
    <row r="596">
      <c r="A596" s="45" t="inlineStr">
        <is>
          <t>251230847</t>
        </is>
      </c>
      <c r="B596" s="45" t="inlineStr">
        <is>
          <t>MAI TIẾN ĐỨC</t>
        </is>
      </c>
      <c r="C596" s="45" t="inlineStr">
        <is>
          <t>Công nghệ thông tin 3 K66</t>
        </is>
      </c>
      <c r="D596" s="45" t="inlineStr">
        <is>
          <t>Năm 1</t>
        </is>
      </c>
      <c r="E596" s="45" t="inlineStr">
        <is>
          <t>2025_2026</t>
        </is>
      </c>
      <c r="F596" s="45" t="n">
        <v>4</v>
      </c>
      <c r="G596" s="46">
        <f>VLOOKUP(D596,'Cấu Hình Học Phí'!$A$8:$B$11,2,FALSE)</f>
        <v/>
      </c>
      <c r="H596" s="46">
        <f>F596*G596</f>
        <v/>
      </c>
      <c r="I596" s="45" t="n">
        <v>1</v>
      </c>
      <c r="J596" s="46">
        <f>I596*'Cấu Hình Học Phí'!$B$5</f>
        <v/>
      </c>
      <c r="K596" s="46" t="n">
        <v>0</v>
      </c>
      <c r="L596" s="46">
        <f>H596+J596-K596</f>
        <v/>
      </c>
      <c r="M596" s="46" t="n">
        <v>3200000</v>
      </c>
      <c r="N596" s="46" t="n">
        <v>0</v>
      </c>
      <c r="O596" s="46">
        <f>MAX(0,M596-N596-L596)</f>
        <v/>
      </c>
      <c r="P596" s="46">
        <f>MAX(0,L596-(M596-N596))</f>
        <v/>
      </c>
      <c r="Q596" s="45" t="inlineStr">
        <is>
          <t>30/09/2025</t>
        </is>
      </c>
      <c r="R596" s="45" t="inlineStr">
        <is>
          <t>PT2025-00593</t>
        </is>
      </c>
      <c r="S596" s="45" t="inlineStr"/>
    </row>
    <row r="597">
      <c r="A597" s="45" t="inlineStr">
        <is>
          <t>251230847</t>
        </is>
      </c>
      <c r="B597" s="45" t="inlineStr">
        <is>
          <t>MAI TIẾN ĐỨC</t>
        </is>
      </c>
      <c r="C597" s="45" t="inlineStr">
        <is>
          <t>Công nghệ thông tin 3 K66</t>
        </is>
      </c>
      <c r="D597" s="45" t="inlineStr">
        <is>
          <t>Năm 2</t>
        </is>
      </c>
      <c r="E597" s="45" t="inlineStr">
        <is>
          <t>2026_2027</t>
        </is>
      </c>
      <c r="F597" s="45" t="n">
        <v>4</v>
      </c>
      <c r="G597" s="46">
        <f>VLOOKUP(D597,'Cấu Hình Học Phí'!$A$8:$B$11,2,FALSE)</f>
        <v/>
      </c>
      <c r="H597" s="46">
        <f>F597*G597</f>
        <v/>
      </c>
      <c r="I597" s="45" t="n">
        <v>0</v>
      </c>
      <c r="J597" s="46">
        <f>I597*'Cấu Hình Học Phí'!$B$5</f>
        <v/>
      </c>
      <c r="K597" s="46" t="n">
        <v>0</v>
      </c>
      <c r="L597" s="46">
        <f>H597+J597-K597</f>
        <v/>
      </c>
      <c r="M597" s="46" t="n">
        <v>2420000</v>
      </c>
      <c r="N597" s="46" t="n">
        <v>0</v>
      </c>
      <c r="O597" s="46">
        <f>MAX(0,M597-N597-L597)</f>
        <v/>
      </c>
      <c r="P597" s="46">
        <f>MAX(0,L597-(M597-N597))</f>
        <v/>
      </c>
      <c r="Q597" s="45" t="inlineStr">
        <is>
          <t>30/09/2026</t>
        </is>
      </c>
      <c r="R597" s="45" t="inlineStr">
        <is>
          <t>PT2026-00594</t>
        </is>
      </c>
      <c r="S597" s="45" t="inlineStr"/>
    </row>
    <row r="598">
      <c r="A598" s="45" t="inlineStr">
        <is>
          <t>251230847</t>
        </is>
      </c>
      <c r="B598" s="45" t="inlineStr">
        <is>
          <t>MAI TIẾN ĐỨC</t>
        </is>
      </c>
      <c r="C598" s="45" t="inlineStr">
        <is>
          <t>Công nghệ thông tin 3 K66</t>
        </is>
      </c>
      <c r="D598" s="45" t="inlineStr">
        <is>
          <t>Năm 3</t>
        </is>
      </c>
      <c r="E598" s="45" t="inlineStr">
        <is>
          <t>2027_2028</t>
        </is>
      </c>
      <c r="F598" s="45" t="n">
        <v>4</v>
      </c>
      <c r="G598" s="46">
        <f>VLOOKUP(D598,'Cấu Hình Học Phí'!$A$8:$B$11,2,FALSE)</f>
        <v/>
      </c>
      <c r="H598" s="46">
        <f>F598*G598</f>
        <v/>
      </c>
      <c r="I598" s="45" t="n">
        <v>0</v>
      </c>
      <c r="J598" s="46">
        <f>I598*'Cấu Hình Học Phí'!$B$5</f>
        <v/>
      </c>
      <c r="K598" s="46" t="n">
        <v>0</v>
      </c>
      <c r="L598" s="46">
        <f>H598+J598-K598</f>
        <v/>
      </c>
      <c r="M598" s="46" t="n">
        <v>2662000</v>
      </c>
      <c r="N598" s="46" t="n">
        <v>0</v>
      </c>
      <c r="O598" s="46">
        <f>MAX(0,M598-N598-L598)</f>
        <v/>
      </c>
      <c r="P598" s="46">
        <f>MAX(0,L598-(M598-N598))</f>
        <v/>
      </c>
      <c r="Q598" s="45" t="inlineStr">
        <is>
          <t>30/09/2027</t>
        </is>
      </c>
      <c r="R598" s="45" t="inlineStr">
        <is>
          <t>PT2027-00595</t>
        </is>
      </c>
      <c r="S598" s="45" t="inlineStr"/>
    </row>
    <row r="599">
      <c r="A599" s="45" t="inlineStr">
        <is>
          <t>251230847</t>
        </is>
      </c>
      <c r="B599" s="45" t="inlineStr">
        <is>
          <t>MAI TIẾN ĐỨC</t>
        </is>
      </c>
      <c r="C599" s="45" t="inlineStr">
        <is>
          <t>Công nghệ thông tin 3 K66</t>
        </is>
      </c>
      <c r="D599" s="45" t="inlineStr">
        <is>
          <t>Năm 4</t>
        </is>
      </c>
      <c r="E599" s="45" t="inlineStr">
        <is>
          <t>2028_2029</t>
        </is>
      </c>
      <c r="F599" s="45" t="n">
        <v>1</v>
      </c>
      <c r="G599" s="46">
        <f>VLOOKUP(D599,'Cấu Hình Học Phí'!$A$8:$B$11,2,FALSE)</f>
        <v/>
      </c>
      <c r="H599" s="46">
        <f>F599*G599</f>
        <v/>
      </c>
      <c r="I599" s="45" t="n">
        <v>0</v>
      </c>
      <c r="J599" s="46">
        <f>I599*'Cấu Hình Học Phí'!$B$5</f>
        <v/>
      </c>
      <c r="K599" s="46" t="n">
        <v>0</v>
      </c>
      <c r="L599" s="46">
        <f>H599+J599-K599</f>
        <v/>
      </c>
      <c r="M599" s="46" t="n">
        <v>732050</v>
      </c>
      <c r="N599" s="46" t="n">
        <v>0</v>
      </c>
      <c r="O599" s="46">
        <f>MAX(0,M599-N599-L599)</f>
        <v/>
      </c>
      <c r="P599" s="46">
        <f>MAX(0,L599-(M599-N599))</f>
        <v/>
      </c>
      <c r="Q599" s="45" t="inlineStr">
        <is>
          <t>30/09/2028</t>
        </is>
      </c>
      <c r="R599" s="45" t="inlineStr">
        <is>
          <t>PT2028-00596</t>
        </is>
      </c>
      <c r="S599" s="45" t="inlineStr"/>
    </row>
    <row r="600">
      <c r="A600" s="45" t="inlineStr">
        <is>
          <t>251230850</t>
        </is>
      </c>
      <c r="B600" s="45" t="inlineStr">
        <is>
          <t>TRẦN PHẠM TRUNG ĐỨC</t>
        </is>
      </c>
      <c r="C600" s="45" t="inlineStr">
        <is>
          <t>Công nghệ thông tin 3 K66</t>
        </is>
      </c>
      <c r="D600" s="45" t="inlineStr">
        <is>
          <t>Năm 1</t>
        </is>
      </c>
      <c r="E600" s="45" t="inlineStr">
        <is>
          <t>2025_2026</t>
        </is>
      </c>
      <c r="F600" s="45" t="n">
        <v>4</v>
      </c>
      <c r="G600" s="46">
        <f>VLOOKUP(D600,'Cấu Hình Học Phí'!$A$8:$B$11,2,FALSE)</f>
        <v/>
      </c>
      <c r="H600" s="46">
        <f>F600*G600</f>
        <v/>
      </c>
      <c r="I600" s="45" t="n">
        <v>0</v>
      </c>
      <c r="J600" s="46">
        <f>I600*'Cấu Hình Học Phí'!$B$5</f>
        <v/>
      </c>
      <c r="K600" s="46" t="n">
        <v>0</v>
      </c>
      <c r="L600" s="46">
        <f>H600+J600-K600</f>
        <v/>
      </c>
      <c r="M600" s="46" t="n">
        <v>2200000</v>
      </c>
      <c r="N600" s="46" t="n">
        <v>0</v>
      </c>
      <c r="O600" s="46">
        <f>MAX(0,M600-N600-L600)</f>
        <v/>
      </c>
      <c r="P600" s="46">
        <f>MAX(0,L600-(M600-N600))</f>
        <v/>
      </c>
      <c r="Q600" s="45" t="inlineStr">
        <is>
          <t>30/09/2025</t>
        </is>
      </c>
      <c r="R600" s="45" t="inlineStr">
        <is>
          <t>PT2025-00597</t>
        </is>
      </c>
      <c r="S600" s="45" t="inlineStr"/>
    </row>
    <row r="601">
      <c r="A601" s="45" t="inlineStr">
        <is>
          <t>251230850</t>
        </is>
      </c>
      <c r="B601" s="45" t="inlineStr">
        <is>
          <t>TRẦN PHẠM TRUNG ĐỨC</t>
        </is>
      </c>
      <c r="C601" s="45" t="inlineStr">
        <is>
          <t>Công nghệ thông tin 3 K66</t>
        </is>
      </c>
      <c r="D601" s="45" t="inlineStr">
        <is>
          <t>Năm 2</t>
        </is>
      </c>
      <c r="E601" s="45" t="inlineStr">
        <is>
          <t>2026_2027</t>
        </is>
      </c>
      <c r="F601" s="45" t="n">
        <v>4</v>
      </c>
      <c r="G601" s="46">
        <f>VLOOKUP(D601,'Cấu Hình Học Phí'!$A$8:$B$11,2,FALSE)</f>
        <v/>
      </c>
      <c r="H601" s="46">
        <f>F601*G601</f>
        <v/>
      </c>
      <c r="I601" s="45" t="n">
        <v>1</v>
      </c>
      <c r="J601" s="46">
        <f>I601*'Cấu Hình Học Phí'!$B$5</f>
        <v/>
      </c>
      <c r="K601" s="46" t="n">
        <v>0</v>
      </c>
      <c r="L601" s="46">
        <f>H601+J601-K601</f>
        <v/>
      </c>
      <c r="M601" s="46" t="n">
        <v>3420000</v>
      </c>
      <c r="N601" s="46" t="n">
        <v>0</v>
      </c>
      <c r="O601" s="46">
        <f>MAX(0,M601-N601-L601)</f>
        <v/>
      </c>
      <c r="P601" s="46">
        <f>MAX(0,L601-(M601-N601))</f>
        <v/>
      </c>
      <c r="Q601" s="45" t="inlineStr">
        <is>
          <t>30/09/2026</t>
        </is>
      </c>
      <c r="R601" s="45" t="inlineStr">
        <is>
          <t>PT2026-00598</t>
        </is>
      </c>
      <c r="S601" s="45" t="inlineStr"/>
    </row>
    <row r="602">
      <c r="A602" s="45" t="inlineStr">
        <is>
          <t>251230850</t>
        </is>
      </c>
      <c r="B602" s="45" t="inlineStr">
        <is>
          <t>TRẦN PHẠM TRUNG ĐỨC</t>
        </is>
      </c>
      <c r="C602" s="45" t="inlineStr">
        <is>
          <t>Công nghệ thông tin 3 K66</t>
        </is>
      </c>
      <c r="D602" s="45" t="inlineStr">
        <is>
          <t>Năm 3</t>
        </is>
      </c>
      <c r="E602" s="45" t="inlineStr">
        <is>
          <t>2027_2028</t>
        </is>
      </c>
      <c r="F602" s="45" t="n">
        <v>4</v>
      </c>
      <c r="G602" s="46">
        <f>VLOOKUP(D602,'Cấu Hình Học Phí'!$A$8:$B$11,2,FALSE)</f>
        <v/>
      </c>
      <c r="H602" s="46">
        <f>F602*G602</f>
        <v/>
      </c>
      <c r="I602" s="45" t="n">
        <v>2</v>
      </c>
      <c r="J602" s="46">
        <f>I602*'Cấu Hình Học Phí'!$B$5</f>
        <v/>
      </c>
      <c r="K602" s="46" t="n">
        <v>0</v>
      </c>
      <c r="L602" s="46">
        <f>H602+J602-K602</f>
        <v/>
      </c>
      <c r="M602" s="46" t="n">
        <v>4662000</v>
      </c>
      <c r="N602" s="46" t="n">
        <v>0</v>
      </c>
      <c r="O602" s="46">
        <f>MAX(0,M602-N602-L602)</f>
        <v/>
      </c>
      <c r="P602" s="46">
        <f>MAX(0,L602-(M602-N602))</f>
        <v/>
      </c>
      <c r="Q602" s="45" t="inlineStr">
        <is>
          <t>30/09/2027</t>
        </is>
      </c>
      <c r="R602" s="45" t="inlineStr">
        <is>
          <t>PT2027-00599</t>
        </is>
      </c>
      <c r="S602" s="45" t="inlineStr"/>
    </row>
    <row r="603">
      <c r="A603" s="45" t="inlineStr">
        <is>
          <t>251230850</t>
        </is>
      </c>
      <c r="B603" s="45" t="inlineStr">
        <is>
          <t>TRẦN PHẠM TRUNG ĐỨC</t>
        </is>
      </c>
      <c r="C603" s="45" t="inlineStr">
        <is>
          <t>Công nghệ thông tin 3 K66</t>
        </is>
      </c>
      <c r="D603" s="45" t="inlineStr">
        <is>
          <t>Năm 4</t>
        </is>
      </c>
      <c r="E603" s="45" t="inlineStr">
        <is>
          <t>2028_2029</t>
        </is>
      </c>
      <c r="F603" s="45" t="n">
        <v>1</v>
      </c>
      <c r="G603" s="46">
        <f>VLOOKUP(D603,'Cấu Hình Học Phí'!$A$8:$B$11,2,FALSE)</f>
        <v/>
      </c>
      <c r="H603" s="46">
        <f>F603*G603</f>
        <v/>
      </c>
      <c r="I603" s="45" t="n">
        <v>0</v>
      </c>
      <c r="J603" s="46">
        <f>I603*'Cấu Hình Học Phí'!$B$5</f>
        <v/>
      </c>
      <c r="K603" s="46" t="n">
        <v>0</v>
      </c>
      <c r="L603" s="46">
        <f>H603+J603-K603</f>
        <v/>
      </c>
      <c r="M603" s="46" t="n">
        <v>732050</v>
      </c>
      <c r="N603" s="46" t="n">
        <v>0</v>
      </c>
      <c r="O603" s="46">
        <f>MAX(0,M603-N603-L603)</f>
        <v/>
      </c>
      <c r="P603" s="46">
        <f>MAX(0,L603-(M603-N603))</f>
        <v/>
      </c>
      <c r="Q603" s="45" t="inlineStr">
        <is>
          <t>30/09/2028</t>
        </is>
      </c>
      <c r="R603" s="45" t="inlineStr">
        <is>
          <t>PT2028-00600</t>
        </is>
      </c>
      <c r="S603" s="45" t="inlineStr"/>
    </row>
    <row r="604">
      <c r="A604" s="45" t="inlineStr">
        <is>
          <t>251210851</t>
        </is>
      </c>
      <c r="B604" s="45" t="inlineStr">
        <is>
          <t>NGUYỄN THANH HÀ</t>
        </is>
      </c>
      <c r="C604" s="45" t="inlineStr">
        <is>
          <t>Công nghệ thông tin 3 K66</t>
        </is>
      </c>
      <c r="D604" s="45" t="inlineStr">
        <is>
          <t>Năm 1</t>
        </is>
      </c>
      <c r="E604" s="45" t="inlineStr">
        <is>
          <t>2025_2026</t>
        </is>
      </c>
      <c r="F604" s="45" t="n">
        <v>4</v>
      </c>
      <c r="G604" s="46">
        <f>VLOOKUP(D604,'Cấu Hình Học Phí'!$A$8:$B$11,2,FALSE)</f>
        <v/>
      </c>
      <c r="H604" s="46">
        <f>F604*G604</f>
        <v/>
      </c>
      <c r="I604" s="45" t="n">
        <v>1</v>
      </c>
      <c r="J604" s="46">
        <f>I604*'Cấu Hình Học Phí'!$B$5</f>
        <v/>
      </c>
      <c r="K604" s="46" t="n">
        <v>0</v>
      </c>
      <c r="L604" s="46">
        <f>H604+J604-K604</f>
        <v/>
      </c>
      <c r="M604" s="46" t="n">
        <v>3200000</v>
      </c>
      <c r="N604" s="46" t="n">
        <v>0</v>
      </c>
      <c r="O604" s="46">
        <f>MAX(0,M604-N604-L604)</f>
        <v/>
      </c>
      <c r="P604" s="46">
        <f>MAX(0,L604-(M604-N604))</f>
        <v/>
      </c>
      <c r="Q604" s="45" t="inlineStr">
        <is>
          <t>30/09/2025</t>
        </is>
      </c>
      <c r="R604" s="45" t="inlineStr">
        <is>
          <t>PT2025-00601</t>
        </is>
      </c>
      <c r="S604" s="45" t="inlineStr"/>
    </row>
    <row r="605">
      <c r="A605" s="45" t="inlineStr">
        <is>
          <t>251210851</t>
        </is>
      </c>
      <c r="B605" s="45" t="inlineStr">
        <is>
          <t>NGUYỄN THANH HÀ</t>
        </is>
      </c>
      <c r="C605" s="45" t="inlineStr">
        <is>
          <t>Công nghệ thông tin 3 K66</t>
        </is>
      </c>
      <c r="D605" s="45" t="inlineStr">
        <is>
          <t>Năm 2</t>
        </is>
      </c>
      <c r="E605" s="45" t="inlineStr">
        <is>
          <t>2026_2027</t>
        </is>
      </c>
      <c r="F605" s="45" t="n">
        <v>4</v>
      </c>
      <c r="G605" s="46">
        <f>VLOOKUP(D605,'Cấu Hình Học Phí'!$A$8:$B$11,2,FALSE)</f>
        <v/>
      </c>
      <c r="H605" s="46">
        <f>F605*G605</f>
        <v/>
      </c>
      <c r="I605" s="45" t="n">
        <v>0</v>
      </c>
      <c r="J605" s="46">
        <f>I605*'Cấu Hình Học Phí'!$B$5</f>
        <v/>
      </c>
      <c r="K605" s="46" t="n">
        <v>0</v>
      </c>
      <c r="L605" s="46">
        <f>H605+J605-K605</f>
        <v/>
      </c>
      <c r="M605" s="46" t="n">
        <v>2420000</v>
      </c>
      <c r="N605" s="46" t="n">
        <v>0</v>
      </c>
      <c r="O605" s="46">
        <f>MAX(0,M605-N605-L605)</f>
        <v/>
      </c>
      <c r="P605" s="46">
        <f>MAX(0,L605-(M605-N605))</f>
        <v/>
      </c>
      <c r="Q605" s="45" t="inlineStr">
        <is>
          <t>30/09/2026</t>
        </is>
      </c>
      <c r="R605" s="45" t="inlineStr">
        <is>
          <t>PT2026-00602</t>
        </is>
      </c>
      <c r="S605" s="45" t="inlineStr"/>
    </row>
    <row r="606">
      <c r="A606" s="45" t="inlineStr">
        <is>
          <t>251210851</t>
        </is>
      </c>
      <c r="B606" s="45" t="inlineStr">
        <is>
          <t>NGUYỄN THANH HÀ</t>
        </is>
      </c>
      <c r="C606" s="45" t="inlineStr">
        <is>
          <t>Công nghệ thông tin 3 K66</t>
        </is>
      </c>
      <c r="D606" s="45" t="inlineStr">
        <is>
          <t>Năm 3</t>
        </is>
      </c>
      <c r="E606" s="45" t="inlineStr">
        <is>
          <t>2027_2028</t>
        </is>
      </c>
      <c r="F606" s="45" t="n">
        <v>4</v>
      </c>
      <c r="G606" s="46">
        <f>VLOOKUP(D606,'Cấu Hình Học Phí'!$A$8:$B$11,2,FALSE)</f>
        <v/>
      </c>
      <c r="H606" s="46">
        <f>F606*G606</f>
        <v/>
      </c>
      <c r="I606" s="45" t="n">
        <v>1</v>
      </c>
      <c r="J606" s="46">
        <f>I606*'Cấu Hình Học Phí'!$B$5</f>
        <v/>
      </c>
      <c r="K606" s="46" t="n">
        <v>0</v>
      </c>
      <c r="L606" s="46">
        <f>H606+J606-K606</f>
        <v/>
      </c>
      <c r="M606" s="46" t="n">
        <v>2662000</v>
      </c>
      <c r="N606" s="46" t="n">
        <v>0</v>
      </c>
      <c r="O606" s="46">
        <f>MAX(0,M606-N606-L606)</f>
        <v/>
      </c>
      <c r="P606" s="46">
        <f>MAX(0,L606-(M606-N606))</f>
        <v/>
      </c>
      <c r="Q606" s="45" t="inlineStr">
        <is>
          <t>30/09/2027</t>
        </is>
      </c>
      <c r="R606" s="45" t="inlineStr">
        <is>
          <t>PT2027-00603</t>
        </is>
      </c>
      <c r="S606" s="45" t="inlineStr">
        <is>
          <t>Chưa nộp phí phụ đạo 1 môn</t>
        </is>
      </c>
    </row>
    <row r="607">
      <c r="A607" s="45" t="inlineStr">
        <is>
          <t>251210851</t>
        </is>
      </c>
      <c r="B607" s="45" t="inlineStr">
        <is>
          <t>NGUYỄN THANH HÀ</t>
        </is>
      </c>
      <c r="C607" s="45" t="inlineStr">
        <is>
          <t>Công nghệ thông tin 3 K66</t>
        </is>
      </c>
      <c r="D607" s="45" t="inlineStr">
        <is>
          <t>Năm 4</t>
        </is>
      </c>
      <c r="E607" s="45" t="inlineStr">
        <is>
          <t>2028_2029</t>
        </is>
      </c>
      <c r="F607" s="45" t="n">
        <v>1</v>
      </c>
      <c r="G607" s="46">
        <f>VLOOKUP(D607,'Cấu Hình Học Phí'!$A$8:$B$11,2,FALSE)</f>
        <v/>
      </c>
      <c r="H607" s="46">
        <f>F607*G607</f>
        <v/>
      </c>
      <c r="I607" s="45" t="n">
        <v>1</v>
      </c>
      <c r="J607" s="46">
        <f>I607*'Cấu Hình Học Phí'!$B$5</f>
        <v/>
      </c>
      <c r="K607" s="46" t="n">
        <v>0</v>
      </c>
      <c r="L607" s="46">
        <f>H607+J607-K607</f>
        <v/>
      </c>
      <c r="M607" s="46" t="n">
        <v>1732050</v>
      </c>
      <c r="N607" s="46" t="n">
        <v>0</v>
      </c>
      <c r="O607" s="46">
        <f>MAX(0,M607-N607-L607)</f>
        <v/>
      </c>
      <c r="P607" s="46">
        <f>MAX(0,L607-(M607-N607))</f>
        <v/>
      </c>
      <c r="Q607" s="45" t="inlineStr">
        <is>
          <t>30/09/2028</t>
        </is>
      </c>
      <c r="R607" s="45" t="inlineStr">
        <is>
          <t>PT2028-00604</t>
        </is>
      </c>
      <c r="S607" s="45" t="inlineStr"/>
    </row>
    <row r="608">
      <c r="A608" s="45" t="inlineStr">
        <is>
          <t>251210853</t>
        </is>
      </c>
      <c r="B608" s="45" t="inlineStr">
        <is>
          <t>NGUYỄN PHƯƠNG HẢI</t>
        </is>
      </c>
      <c r="C608" s="45" t="inlineStr">
        <is>
          <t>Công nghệ thông tin 3 K66</t>
        </is>
      </c>
      <c r="D608" s="45" t="inlineStr">
        <is>
          <t>Năm 1</t>
        </is>
      </c>
      <c r="E608" s="45" t="inlineStr">
        <is>
          <t>2025_2026</t>
        </is>
      </c>
      <c r="F608" s="45" t="n">
        <v>4</v>
      </c>
      <c r="G608" s="46">
        <f>VLOOKUP(D608,'Cấu Hình Học Phí'!$A$8:$B$11,2,FALSE)</f>
        <v/>
      </c>
      <c r="H608" s="46">
        <f>F608*G608</f>
        <v/>
      </c>
      <c r="I608" s="45" t="n">
        <v>0</v>
      </c>
      <c r="J608" s="46">
        <f>I608*'Cấu Hình Học Phí'!$B$5</f>
        <v/>
      </c>
      <c r="K608" s="46" t="n">
        <v>0</v>
      </c>
      <c r="L608" s="46">
        <f>H608+J608-K608</f>
        <v/>
      </c>
      <c r="M608" s="46" t="n">
        <v>2200000</v>
      </c>
      <c r="N608" s="46" t="n">
        <v>0</v>
      </c>
      <c r="O608" s="46">
        <f>MAX(0,M608-N608-L608)</f>
        <v/>
      </c>
      <c r="P608" s="46">
        <f>MAX(0,L608-(M608-N608))</f>
        <v/>
      </c>
      <c r="Q608" s="45" t="inlineStr">
        <is>
          <t>30/09/2025</t>
        </is>
      </c>
      <c r="R608" s="45" t="inlineStr">
        <is>
          <t>PT2025-00605</t>
        </is>
      </c>
      <c r="S608" s="45" t="inlineStr"/>
    </row>
    <row r="609">
      <c r="A609" s="45" t="inlineStr">
        <is>
          <t>251210853</t>
        </is>
      </c>
      <c r="B609" s="45" t="inlineStr">
        <is>
          <t>NGUYỄN PHƯƠNG HẢI</t>
        </is>
      </c>
      <c r="C609" s="45" t="inlineStr">
        <is>
          <t>Công nghệ thông tin 3 K66</t>
        </is>
      </c>
      <c r="D609" s="45" t="inlineStr">
        <is>
          <t>Năm 2</t>
        </is>
      </c>
      <c r="E609" s="45" t="inlineStr">
        <is>
          <t>2026_2027</t>
        </is>
      </c>
      <c r="F609" s="45" t="n">
        <v>4</v>
      </c>
      <c r="G609" s="46">
        <f>VLOOKUP(D609,'Cấu Hình Học Phí'!$A$8:$B$11,2,FALSE)</f>
        <v/>
      </c>
      <c r="H609" s="46">
        <f>F609*G609</f>
        <v/>
      </c>
      <c r="I609" s="45" t="n">
        <v>1</v>
      </c>
      <c r="J609" s="46">
        <f>I609*'Cấu Hình Học Phí'!$B$5</f>
        <v/>
      </c>
      <c r="K609" s="46" t="n">
        <v>0</v>
      </c>
      <c r="L609" s="46">
        <f>H609+J609-K609</f>
        <v/>
      </c>
      <c r="M609" s="46" t="n">
        <v>3420000</v>
      </c>
      <c r="N609" s="46" t="n">
        <v>0</v>
      </c>
      <c r="O609" s="46">
        <f>MAX(0,M609-N609-L609)</f>
        <v/>
      </c>
      <c r="P609" s="46">
        <f>MAX(0,L609-(M609-N609))</f>
        <v/>
      </c>
      <c r="Q609" s="45" t="inlineStr">
        <is>
          <t>30/09/2026</t>
        </is>
      </c>
      <c r="R609" s="45" t="inlineStr">
        <is>
          <t>PT2026-00606</t>
        </is>
      </c>
      <c r="S609" s="45" t="inlineStr"/>
    </row>
    <row r="610">
      <c r="A610" s="45" t="inlineStr">
        <is>
          <t>251210853</t>
        </is>
      </c>
      <c r="B610" s="45" t="inlineStr">
        <is>
          <t>NGUYỄN PHƯƠNG HẢI</t>
        </is>
      </c>
      <c r="C610" s="45" t="inlineStr">
        <is>
          <t>Công nghệ thông tin 3 K66</t>
        </is>
      </c>
      <c r="D610" s="45" t="inlineStr">
        <is>
          <t>Năm 3</t>
        </is>
      </c>
      <c r="E610" s="45" t="inlineStr">
        <is>
          <t>2027_2028</t>
        </is>
      </c>
      <c r="F610" s="45" t="n">
        <v>4</v>
      </c>
      <c r="G610" s="46">
        <f>VLOOKUP(D610,'Cấu Hình Học Phí'!$A$8:$B$11,2,FALSE)</f>
        <v/>
      </c>
      <c r="H610" s="46">
        <f>F610*G610</f>
        <v/>
      </c>
      <c r="I610" s="45" t="n">
        <v>1</v>
      </c>
      <c r="J610" s="46">
        <f>I610*'Cấu Hình Học Phí'!$B$5</f>
        <v/>
      </c>
      <c r="K610" s="46" t="n">
        <v>0</v>
      </c>
      <c r="L610" s="46">
        <f>H610+J610-K610</f>
        <v/>
      </c>
      <c r="M610" s="46" t="n">
        <v>3662000</v>
      </c>
      <c r="N610" s="46" t="n">
        <v>0</v>
      </c>
      <c r="O610" s="46">
        <f>MAX(0,M610-N610-L610)</f>
        <v/>
      </c>
      <c r="P610" s="46">
        <f>MAX(0,L610-(M610-N610))</f>
        <v/>
      </c>
      <c r="Q610" s="45" t="inlineStr">
        <is>
          <t>30/09/2027</t>
        </is>
      </c>
      <c r="R610" s="45" t="inlineStr">
        <is>
          <t>PT2027-00607</t>
        </is>
      </c>
      <c r="S610" s="45" t="inlineStr"/>
    </row>
    <row r="611">
      <c r="A611" s="45" t="inlineStr">
        <is>
          <t>251210853</t>
        </is>
      </c>
      <c r="B611" s="45" t="inlineStr">
        <is>
          <t>NGUYỄN PHƯƠNG HẢI</t>
        </is>
      </c>
      <c r="C611" s="45" t="inlineStr">
        <is>
          <t>Công nghệ thông tin 3 K66</t>
        </is>
      </c>
      <c r="D611" s="45" t="inlineStr">
        <is>
          <t>Năm 4</t>
        </is>
      </c>
      <c r="E611" s="45" t="inlineStr">
        <is>
          <t>2028_2029</t>
        </is>
      </c>
      <c r="F611" s="45" t="n">
        <v>1</v>
      </c>
      <c r="G611" s="46">
        <f>VLOOKUP(D611,'Cấu Hình Học Phí'!$A$8:$B$11,2,FALSE)</f>
        <v/>
      </c>
      <c r="H611" s="46">
        <f>F611*G611</f>
        <v/>
      </c>
      <c r="I611" s="45" t="n">
        <v>0</v>
      </c>
      <c r="J611" s="46">
        <f>I611*'Cấu Hình Học Phí'!$B$5</f>
        <v/>
      </c>
      <c r="K611" s="46" t="n">
        <v>0</v>
      </c>
      <c r="L611" s="46">
        <f>H611+J611-K611</f>
        <v/>
      </c>
      <c r="M611" s="46" t="n">
        <v>732050</v>
      </c>
      <c r="N611" s="46" t="n">
        <v>0</v>
      </c>
      <c r="O611" s="46">
        <f>MAX(0,M611-N611-L611)</f>
        <v/>
      </c>
      <c r="P611" s="46">
        <f>MAX(0,L611-(M611-N611))</f>
        <v/>
      </c>
      <c r="Q611" s="45" t="inlineStr">
        <is>
          <t>30/09/2028</t>
        </is>
      </c>
      <c r="R611" s="45" t="inlineStr">
        <is>
          <t>PT2028-00608</t>
        </is>
      </c>
      <c r="S611" s="45" t="inlineStr"/>
    </row>
    <row r="612">
      <c r="A612" s="45" t="inlineStr">
        <is>
          <t>251230855</t>
        </is>
      </c>
      <c r="B612" s="45" t="inlineStr">
        <is>
          <t>TRỊNH MINH HÀO</t>
        </is>
      </c>
      <c r="C612" s="45" t="inlineStr">
        <is>
          <t>Công nghệ thông tin 3 K66</t>
        </is>
      </c>
      <c r="D612" s="45" t="inlineStr">
        <is>
          <t>Năm 1</t>
        </is>
      </c>
      <c r="E612" s="45" t="inlineStr">
        <is>
          <t>2025_2026</t>
        </is>
      </c>
      <c r="F612" s="45" t="n">
        <v>4</v>
      </c>
      <c r="G612" s="46">
        <f>VLOOKUP(D612,'Cấu Hình Học Phí'!$A$8:$B$11,2,FALSE)</f>
        <v/>
      </c>
      <c r="H612" s="46">
        <f>F612*G612</f>
        <v/>
      </c>
      <c r="I612" s="45" t="n">
        <v>1</v>
      </c>
      <c r="J612" s="46">
        <f>I612*'Cấu Hình Học Phí'!$B$5</f>
        <v/>
      </c>
      <c r="K612" s="46" t="n">
        <v>0</v>
      </c>
      <c r="L612" s="46">
        <f>H612+J612-K612</f>
        <v/>
      </c>
      <c r="M612" s="46" t="n">
        <v>3200000</v>
      </c>
      <c r="N612" s="46" t="n">
        <v>0</v>
      </c>
      <c r="O612" s="46">
        <f>MAX(0,M612-N612-L612)</f>
        <v/>
      </c>
      <c r="P612" s="46">
        <f>MAX(0,L612-(M612-N612))</f>
        <v/>
      </c>
      <c r="Q612" s="45" t="inlineStr">
        <is>
          <t>30/09/2025</t>
        </is>
      </c>
      <c r="R612" s="45" t="inlineStr">
        <is>
          <t>PT2025-00609</t>
        </is>
      </c>
      <c r="S612" s="45" t="inlineStr"/>
    </row>
    <row r="613">
      <c r="A613" s="45" t="inlineStr">
        <is>
          <t>251230855</t>
        </is>
      </c>
      <c r="B613" s="45" t="inlineStr">
        <is>
          <t>TRỊNH MINH HÀO</t>
        </is>
      </c>
      <c r="C613" s="45" t="inlineStr">
        <is>
          <t>Công nghệ thông tin 3 K66</t>
        </is>
      </c>
      <c r="D613" s="45" t="inlineStr">
        <is>
          <t>Năm 2</t>
        </is>
      </c>
      <c r="E613" s="45" t="inlineStr">
        <is>
          <t>2026_2027</t>
        </is>
      </c>
      <c r="F613" s="45" t="n">
        <v>4</v>
      </c>
      <c r="G613" s="46">
        <f>VLOOKUP(D613,'Cấu Hình Học Phí'!$A$8:$B$11,2,FALSE)</f>
        <v/>
      </c>
      <c r="H613" s="46">
        <f>F613*G613</f>
        <v/>
      </c>
      <c r="I613" s="45" t="n">
        <v>0</v>
      </c>
      <c r="J613" s="46">
        <f>I613*'Cấu Hình Học Phí'!$B$5</f>
        <v/>
      </c>
      <c r="K613" s="46" t="n">
        <v>0</v>
      </c>
      <c r="L613" s="46">
        <f>H613+J613-K613</f>
        <v/>
      </c>
      <c r="M613" s="46" t="n">
        <v>2420000</v>
      </c>
      <c r="N613" s="46" t="n">
        <v>0</v>
      </c>
      <c r="O613" s="46">
        <f>MAX(0,M613-N613-L613)</f>
        <v/>
      </c>
      <c r="P613" s="46">
        <f>MAX(0,L613-(M613-N613))</f>
        <v/>
      </c>
      <c r="Q613" s="45" t="inlineStr">
        <is>
          <t>30/09/2026</t>
        </is>
      </c>
      <c r="R613" s="45" t="inlineStr">
        <is>
          <t>PT2026-00610</t>
        </is>
      </c>
      <c r="S613" s="45" t="inlineStr"/>
    </row>
    <row r="614">
      <c r="A614" s="45" t="inlineStr">
        <is>
          <t>251230855</t>
        </is>
      </c>
      <c r="B614" s="45" t="inlineStr">
        <is>
          <t>TRỊNH MINH HÀO</t>
        </is>
      </c>
      <c r="C614" s="45" t="inlineStr">
        <is>
          <t>Công nghệ thông tin 3 K66</t>
        </is>
      </c>
      <c r="D614" s="45" t="inlineStr">
        <is>
          <t>Năm 3</t>
        </is>
      </c>
      <c r="E614" s="45" t="inlineStr">
        <is>
          <t>2027_2028</t>
        </is>
      </c>
      <c r="F614" s="45" t="n">
        <v>4</v>
      </c>
      <c r="G614" s="46">
        <f>VLOOKUP(D614,'Cấu Hình Học Phí'!$A$8:$B$11,2,FALSE)</f>
        <v/>
      </c>
      <c r="H614" s="46">
        <f>F614*G614</f>
        <v/>
      </c>
      <c r="I614" s="45" t="n">
        <v>0</v>
      </c>
      <c r="J614" s="46">
        <f>I614*'Cấu Hình Học Phí'!$B$5</f>
        <v/>
      </c>
      <c r="K614" s="46" t="n">
        <v>0</v>
      </c>
      <c r="L614" s="46">
        <f>H614+J614-K614</f>
        <v/>
      </c>
      <c r="M614" s="46" t="n">
        <v>2662000</v>
      </c>
      <c r="N614" s="46" t="n">
        <v>0</v>
      </c>
      <c r="O614" s="46">
        <f>MAX(0,M614-N614-L614)</f>
        <v/>
      </c>
      <c r="P614" s="46">
        <f>MAX(0,L614-(M614-N614))</f>
        <v/>
      </c>
      <c r="Q614" s="45" t="inlineStr">
        <is>
          <t>30/09/2027</t>
        </is>
      </c>
      <c r="R614" s="45" t="inlineStr">
        <is>
          <t>PT2027-00611</t>
        </is>
      </c>
      <c r="S614" s="45" t="inlineStr"/>
    </row>
    <row r="615">
      <c r="A615" s="45" t="inlineStr">
        <is>
          <t>251230855</t>
        </is>
      </c>
      <c r="B615" s="45" t="inlineStr">
        <is>
          <t>TRỊNH MINH HÀO</t>
        </is>
      </c>
      <c r="C615" s="45" t="inlineStr">
        <is>
          <t>Công nghệ thông tin 3 K66</t>
        </is>
      </c>
      <c r="D615" s="45" t="inlineStr">
        <is>
          <t>Năm 4</t>
        </is>
      </c>
      <c r="E615" s="45" t="inlineStr">
        <is>
          <t>2028_2029</t>
        </is>
      </c>
      <c r="F615" s="45" t="n">
        <v>1</v>
      </c>
      <c r="G615" s="46">
        <f>VLOOKUP(D615,'Cấu Hình Học Phí'!$A$8:$B$11,2,FALSE)</f>
        <v/>
      </c>
      <c r="H615" s="46">
        <f>F615*G615</f>
        <v/>
      </c>
      <c r="I615" s="45" t="n">
        <v>0</v>
      </c>
      <c r="J615" s="46">
        <f>I615*'Cấu Hình Học Phí'!$B$5</f>
        <v/>
      </c>
      <c r="K615" s="46" t="n">
        <v>0</v>
      </c>
      <c r="L615" s="46">
        <f>H615+J615-K615</f>
        <v/>
      </c>
      <c r="M615" s="46" t="n">
        <v>732050</v>
      </c>
      <c r="N615" s="46" t="n">
        <v>0</v>
      </c>
      <c r="O615" s="46">
        <f>MAX(0,M615-N615-L615)</f>
        <v/>
      </c>
      <c r="P615" s="46">
        <f>MAX(0,L615-(M615-N615))</f>
        <v/>
      </c>
      <c r="Q615" s="45" t="inlineStr">
        <is>
          <t>30/09/2028</t>
        </is>
      </c>
      <c r="R615" s="45" t="inlineStr">
        <is>
          <t>PT2028-00612</t>
        </is>
      </c>
      <c r="S615" s="45" t="inlineStr"/>
    </row>
    <row r="616">
      <c r="A616" s="45" t="inlineStr">
        <is>
          <t>251210865</t>
        </is>
      </c>
      <c r="B616" s="45" t="inlineStr">
        <is>
          <t>NGÔ KHÁNH HOÀNG</t>
        </is>
      </c>
      <c r="C616" s="45" t="inlineStr">
        <is>
          <t>Công nghệ thông tin 3 K66</t>
        </is>
      </c>
      <c r="D616" s="45" t="inlineStr">
        <is>
          <t>Năm 1</t>
        </is>
      </c>
      <c r="E616" s="45" t="inlineStr">
        <is>
          <t>2025_2026</t>
        </is>
      </c>
      <c r="F616" s="45" t="n">
        <v>4</v>
      </c>
      <c r="G616" s="46">
        <f>VLOOKUP(D616,'Cấu Hình Học Phí'!$A$8:$B$11,2,FALSE)</f>
        <v/>
      </c>
      <c r="H616" s="46">
        <f>F616*G616</f>
        <v/>
      </c>
      <c r="I616" s="45" t="n">
        <v>1</v>
      </c>
      <c r="J616" s="46">
        <f>I616*'Cấu Hình Học Phí'!$B$5</f>
        <v/>
      </c>
      <c r="K616" s="46" t="n">
        <v>0</v>
      </c>
      <c r="L616" s="46">
        <f>H616+J616-K616</f>
        <v/>
      </c>
      <c r="M616" s="46" t="n">
        <v>3200000</v>
      </c>
      <c r="N616" s="46" t="n">
        <v>0</v>
      </c>
      <c r="O616" s="46">
        <f>MAX(0,M616-N616-L616)</f>
        <v/>
      </c>
      <c r="P616" s="46">
        <f>MAX(0,L616-(M616-N616))</f>
        <v/>
      </c>
      <c r="Q616" s="45" t="inlineStr">
        <is>
          <t>30/09/2025</t>
        </is>
      </c>
      <c r="R616" s="45" t="inlineStr">
        <is>
          <t>PT2025-00613</t>
        </is>
      </c>
      <c r="S616" s="45" t="inlineStr"/>
    </row>
    <row r="617">
      <c r="A617" s="45" t="inlineStr">
        <is>
          <t>251210865</t>
        </is>
      </c>
      <c r="B617" s="45" t="inlineStr">
        <is>
          <t>NGÔ KHÁNH HOÀNG</t>
        </is>
      </c>
      <c r="C617" s="45" t="inlineStr">
        <is>
          <t>Công nghệ thông tin 3 K66</t>
        </is>
      </c>
      <c r="D617" s="45" t="inlineStr">
        <is>
          <t>Năm 2</t>
        </is>
      </c>
      <c r="E617" s="45" t="inlineStr">
        <is>
          <t>2026_2027</t>
        </is>
      </c>
      <c r="F617" s="45" t="n">
        <v>4</v>
      </c>
      <c r="G617" s="46">
        <f>VLOOKUP(D617,'Cấu Hình Học Phí'!$A$8:$B$11,2,FALSE)</f>
        <v/>
      </c>
      <c r="H617" s="46">
        <f>F617*G617</f>
        <v/>
      </c>
      <c r="I617" s="45" t="n">
        <v>1</v>
      </c>
      <c r="J617" s="46">
        <f>I617*'Cấu Hình Học Phí'!$B$5</f>
        <v/>
      </c>
      <c r="K617" s="46" t="n">
        <v>0</v>
      </c>
      <c r="L617" s="46">
        <f>H617+J617-K617</f>
        <v/>
      </c>
      <c r="M617" s="46" t="n">
        <v>3420000</v>
      </c>
      <c r="N617" s="46" t="n">
        <v>0</v>
      </c>
      <c r="O617" s="46">
        <f>MAX(0,M617-N617-L617)</f>
        <v/>
      </c>
      <c r="P617" s="46">
        <f>MAX(0,L617-(M617-N617))</f>
        <v/>
      </c>
      <c r="Q617" s="45" t="inlineStr">
        <is>
          <t>30/09/2026</t>
        </is>
      </c>
      <c r="R617" s="45" t="inlineStr">
        <is>
          <t>PT2026-00614</t>
        </is>
      </c>
      <c r="S617" s="45" t="inlineStr"/>
    </row>
    <row r="618">
      <c r="A618" s="45" t="inlineStr">
        <is>
          <t>251210865</t>
        </is>
      </c>
      <c r="B618" s="45" t="inlineStr">
        <is>
          <t>NGÔ KHÁNH HOÀNG</t>
        </is>
      </c>
      <c r="C618" s="45" t="inlineStr">
        <is>
          <t>Công nghệ thông tin 3 K66</t>
        </is>
      </c>
      <c r="D618" s="45" t="inlineStr">
        <is>
          <t>Năm 3</t>
        </is>
      </c>
      <c r="E618" s="45" t="inlineStr">
        <is>
          <t>2027_2028</t>
        </is>
      </c>
      <c r="F618" s="45" t="n">
        <v>4</v>
      </c>
      <c r="G618" s="46">
        <f>VLOOKUP(D618,'Cấu Hình Học Phí'!$A$8:$B$11,2,FALSE)</f>
        <v/>
      </c>
      <c r="H618" s="46">
        <f>F618*G618</f>
        <v/>
      </c>
      <c r="I618" s="45" t="n">
        <v>0</v>
      </c>
      <c r="J618" s="46">
        <f>I618*'Cấu Hình Học Phí'!$B$5</f>
        <v/>
      </c>
      <c r="K618" s="46" t="n">
        <v>0</v>
      </c>
      <c r="L618" s="46">
        <f>H618+J618-K618</f>
        <v/>
      </c>
      <c r="M618" s="46" t="n">
        <v>2662000</v>
      </c>
      <c r="N618" s="46" t="n">
        <v>0</v>
      </c>
      <c r="O618" s="46">
        <f>MAX(0,M618-N618-L618)</f>
        <v/>
      </c>
      <c r="P618" s="46">
        <f>MAX(0,L618-(M618-N618))</f>
        <v/>
      </c>
      <c r="Q618" s="45" t="inlineStr">
        <is>
          <t>30/09/2027</t>
        </is>
      </c>
      <c r="R618" s="45" t="inlineStr">
        <is>
          <t>PT2027-00615</t>
        </is>
      </c>
      <c r="S618" s="45" t="inlineStr"/>
    </row>
    <row r="619">
      <c r="A619" s="45" t="inlineStr">
        <is>
          <t>251210865</t>
        </is>
      </c>
      <c r="B619" s="45" t="inlineStr">
        <is>
          <t>NGÔ KHÁNH HOÀNG</t>
        </is>
      </c>
      <c r="C619" s="45" t="inlineStr">
        <is>
          <t>Công nghệ thông tin 3 K66</t>
        </is>
      </c>
      <c r="D619" s="45" t="inlineStr">
        <is>
          <t>Năm 4</t>
        </is>
      </c>
      <c r="E619" s="45" t="inlineStr">
        <is>
          <t>2028_2029</t>
        </is>
      </c>
      <c r="F619" s="45" t="n">
        <v>1</v>
      </c>
      <c r="G619" s="46">
        <f>VLOOKUP(D619,'Cấu Hình Học Phí'!$A$8:$B$11,2,FALSE)</f>
        <v/>
      </c>
      <c r="H619" s="46">
        <f>F619*G619</f>
        <v/>
      </c>
      <c r="I619" s="45" t="n">
        <v>0</v>
      </c>
      <c r="J619" s="46">
        <f>I619*'Cấu Hình Học Phí'!$B$5</f>
        <v/>
      </c>
      <c r="K619" s="46" t="n">
        <v>0</v>
      </c>
      <c r="L619" s="46">
        <f>H619+J619-K619</f>
        <v/>
      </c>
      <c r="M619" s="46" t="n">
        <v>732050</v>
      </c>
      <c r="N619" s="46" t="n">
        <v>0</v>
      </c>
      <c r="O619" s="46">
        <f>MAX(0,M619-N619-L619)</f>
        <v/>
      </c>
      <c r="P619" s="46">
        <f>MAX(0,L619-(M619-N619))</f>
        <v/>
      </c>
      <c r="Q619" s="45" t="inlineStr">
        <is>
          <t>30/09/2028</t>
        </is>
      </c>
      <c r="R619" s="45" t="inlineStr">
        <is>
          <t>PT2028-00616</t>
        </is>
      </c>
      <c r="S619" s="45" t="inlineStr"/>
    </row>
    <row r="620">
      <c r="A620" s="45" t="inlineStr">
        <is>
          <t>251210870</t>
        </is>
      </c>
      <c r="B620" s="45" t="inlineStr">
        <is>
          <t>BÙI VIỆT HÙNG</t>
        </is>
      </c>
      <c r="C620" s="45" t="inlineStr">
        <is>
          <t>Công nghệ thông tin 3 K66</t>
        </is>
      </c>
      <c r="D620" s="45" t="inlineStr">
        <is>
          <t>Năm 1</t>
        </is>
      </c>
      <c r="E620" s="45" t="inlineStr">
        <is>
          <t>2025_2026</t>
        </is>
      </c>
      <c r="F620" s="45" t="n">
        <v>4</v>
      </c>
      <c r="G620" s="46">
        <f>VLOOKUP(D620,'Cấu Hình Học Phí'!$A$8:$B$11,2,FALSE)</f>
        <v/>
      </c>
      <c r="H620" s="46">
        <f>F620*G620</f>
        <v/>
      </c>
      <c r="I620" s="45" t="n">
        <v>1</v>
      </c>
      <c r="J620" s="46">
        <f>I620*'Cấu Hình Học Phí'!$B$5</f>
        <v/>
      </c>
      <c r="K620" s="46" t="n">
        <v>0</v>
      </c>
      <c r="L620" s="46">
        <f>H620+J620-K620</f>
        <v/>
      </c>
      <c r="M620" s="46" t="n">
        <v>2200000</v>
      </c>
      <c r="N620" s="46" t="n">
        <v>0</v>
      </c>
      <c r="O620" s="46">
        <f>MAX(0,M620-N620-L620)</f>
        <v/>
      </c>
      <c r="P620" s="46">
        <f>MAX(0,L620-(M620-N620))</f>
        <v/>
      </c>
      <c r="Q620" s="45" t="inlineStr">
        <is>
          <t>30/09/2025</t>
        </is>
      </c>
      <c r="R620" s="45" t="inlineStr">
        <is>
          <t>PT2025-00617</t>
        </is>
      </c>
      <c r="S620" s="45" t="inlineStr">
        <is>
          <t>Chưa nộp phí phụ đạo 1 môn</t>
        </is>
      </c>
    </row>
    <row r="621">
      <c r="A621" s="45" t="inlineStr">
        <is>
          <t>251210870</t>
        </is>
      </c>
      <c r="B621" s="45" t="inlineStr">
        <is>
          <t>BÙI VIỆT HÙNG</t>
        </is>
      </c>
      <c r="C621" s="45" t="inlineStr">
        <is>
          <t>Công nghệ thông tin 3 K66</t>
        </is>
      </c>
      <c r="D621" s="45" t="inlineStr">
        <is>
          <t>Năm 2</t>
        </is>
      </c>
      <c r="E621" s="45" t="inlineStr">
        <is>
          <t>2026_2027</t>
        </is>
      </c>
      <c r="F621" s="45" t="n">
        <v>4</v>
      </c>
      <c r="G621" s="46">
        <f>VLOOKUP(D621,'Cấu Hình Học Phí'!$A$8:$B$11,2,FALSE)</f>
        <v/>
      </c>
      <c r="H621" s="46">
        <f>F621*G621</f>
        <v/>
      </c>
      <c r="I621" s="45" t="n">
        <v>0</v>
      </c>
      <c r="J621" s="46">
        <f>I621*'Cấu Hình Học Phí'!$B$5</f>
        <v/>
      </c>
      <c r="K621" s="46" t="n">
        <v>0</v>
      </c>
      <c r="L621" s="46">
        <f>H621+J621-K621</f>
        <v/>
      </c>
      <c r="M621" s="46" t="n">
        <v>2420000</v>
      </c>
      <c r="N621" s="46" t="n">
        <v>0</v>
      </c>
      <c r="O621" s="46">
        <f>MAX(0,M621-N621-L621)</f>
        <v/>
      </c>
      <c r="P621" s="46">
        <f>MAX(0,L621-(M621-N621))</f>
        <v/>
      </c>
      <c r="Q621" s="45" t="inlineStr">
        <is>
          <t>30/09/2026</t>
        </is>
      </c>
      <c r="R621" s="45" t="inlineStr">
        <is>
          <t>PT2026-00618</t>
        </is>
      </c>
      <c r="S621" s="45" t="inlineStr"/>
    </row>
    <row r="622">
      <c r="A622" s="45" t="inlineStr">
        <is>
          <t>251210870</t>
        </is>
      </c>
      <c r="B622" s="45" t="inlineStr">
        <is>
          <t>BÙI VIỆT HÙNG</t>
        </is>
      </c>
      <c r="C622" s="45" t="inlineStr">
        <is>
          <t>Công nghệ thông tin 3 K66</t>
        </is>
      </c>
      <c r="D622" s="45" t="inlineStr">
        <is>
          <t>Năm 3</t>
        </is>
      </c>
      <c r="E622" s="45" t="inlineStr">
        <is>
          <t>2027_2028</t>
        </is>
      </c>
      <c r="F622" s="45" t="n">
        <v>4</v>
      </c>
      <c r="G622" s="46">
        <f>VLOOKUP(D622,'Cấu Hình Học Phí'!$A$8:$B$11,2,FALSE)</f>
        <v/>
      </c>
      <c r="H622" s="46">
        <f>F622*G622</f>
        <v/>
      </c>
      <c r="I622" s="45" t="n">
        <v>0</v>
      </c>
      <c r="J622" s="46">
        <f>I622*'Cấu Hình Học Phí'!$B$5</f>
        <v/>
      </c>
      <c r="K622" s="46" t="n">
        <v>0</v>
      </c>
      <c r="L622" s="46">
        <f>H622+J622-K622</f>
        <v/>
      </c>
      <c r="M622" s="46" t="n">
        <v>2662000</v>
      </c>
      <c r="N622" s="46" t="n">
        <v>0</v>
      </c>
      <c r="O622" s="46">
        <f>MAX(0,M622-N622-L622)</f>
        <v/>
      </c>
      <c r="P622" s="46">
        <f>MAX(0,L622-(M622-N622))</f>
        <v/>
      </c>
      <c r="Q622" s="45" t="inlineStr">
        <is>
          <t>30/09/2027</t>
        </is>
      </c>
      <c r="R622" s="45" t="inlineStr">
        <is>
          <t>PT2027-00619</t>
        </is>
      </c>
      <c r="S622" s="45" t="inlineStr"/>
    </row>
    <row r="623">
      <c r="A623" s="45" t="inlineStr">
        <is>
          <t>251210870</t>
        </is>
      </c>
      <c r="B623" s="45" t="inlineStr">
        <is>
          <t>BÙI VIỆT HÙNG</t>
        </is>
      </c>
      <c r="C623" s="45" t="inlineStr">
        <is>
          <t>Công nghệ thông tin 3 K66</t>
        </is>
      </c>
      <c r="D623" s="45" t="inlineStr">
        <is>
          <t>Năm 4</t>
        </is>
      </c>
      <c r="E623" s="45" t="inlineStr">
        <is>
          <t>2028_2029</t>
        </is>
      </c>
      <c r="F623" s="45" t="n">
        <v>1</v>
      </c>
      <c r="G623" s="46">
        <f>VLOOKUP(D623,'Cấu Hình Học Phí'!$A$8:$B$11,2,FALSE)</f>
        <v/>
      </c>
      <c r="H623" s="46">
        <f>F623*G623</f>
        <v/>
      </c>
      <c r="I623" s="45" t="n">
        <v>0</v>
      </c>
      <c r="J623" s="46">
        <f>I623*'Cấu Hình Học Phí'!$B$5</f>
        <v/>
      </c>
      <c r="K623" s="46" t="n">
        <v>0</v>
      </c>
      <c r="L623" s="46">
        <f>H623+J623-K623</f>
        <v/>
      </c>
      <c r="M623" s="46" t="n">
        <v>732050</v>
      </c>
      <c r="N623" s="46" t="n">
        <v>0</v>
      </c>
      <c r="O623" s="46">
        <f>MAX(0,M623-N623-L623)</f>
        <v/>
      </c>
      <c r="P623" s="46">
        <f>MAX(0,L623-(M623-N623))</f>
        <v/>
      </c>
      <c r="Q623" s="45" t="inlineStr">
        <is>
          <t>30/09/2028</t>
        </is>
      </c>
      <c r="R623" s="45" t="inlineStr">
        <is>
          <t>PT2028-00620</t>
        </is>
      </c>
      <c r="S623" s="45" t="inlineStr"/>
    </row>
    <row r="624">
      <c r="A624" s="45" t="inlineStr">
        <is>
          <t>251210878</t>
        </is>
      </c>
      <c r="B624" s="45" t="inlineStr">
        <is>
          <t>NGUYỄN HỒNG HƯNG</t>
        </is>
      </c>
      <c r="C624" s="45" t="inlineStr">
        <is>
          <t>Công nghệ thông tin 3 K66</t>
        </is>
      </c>
      <c r="D624" s="45" t="inlineStr">
        <is>
          <t>Năm 1</t>
        </is>
      </c>
      <c r="E624" s="45" t="inlineStr">
        <is>
          <t>2025_2026</t>
        </is>
      </c>
      <c r="F624" s="45" t="n">
        <v>4</v>
      </c>
      <c r="G624" s="46">
        <f>VLOOKUP(D624,'Cấu Hình Học Phí'!$A$8:$B$11,2,FALSE)</f>
        <v/>
      </c>
      <c r="H624" s="46">
        <f>F624*G624</f>
        <v/>
      </c>
      <c r="I624" s="45" t="n">
        <v>1</v>
      </c>
      <c r="J624" s="46">
        <f>I624*'Cấu Hình Học Phí'!$B$5</f>
        <v/>
      </c>
      <c r="K624" s="46" t="n">
        <v>0</v>
      </c>
      <c r="L624" s="46">
        <f>H624+J624-K624</f>
        <v/>
      </c>
      <c r="M624" s="46" t="n">
        <v>3200000</v>
      </c>
      <c r="N624" s="46" t="n">
        <v>0</v>
      </c>
      <c r="O624" s="46">
        <f>MAX(0,M624-N624-L624)</f>
        <v/>
      </c>
      <c r="P624" s="46">
        <f>MAX(0,L624-(M624-N624))</f>
        <v/>
      </c>
      <c r="Q624" s="45" t="inlineStr">
        <is>
          <t>30/09/2025</t>
        </is>
      </c>
      <c r="R624" s="45" t="inlineStr">
        <is>
          <t>PT2025-00621</t>
        </is>
      </c>
      <c r="S624" s="45" t="inlineStr"/>
    </row>
    <row r="625">
      <c r="A625" s="45" t="inlineStr">
        <is>
          <t>251210878</t>
        </is>
      </c>
      <c r="B625" s="45" t="inlineStr">
        <is>
          <t>NGUYỄN HỒNG HƯNG</t>
        </is>
      </c>
      <c r="C625" s="45" t="inlineStr">
        <is>
          <t>Công nghệ thông tin 3 K66</t>
        </is>
      </c>
      <c r="D625" s="45" t="inlineStr">
        <is>
          <t>Năm 2</t>
        </is>
      </c>
      <c r="E625" s="45" t="inlineStr">
        <is>
          <t>2026_2027</t>
        </is>
      </c>
      <c r="F625" s="45" t="n">
        <v>4</v>
      </c>
      <c r="G625" s="46">
        <f>VLOOKUP(D625,'Cấu Hình Học Phí'!$A$8:$B$11,2,FALSE)</f>
        <v/>
      </c>
      <c r="H625" s="46">
        <f>F625*G625</f>
        <v/>
      </c>
      <c r="I625" s="45" t="n">
        <v>0</v>
      </c>
      <c r="J625" s="46">
        <f>I625*'Cấu Hình Học Phí'!$B$5</f>
        <v/>
      </c>
      <c r="K625" s="46" t="n">
        <v>0</v>
      </c>
      <c r="L625" s="46">
        <f>H625+J625-K625</f>
        <v/>
      </c>
      <c r="M625" s="46" t="n">
        <v>2420000</v>
      </c>
      <c r="N625" s="46" t="n">
        <v>0</v>
      </c>
      <c r="O625" s="46">
        <f>MAX(0,M625-N625-L625)</f>
        <v/>
      </c>
      <c r="P625" s="46">
        <f>MAX(0,L625-(M625-N625))</f>
        <v/>
      </c>
      <c r="Q625" s="45" t="inlineStr">
        <is>
          <t>30/09/2026</t>
        </is>
      </c>
      <c r="R625" s="45" t="inlineStr">
        <is>
          <t>PT2026-00622</t>
        </is>
      </c>
      <c r="S625" s="45" t="inlineStr"/>
    </row>
    <row r="626">
      <c r="A626" s="45" t="inlineStr">
        <is>
          <t>251210878</t>
        </is>
      </c>
      <c r="B626" s="45" t="inlineStr">
        <is>
          <t>NGUYỄN HỒNG HƯNG</t>
        </is>
      </c>
      <c r="C626" s="45" t="inlineStr">
        <is>
          <t>Công nghệ thông tin 3 K66</t>
        </is>
      </c>
      <c r="D626" s="45" t="inlineStr">
        <is>
          <t>Năm 3</t>
        </is>
      </c>
      <c r="E626" s="45" t="inlineStr">
        <is>
          <t>2027_2028</t>
        </is>
      </c>
      <c r="F626" s="45" t="n">
        <v>4</v>
      </c>
      <c r="G626" s="46">
        <f>VLOOKUP(D626,'Cấu Hình Học Phí'!$A$8:$B$11,2,FALSE)</f>
        <v/>
      </c>
      <c r="H626" s="46">
        <f>F626*G626</f>
        <v/>
      </c>
      <c r="I626" s="45" t="n">
        <v>2</v>
      </c>
      <c r="J626" s="46">
        <f>I626*'Cấu Hình Học Phí'!$B$5</f>
        <v/>
      </c>
      <c r="K626" s="46" t="n">
        <v>0</v>
      </c>
      <c r="L626" s="46">
        <f>H626+J626-K626</f>
        <v/>
      </c>
      <c r="M626" s="46" t="n">
        <v>4662000</v>
      </c>
      <c r="N626" s="46" t="n">
        <v>0</v>
      </c>
      <c r="O626" s="46">
        <f>MAX(0,M626-N626-L626)</f>
        <v/>
      </c>
      <c r="P626" s="46">
        <f>MAX(0,L626-(M626-N626))</f>
        <v/>
      </c>
      <c r="Q626" s="45" t="inlineStr">
        <is>
          <t>30/09/2027</t>
        </is>
      </c>
      <c r="R626" s="45" t="inlineStr">
        <is>
          <t>PT2027-00623</t>
        </is>
      </c>
      <c r="S626" s="45" t="inlineStr"/>
    </row>
    <row r="627">
      <c r="A627" s="45" t="inlineStr">
        <is>
          <t>251210878</t>
        </is>
      </c>
      <c r="B627" s="45" t="inlineStr">
        <is>
          <t>NGUYỄN HỒNG HƯNG</t>
        </is>
      </c>
      <c r="C627" s="45" t="inlineStr">
        <is>
          <t>Công nghệ thông tin 3 K66</t>
        </is>
      </c>
      <c r="D627" s="45" t="inlineStr">
        <is>
          <t>Năm 4</t>
        </is>
      </c>
      <c r="E627" s="45" t="inlineStr">
        <is>
          <t>2028_2029</t>
        </is>
      </c>
      <c r="F627" s="45" t="n">
        <v>1</v>
      </c>
      <c r="G627" s="46">
        <f>VLOOKUP(D627,'Cấu Hình Học Phí'!$A$8:$B$11,2,FALSE)</f>
        <v/>
      </c>
      <c r="H627" s="46">
        <f>F627*G627</f>
        <v/>
      </c>
      <c r="I627" s="45" t="n">
        <v>0</v>
      </c>
      <c r="J627" s="46">
        <f>I627*'Cấu Hình Học Phí'!$B$5</f>
        <v/>
      </c>
      <c r="K627" s="46" t="n">
        <v>0</v>
      </c>
      <c r="L627" s="46">
        <f>H627+J627-K627</f>
        <v/>
      </c>
      <c r="M627" s="46" t="n">
        <v>732050</v>
      </c>
      <c r="N627" s="46" t="n">
        <v>0</v>
      </c>
      <c r="O627" s="46">
        <f>MAX(0,M627-N627-L627)</f>
        <v/>
      </c>
      <c r="P627" s="46">
        <f>MAX(0,L627-(M627-N627))</f>
        <v/>
      </c>
      <c r="Q627" s="45" t="inlineStr">
        <is>
          <t>30/09/2028</t>
        </is>
      </c>
      <c r="R627" s="45" t="inlineStr">
        <is>
          <t>PT2028-00624</t>
        </is>
      </c>
      <c r="S627" s="45" t="inlineStr"/>
    </row>
    <row r="628">
      <c r="A628" s="45" t="inlineStr">
        <is>
          <t>251230879</t>
        </is>
      </c>
      <c r="B628" s="45" t="inlineStr">
        <is>
          <t>NGUYỄN QUANG HƯNG</t>
        </is>
      </c>
      <c r="C628" s="45" t="inlineStr">
        <is>
          <t>Công nghệ thông tin 3 K66</t>
        </is>
      </c>
      <c r="D628" s="45" t="inlineStr">
        <is>
          <t>Năm 1</t>
        </is>
      </c>
      <c r="E628" s="45" t="inlineStr">
        <is>
          <t>2025_2026</t>
        </is>
      </c>
      <c r="F628" s="45" t="n">
        <v>4</v>
      </c>
      <c r="G628" s="46">
        <f>VLOOKUP(D628,'Cấu Hình Học Phí'!$A$8:$B$11,2,FALSE)</f>
        <v/>
      </c>
      <c r="H628" s="46">
        <f>F628*G628</f>
        <v/>
      </c>
      <c r="I628" s="45" t="n">
        <v>0</v>
      </c>
      <c r="J628" s="46">
        <f>I628*'Cấu Hình Học Phí'!$B$5</f>
        <v/>
      </c>
      <c r="K628" s="46" t="n">
        <v>0</v>
      </c>
      <c r="L628" s="46">
        <f>H628+J628-K628</f>
        <v/>
      </c>
      <c r="M628" s="46" t="n">
        <v>2200000</v>
      </c>
      <c r="N628" s="46" t="n">
        <v>0</v>
      </c>
      <c r="O628" s="46">
        <f>MAX(0,M628-N628-L628)</f>
        <v/>
      </c>
      <c r="P628" s="46">
        <f>MAX(0,L628-(M628-N628))</f>
        <v/>
      </c>
      <c r="Q628" s="45" t="inlineStr">
        <is>
          <t>30/09/2025</t>
        </is>
      </c>
      <c r="R628" s="45" t="inlineStr">
        <is>
          <t>PT2025-00625</t>
        </is>
      </c>
      <c r="S628" s="45" t="inlineStr"/>
    </row>
    <row r="629">
      <c r="A629" s="45" t="inlineStr">
        <is>
          <t>251230879</t>
        </is>
      </c>
      <c r="B629" s="45" t="inlineStr">
        <is>
          <t>NGUYỄN QUANG HƯNG</t>
        </is>
      </c>
      <c r="C629" s="45" t="inlineStr">
        <is>
          <t>Công nghệ thông tin 3 K66</t>
        </is>
      </c>
      <c r="D629" s="45" t="inlineStr">
        <is>
          <t>Năm 2</t>
        </is>
      </c>
      <c r="E629" s="45" t="inlineStr">
        <is>
          <t>2026_2027</t>
        </is>
      </c>
      <c r="F629" s="45" t="n">
        <v>4</v>
      </c>
      <c r="G629" s="46">
        <f>VLOOKUP(D629,'Cấu Hình Học Phí'!$A$8:$B$11,2,FALSE)</f>
        <v/>
      </c>
      <c r="H629" s="46">
        <f>F629*G629</f>
        <v/>
      </c>
      <c r="I629" s="45" t="n">
        <v>1</v>
      </c>
      <c r="J629" s="46">
        <f>I629*'Cấu Hình Học Phí'!$B$5</f>
        <v/>
      </c>
      <c r="K629" s="46" t="n">
        <v>0</v>
      </c>
      <c r="L629" s="46">
        <f>H629+J629-K629</f>
        <v/>
      </c>
      <c r="M629" s="46" t="n">
        <v>3420000</v>
      </c>
      <c r="N629" s="46" t="n">
        <v>0</v>
      </c>
      <c r="O629" s="46">
        <f>MAX(0,M629-N629-L629)</f>
        <v/>
      </c>
      <c r="P629" s="46">
        <f>MAX(0,L629-(M629-N629))</f>
        <v/>
      </c>
      <c r="Q629" s="45" t="inlineStr">
        <is>
          <t>30/09/2026</t>
        </is>
      </c>
      <c r="R629" s="45" t="inlineStr">
        <is>
          <t>PT2026-00626</t>
        </is>
      </c>
      <c r="S629" s="45" t="inlineStr"/>
    </row>
    <row r="630">
      <c r="A630" s="45" t="inlineStr">
        <is>
          <t>251230879</t>
        </is>
      </c>
      <c r="B630" s="45" t="inlineStr">
        <is>
          <t>NGUYỄN QUANG HƯNG</t>
        </is>
      </c>
      <c r="C630" s="45" t="inlineStr">
        <is>
          <t>Công nghệ thông tin 3 K66</t>
        </is>
      </c>
      <c r="D630" s="45" t="inlineStr">
        <is>
          <t>Năm 3</t>
        </is>
      </c>
      <c r="E630" s="45" t="inlineStr">
        <is>
          <t>2027_2028</t>
        </is>
      </c>
      <c r="F630" s="45" t="n">
        <v>4</v>
      </c>
      <c r="G630" s="46">
        <f>VLOOKUP(D630,'Cấu Hình Học Phí'!$A$8:$B$11,2,FALSE)</f>
        <v/>
      </c>
      <c r="H630" s="46">
        <f>F630*G630</f>
        <v/>
      </c>
      <c r="I630" s="45" t="n">
        <v>0</v>
      </c>
      <c r="J630" s="46">
        <f>I630*'Cấu Hình Học Phí'!$B$5</f>
        <v/>
      </c>
      <c r="K630" s="46" t="n">
        <v>0</v>
      </c>
      <c r="L630" s="46">
        <f>H630+J630-K630</f>
        <v/>
      </c>
      <c r="M630" s="46" t="n">
        <v>2662000</v>
      </c>
      <c r="N630" s="46" t="n">
        <v>0</v>
      </c>
      <c r="O630" s="46">
        <f>MAX(0,M630-N630-L630)</f>
        <v/>
      </c>
      <c r="P630" s="46">
        <f>MAX(0,L630-(M630-N630))</f>
        <v/>
      </c>
      <c r="Q630" s="45" t="inlineStr">
        <is>
          <t>30/09/2027</t>
        </is>
      </c>
      <c r="R630" s="45" t="inlineStr">
        <is>
          <t>PT2027-00627</t>
        </is>
      </c>
      <c r="S630" s="45" t="inlineStr"/>
    </row>
    <row r="631">
      <c r="A631" s="45" t="inlineStr">
        <is>
          <t>251230879</t>
        </is>
      </c>
      <c r="B631" s="45" t="inlineStr">
        <is>
          <t>NGUYỄN QUANG HƯNG</t>
        </is>
      </c>
      <c r="C631" s="45" t="inlineStr">
        <is>
          <t>Công nghệ thông tin 3 K66</t>
        </is>
      </c>
      <c r="D631" s="45" t="inlineStr">
        <is>
          <t>Năm 4</t>
        </is>
      </c>
      <c r="E631" s="45" t="inlineStr">
        <is>
          <t>2028_2029</t>
        </is>
      </c>
      <c r="F631" s="45" t="n">
        <v>1</v>
      </c>
      <c r="G631" s="46">
        <f>VLOOKUP(D631,'Cấu Hình Học Phí'!$A$8:$B$11,2,FALSE)</f>
        <v/>
      </c>
      <c r="H631" s="46">
        <f>F631*G631</f>
        <v/>
      </c>
      <c r="I631" s="45" t="n">
        <v>0</v>
      </c>
      <c r="J631" s="46">
        <f>I631*'Cấu Hình Học Phí'!$B$5</f>
        <v/>
      </c>
      <c r="K631" s="46" t="n">
        <v>0</v>
      </c>
      <c r="L631" s="46">
        <f>H631+J631-K631</f>
        <v/>
      </c>
      <c r="M631" s="46" t="n">
        <v>732050</v>
      </c>
      <c r="N631" s="46" t="n">
        <v>0</v>
      </c>
      <c r="O631" s="46">
        <f>MAX(0,M631-N631-L631)</f>
        <v/>
      </c>
      <c r="P631" s="46">
        <f>MAX(0,L631-(M631-N631))</f>
        <v/>
      </c>
      <c r="Q631" s="45" t="inlineStr">
        <is>
          <t>30/09/2028</t>
        </is>
      </c>
      <c r="R631" s="45" t="inlineStr">
        <is>
          <t>PT2028-00628</t>
        </is>
      </c>
      <c r="S631" s="45" t="inlineStr"/>
    </row>
    <row r="632">
      <c r="A632" s="45" t="inlineStr">
        <is>
          <t>251210880</t>
        </is>
      </c>
      <c r="B632" s="45" t="inlineStr">
        <is>
          <t>PHẠM GIA HƯNG</t>
        </is>
      </c>
      <c r="C632" s="45" t="inlineStr">
        <is>
          <t>Công nghệ thông tin 3 K66</t>
        </is>
      </c>
      <c r="D632" s="45" t="inlineStr">
        <is>
          <t>Năm 1</t>
        </is>
      </c>
      <c r="E632" s="45" t="inlineStr">
        <is>
          <t>2025_2026</t>
        </is>
      </c>
      <c r="F632" s="45" t="n">
        <v>4</v>
      </c>
      <c r="G632" s="46">
        <f>VLOOKUP(D632,'Cấu Hình Học Phí'!$A$8:$B$11,2,FALSE)</f>
        <v/>
      </c>
      <c r="H632" s="46">
        <f>F632*G632</f>
        <v/>
      </c>
      <c r="I632" s="45" t="n">
        <v>0</v>
      </c>
      <c r="J632" s="46">
        <f>I632*'Cấu Hình Học Phí'!$B$5</f>
        <v/>
      </c>
      <c r="K632" s="46" t="n">
        <v>0</v>
      </c>
      <c r="L632" s="46">
        <f>H632+J632-K632</f>
        <v/>
      </c>
      <c r="M632" s="46" t="n">
        <v>2200000</v>
      </c>
      <c r="N632" s="46" t="n">
        <v>0</v>
      </c>
      <c r="O632" s="46">
        <f>MAX(0,M632-N632-L632)</f>
        <v/>
      </c>
      <c r="P632" s="46">
        <f>MAX(0,L632-(M632-N632))</f>
        <v/>
      </c>
      <c r="Q632" s="45" t="inlineStr">
        <is>
          <t>30/09/2025</t>
        </is>
      </c>
      <c r="R632" s="45" t="inlineStr">
        <is>
          <t>PT2025-00629</t>
        </is>
      </c>
      <c r="S632" s="45" t="inlineStr"/>
    </row>
    <row r="633">
      <c r="A633" s="45" t="inlineStr">
        <is>
          <t>251210880</t>
        </is>
      </c>
      <c r="B633" s="45" t="inlineStr">
        <is>
          <t>PHẠM GIA HƯNG</t>
        </is>
      </c>
      <c r="C633" s="45" t="inlineStr">
        <is>
          <t>Công nghệ thông tin 3 K66</t>
        </is>
      </c>
      <c r="D633" s="45" t="inlineStr">
        <is>
          <t>Năm 2</t>
        </is>
      </c>
      <c r="E633" s="45" t="inlineStr">
        <is>
          <t>2026_2027</t>
        </is>
      </c>
      <c r="F633" s="45" t="n">
        <v>4</v>
      </c>
      <c r="G633" s="46">
        <f>VLOOKUP(D633,'Cấu Hình Học Phí'!$A$8:$B$11,2,FALSE)</f>
        <v/>
      </c>
      <c r="H633" s="46">
        <f>F633*G633</f>
        <v/>
      </c>
      <c r="I633" s="45" t="n">
        <v>0</v>
      </c>
      <c r="J633" s="46">
        <f>I633*'Cấu Hình Học Phí'!$B$5</f>
        <v/>
      </c>
      <c r="K633" s="46" t="n">
        <v>0</v>
      </c>
      <c r="L633" s="46">
        <f>H633+J633-K633</f>
        <v/>
      </c>
      <c r="M633" s="46" t="n">
        <v>2420000</v>
      </c>
      <c r="N633" s="46" t="n">
        <v>0</v>
      </c>
      <c r="O633" s="46">
        <f>MAX(0,M633-N633-L633)</f>
        <v/>
      </c>
      <c r="P633" s="46">
        <f>MAX(0,L633-(M633-N633))</f>
        <v/>
      </c>
      <c r="Q633" s="45" t="inlineStr">
        <is>
          <t>30/09/2026</t>
        </is>
      </c>
      <c r="R633" s="45" t="inlineStr">
        <is>
          <t>PT2026-00630</t>
        </is>
      </c>
      <c r="S633" s="45" t="inlineStr"/>
    </row>
    <row r="634">
      <c r="A634" s="45" t="inlineStr">
        <is>
          <t>251210880</t>
        </is>
      </c>
      <c r="B634" s="45" t="inlineStr">
        <is>
          <t>PHẠM GIA HƯNG</t>
        </is>
      </c>
      <c r="C634" s="45" t="inlineStr">
        <is>
          <t>Công nghệ thông tin 3 K66</t>
        </is>
      </c>
      <c r="D634" s="45" t="inlineStr">
        <is>
          <t>Năm 3</t>
        </is>
      </c>
      <c r="E634" s="45" t="inlineStr">
        <is>
          <t>2027_2028</t>
        </is>
      </c>
      <c r="F634" s="45" t="n">
        <v>4</v>
      </c>
      <c r="G634" s="46">
        <f>VLOOKUP(D634,'Cấu Hình Học Phí'!$A$8:$B$11,2,FALSE)</f>
        <v/>
      </c>
      <c r="H634" s="46">
        <f>F634*G634</f>
        <v/>
      </c>
      <c r="I634" s="45" t="n">
        <v>2</v>
      </c>
      <c r="J634" s="46">
        <f>I634*'Cấu Hình Học Phí'!$B$5</f>
        <v/>
      </c>
      <c r="K634" s="46" t="n">
        <v>0</v>
      </c>
      <c r="L634" s="46">
        <f>H634+J634-K634</f>
        <v/>
      </c>
      <c r="M634" s="46" t="n">
        <v>3662000</v>
      </c>
      <c r="N634" s="46" t="n">
        <v>0</v>
      </c>
      <c r="O634" s="46">
        <f>MAX(0,M634-N634-L634)</f>
        <v/>
      </c>
      <c r="P634" s="46">
        <f>MAX(0,L634-(M634-N634))</f>
        <v/>
      </c>
      <c r="Q634" s="45" t="inlineStr">
        <is>
          <t>30/09/2027</t>
        </is>
      </c>
      <c r="R634" s="45" t="inlineStr">
        <is>
          <t>PT2027-00631</t>
        </is>
      </c>
      <c r="S634" s="45" t="inlineStr">
        <is>
          <t>Chưa nộp phí phụ đạo 1 môn</t>
        </is>
      </c>
    </row>
    <row r="635">
      <c r="A635" s="45" t="inlineStr">
        <is>
          <t>251210880</t>
        </is>
      </c>
      <c r="B635" s="45" t="inlineStr">
        <is>
          <t>PHẠM GIA HƯNG</t>
        </is>
      </c>
      <c r="C635" s="45" t="inlineStr">
        <is>
          <t>Công nghệ thông tin 3 K66</t>
        </is>
      </c>
      <c r="D635" s="45" t="inlineStr">
        <is>
          <t>Năm 4</t>
        </is>
      </c>
      <c r="E635" s="45" t="inlineStr">
        <is>
          <t>2028_2029</t>
        </is>
      </c>
      <c r="F635" s="45" t="n">
        <v>1</v>
      </c>
      <c r="G635" s="46">
        <f>VLOOKUP(D635,'Cấu Hình Học Phí'!$A$8:$B$11,2,FALSE)</f>
        <v/>
      </c>
      <c r="H635" s="46">
        <f>F635*G635</f>
        <v/>
      </c>
      <c r="I635" s="45" t="n">
        <v>0</v>
      </c>
      <c r="J635" s="46">
        <f>I635*'Cấu Hình Học Phí'!$B$5</f>
        <v/>
      </c>
      <c r="K635" s="46" t="n">
        <v>0</v>
      </c>
      <c r="L635" s="46">
        <f>H635+J635-K635</f>
        <v/>
      </c>
      <c r="M635" s="46" t="n">
        <v>732050</v>
      </c>
      <c r="N635" s="46" t="n">
        <v>0</v>
      </c>
      <c r="O635" s="46">
        <f>MAX(0,M635-N635-L635)</f>
        <v/>
      </c>
      <c r="P635" s="46">
        <f>MAX(0,L635-(M635-N635))</f>
        <v/>
      </c>
      <c r="Q635" s="45" t="inlineStr">
        <is>
          <t>30/09/2028</t>
        </is>
      </c>
      <c r="R635" s="45" t="inlineStr">
        <is>
          <t>PT2028-00632</t>
        </is>
      </c>
      <c r="S635" s="45" t="inlineStr"/>
    </row>
    <row r="636">
      <c r="A636" s="45" t="inlineStr">
        <is>
          <t>251230882</t>
        </is>
      </c>
      <c r="B636" s="45" t="inlineStr">
        <is>
          <t>LÊ XUÂN HƯỞNG</t>
        </is>
      </c>
      <c r="C636" s="45" t="inlineStr">
        <is>
          <t>Công nghệ thông tin 3 K66</t>
        </is>
      </c>
      <c r="D636" s="45" t="inlineStr">
        <is>
          <t>Năm 1</t>
        </is>
      </c>
      <c r="E636" s="45" t="inlineStr">
        <is>
          <t>2025_2026</t>
        </is>
      </c>
      <c r="F636" s="45" t="n">
        <v>4</v>
      </c>
      <c r="G636" s="46">
        <f>VLOOKUP(D636,'Cấu Hình Học Phí'!$A$8:$B$11,2,FALSE)</f>
        <v/>
      </c>
      <c r="H636" s="46">
        <f>F636*G636</f>
        <v/>
      </c>
      <c r="I636" s="45" t="n">
        <v>0</v>
      </c>
      <c r="J636" s="46">
        <f>I636*'Cấu Hình Học Phí'!$B$5</f>
        <v/>
      </c>
      <c r="K636" s="46" t="n">
        <v>0</v>
      </c>
      <c r="L636" s="46">
        <f>H636+J636-K636</f>
        <v/>
      </c>
      <c r="M636" s="46" t="n">
        <v>2200000</v>
      </c>
      <c r="N636" s="46" t="n">
        <v>0</v>
      </c>
      <c r="O636" s="46">
        <f>MAX(0,M636-N636-L636)</f>
        <v/>
      </c>
      <c r="P636" s="46">
        <f>MAX(0,L636-(M636-N636))</f>
        <v/>
      </c>
      <c r="Q636" s="45" t="inlineStr">
        <is>
          <t>30/09/2025</t>
        </is>
      </c>
      <c r="R636" s="45" t="inlineStr">
        <is>
          <t>PT2025-00633</t>
        </is>
      </c>
      <c r="S636" s="45" t="inlineStr"/>
    </row>
    <row r="637">
      <c r="A637" s="45" t="inlineStr">
        <is>
          <t>251230882</t>
        </is>
      </c>
      <c r="B637" s="45" t="inlineStr">
        <is>
          <t>LÊ XUÂN HƯỞNG</t>
        </is>
      </c>
      <c r="C637" s="45" t="inlineStr">
        <is>
          <t>Công nghệ thông tin 3 K66</t>
        </is>
      </c>
      <c r="D637" s="45" t="inlineStr">
        <is>
          <t>Năm 2</t>
        </is>
      </c>
      <c r="E637" s="45" t="inlineStr">
        <is>
          <t>2026_2027</t>
        </is>
      </c>
      <c r="F637" s="45" t="n">
        <v>4</v>
      </c>
      <c r="G637" s="46">
        <f>VLOOKUP(D637,'Cấu Hình Học Phí'!$A$8:$B$11,2,FALSE)</f>
        <v/>
      </c>
      <c r="H637" s="46">
        <f>F637*G637</f>
        <v/>
      </c>
      <c r="I637" s="45" t="n">
        <v>0</v>
      </c>
      <c r="J637" s="46">
        <f>I637*'Cấu Hình Học Phí'!$B$5</f>
        <v/>
      </c>
      <c r="K637" s="46" t="n">
        <v>0</v>
      </c>
      <c r="L637" s="46">
        <f>H637+J637-K637</f>
        <v/>
      </c>
      <c r="M637" s="46" t="n">
        <v>2420000</v>
      </c>
      <c r="N637" s="46" t="n">
        <v>0</v>
      </c>
      <c r="O637" s="46">
        <f>MAX(0,M637-N637-L637)</f>
        <v/>
      </c>
      <c r="P637" s="46">
        <f>MAX(0,L637-(M637-N637))</f>
        <v/>
      </c>
      <c r="Q637" s="45" t="inlineStr">
        <is>
          <t>30/09/2026</t>
        </is>
      </c>
      <c r="R637" s="45" t="inlineStr">
        <is>
          <t>PT2026-00634</t>
        </is>
      </c>
      <c r="S637" s="45" t="inlineStr"/>
    </row>
    <row r="638">
      <c r="A638" s="45" t="inlineStr">
        <is>
          <t>251230882</t>
        </is>
      </c>
      <c r="B638" s="45" t="inlineStr">
        <is>
          <t>LÊ XUÂN HƯỞNG</t>
        </is>
      </c>
      <c r="C638" s="45" t="inlineStr">
        <is>
          <t>Công nghệ thông tin 3 K66</t>
        </is>
      </c>
      <c r="D638" s="45" t="inlineStr">
        <is>
          <t>Năm 3</t>
        </is>
      </c>
      <c r="E638" s="45" t="inlineStr">
        <is>
          <t>2027_2028</t>
        </is>
      </c>
      <c r="F638" s="45" t="n">
        <v>4</v>
      </c>
      <c r="G638" s="46">
        <f>VLOOKUP(D638,'Cấu Hình Học Phí'!$A$8:$B$11,2,FALSE)</f>
        <v/>
      </c>
      <c r="H638" s="46">
        <f>F638*G638</f>
        <v/>
      </c>
      <c r="I638" s="45" t="n">
        <v>0</v>
      </c>
      <c r="J638" s="46">
        <f>I638*'Cấu Hình Học Phí'!$B$5</f>
        <v/>
      </c>
      <c r="K638" s="46" t="n">
        <v>0</v>
      </c>
      <c r="L638" s="46">
        <f>H638+J638-K638</f>
        <v/>
      </c>
      <c r="M638" s="46" t="n">
        <v>2662000</v>
      </c>
      <c r="N638" s="46" t="n">
        <v>0</v>
      </c>
      <c r="O638" s="46">
        <f>MAX(0,M638-N638-L638)</f>
        <v/>
      </c>
      <c r="P638" s="46">
        <f>MAX(0,L638-(M638-N638))</f>
        <v/>
      </c>
      <c r="Q638" s="45" t="inlineStr">
        <is>
          <t>30/09/2027</t>
        </is>
      </c>
      <c r="R638" s="45" t="inlineStr">
        <is>
          <t>PT2027-00635</t>
        </is>
      </c>
      <c r="S638" s="45" t="inlineStr"/>
    </row>
    <row r="639">
      <c r="A639" s="45" t="inlineStr">
        <is>
          <t>251230882</t>
        </is>
      </c>
      <c r="B639" s="45" t="inlineStr">
        <is>
          <t>LÊ XUÂN HƯỞNG</t>
        </is>
      </c>
      <c r="C639" s="45" t="inlineStr">
        <is>
          <t>Công nghệ thông tin 3 K66</t>
        </is>
      </c>
      <c r="D639" s="45" t="inlineStr">
        <is>
          <t>Năm 4</t>
        </is>
      </c>
      <c r="E639" s="45" t="inlineStr">
        <is>
          <t>2028_2029</t>
        </is>
      </c>
      <c r="F639" s="45" t="n">
        <v>1</v>
      </c>
      <c r="G639" s="46">
        <f>VLOOKUP(D639,'Cấu Hình Học Phí'!$A$8:$B$11,2,FALSE)</f>
        <v/>
      </c>
      <c r="H639" s="46">
        <f>F639*G639</f>
        <v/>
      </c>
      <c r="I639" s="45" t="n">
        <v>0</v>
      </c>
      <c r="J639" s="46">
        <f>I639*'Cấu Hình Học Phí'!$B$5</f>
        <v/>
      </c>
      <c r="K639" s="46" t="n">
        <v>0</v>
      </c>
      <c r="L639" s="46">
        <f>H639+J639-K639</f>
        <v/>
      </c>
      <c r="M639" s="46" t="n">
        <v>732050</v>
      </c>
      <c r="N639" s="46" t="n">
        <v>0</v>
      </c>
      <c r="O639" s="46">
        <f>MAX(0,M639-N639-L639)</f>
        <v/>
      </c>
      <c r="P639" s="46">
        <f>MAX(0,L639-(M639-N639))</f>
        <v/>
      </c>
      <c r="Q639" s="45" t="inlineStr">
        <is>
          <t>30/09/2028</t>
        </is>
      </c>
      <c r="R639" s="45" t="inlineStr">
        <is>
          <t>PT2028-00636</t>
        </is>
      </c>
      <c r="S639" s="45" t="inlineStr"/>
    </row>
    <row r="640">
      <c r="A640" s="45" t="inlineStr">
        <is>
          <t>251210873</t>
        </is>
      </c>
      <c r="B640" s="45" t="inlineStr">
        <is>
          <t>TRẦN QUỐC HUY</t>
        </is>
      </c>
      <c r="C640" s="45" t="inlineStr">
        <is>
          <t>Công nghệ thông tin 3 K66</t>
        </is>
      </c>
      <c r="D640" s="45" t="inlineStr">
        <is>
          <t>Năm 1</t>
        </is>
      </c>
      <c r="E640" s="45" t="inlineStr">
        <is>
          <t>2025_2026</t>
        </is>
      </c>
      <c r="F640" s="45" t="n">
        <v>4</v>
      </c>
      <c r="G640" s="46">
        <f>VLOOKUP(D640,'Cấu Hình Học Phí'!$A$8:$B$11,2,FALSE)</f>
        <v/>
      </c>
      <c r="H640" s="46">
        <f>F640*G640</f>
        <v/>
      </c>
      <c r="I640" s="45" t="n">
        <v>2</v>
      </c>
      <c r="J640" s="46">
        <f>I640*'Cấu Hình Học Phí'!$B$5</f>
        <v/>
      </c>
      <c r="K640" s="46" t="n">
        <v>0</v>
      </c>
      <c r="L640" s="46">
        <f>H640+J640-K640</f>
        <v/>
      </c>
      <c r="M640" s="46" t="n">
        <v>4200000</v>
      </c>
      <c r="N640" s="46" t="n">
        <v>0</v>
      </c>
      <c r="O640" s="46">
        <f>MAX(0,M640-N640-L640)</f>
        <v/>
      </c>
      <c r="P640" s="46">
        <f>MAX(0,L640-(M640-N640))</f>
        <v/>
      </c>
      <c r="Q640" s="45" t="inlineStr">
        <is>
          <t>30/09/2025</t>
        </is>
      </c>
      <c r="R640" s="45" t="inlineStr">
        <is>
          <t>PT2025-00637</t>
        </is>
      </c>
      <c r="S640" s="45" t="inlineStr"/>
    </row>
    <row r="641">
      <c r="A641" s="45" t="inlineStr">
        <is>
          <t>251210873</t>
        </is>
      </c>
      <c r="B641" s="45" t="inlineStr">
        <is>
          <t>TRẦN QUỐC HUY</t>
        </is>
      </c>
      <c r="C641" s="45" t="inlineStr">
        <is>
          <t>Công nghệ thông tin 3 K66</t>
        </is>
      </c>
      <c r="D641" s="45" t="inlineStr">
        <is>
          <t>Năm 2</t>
        </is>
      </c>
      <c r="E641" s="45" t="inlineStr">
        <is>
          <t>2026_2027</t>
        </is>
      </c>
      <c r="F641" s="45" t="n">
        <v>4</v>
      </c>
      <c r="G641" s="46">
        <f>VLOOKUP(D641,'Cấu Hình Học Phí'!$A$8:$B$11,2,FALSE)</f>
        <v/>
      </c>
      <c r="H641" s="46">
        <f>F641*G641</f>
        <v/>
      </c>
      <c r="I641" s="45" t="n">
        <v>0</v>
      </c>
      <c r="J641" s="46">
        <f>I641*'Cấu Hình Học Phí'!$B$5</f>
        <v/>
      </c>
      <c r="K641" s="46" t="n">
        <v>0</v>
      </c>
      <c r="L641" s="46">
        <f>H641+J641-K641</f>
        <v/>
      </c>
      <c r="M641" s="46" t="n">
        <v>2420000</v>
      </c>
      <c r="N641" s="46" t="n">
        <v>0</v>
      </c>
      <c r="O641" s="46">
        <f>MAX(0,M641-N641-L641)</f>
        <v/>
      </c>
      <c r="P641" s="46">
        <f>MAX(0,L641-(M641-N641))</f>
        <v/>
      </c>
      <c r="Q641" s="45" t="inlineStr">
        <is>
          <t>30/09/2026</t>
        </is>
      </c>
      <c r="R641" s="45" t="inlineStr">
        <is>
          <t>PT2026-00638</t>
        </is>
      </c>
      <c r="S641" s="45" t="inlineStr"/>
    </row>
    <row r="642">
      <c r="A642" s="45" t="inlineStr">
        <is>
          <t>251210873</t>
        </is>
      </c>
      <c r="B642" s="45" t="inlineStr">
        <is>
          <t>TRẦN QUỐC HUY</t>
        </is>
      </c>
      <c r="C642" s="45" t="inlineStr">
        <is>
          <t>Công nghệ thông tin 3 K66</t>
        </is>
      </c>
      <c r="D642" s="45" t="inlineStr">
        <is>
          <t>Năm 3</t>
        </is>
      </c>
      <c r="E642" s="45" t="inlineStr">
        <is>
          <t>2027_2028</t>
        </is>
      </c>
      <c r="F642" s="45" t="n">
        <v>4</v>
      </c>
      <c r="G642" s="46">
        <f>VLOOKUP(D642,'Cấu Hình Học Phí'!$A$8:$B$11,2,FALSE)</f>
        <v/>
      </c>
      <c r="H642" s="46">
        <f>F642*G642</f>
        <v/>
      </c>
      <c r="I642" s="45" t="n">
        <v>0</v>
      </c>
      <c r="J642" s="46">
        <f>I642*'Cấu Hình Học Phí'!$B$5</f>
        <v/>
      </c>
      <c r="K642" s="46" t="n">
        <v>0</v>
      </c>
      <c r="L642" s="46">
        <f>H642+J642-K642</f>
        <v/>
      </c>
      <c r="M642" s="46" t="n">
        <v>2662000</v>
      </c>
      <c r="N642" s="46" t="n">
        <v>0</v>
      </c>
      <c r="O642" s="46">
        <f>MAX(0,M642-N642-L642)</f>
        <v/>
      </c>
      <c r="P642" s="46">
        <f>MAX(0,L642-(M642-N642))</f>
        <v/>
      </c>
      <c r="Q642" s="45" t="inlineStr">
        <is>
          <t>30/09/2027</t>
        </is>
      </c>
      <c r="R642" s="45" t="inlineStr">
        <is>
          <t>PT2027-00639</t>
        </is>
      </c>
      <c r="S642" s="45" t="inlineStr"/>
    </row>
    <row r="643">
      <c r="A643" s="45" t="inlineStr">
        <is>
          <t>251210873</t>
        </is>
      </c>
      <c r="B643" s="45" t="inlineStr">
        <is>
          <t>TRẦN QUỐC HUY</t>
        </is>
      </c>
      <c r="C643" s="45" t="inlineStr">
        <is>
          <t>Công nghệ thông tin 3 K66</t>
        </is>
      </c>
      <c r="D643" s="45" t="inlineStr">
        <is>
          <t>Năm 4</t>
        </is>
      </c>
      <c r="E643" s="45" t="inlineStr">
        <is>
          <t>2028_2029</t>
        </is>
      </c>
      <c r="F643" s="45" t="n">
        <v>1</v>
      </c>
      <c r="G643" s="46">
        <f>VLOOKUP(D643,'Cấu Hình Học Phí'!$A$8:$B$11,2,FALSE)</f>
        <v/>
      </c>
      <c r="H643" s="46">
        <f>F643*G643</f>
        <v/>
      </c>
      <c r="I643" s="45" t="n">
        <v>0</v>
      </c>
      <c r="J643" s="46">
        <f>I643*'Cấu Hình Học Phí'!$B$5</f>
        <v/>
      </c>
      <c r="K643" s="46" t="n">
        <v>0</v>
      </c>
      <c r="L643" s="46">
        <f>H643+J643-K643</f>
        <v/>
      </c>
      <c r="M643" s="46" t="n">
        <v>732050</v>
      </c>
      <c r="N643" s="46" t="n">
        <v>0</v>
      </c>
      <c r="O643" s="46">
        <f>MAX(0,M643-N643-L643)</f>
        <v/>
      </c>
      <c r="P643" s="46">
        <f>MAX(0,L643-(M643-N643))</f>
        <v/>
      </c>
      <c r="Q643" s="45" t="inlineStr">
        <is>
          <t>30/09/2028</t>
        </is>
      </c>
      <c r="R643" s="45" t="inlineStr">
        <is>
          <t>PT2028-00640</t>
        </is>
      </c>
      <c r="S643" s="45" t="inlineStr"/>
    </row>
    <row r="644">
      <c r="A644" s="45" t="inlineStr">
        <is>
          <t>251230887</t>
        </is>
      </c>
      <c r="B644" s="45" t="inlineStr">
        <is>
          <t>NGUYỄN QUỐC KHÁNH</t>
        </is>
      </c>
      <c r="C644" s="45" t="inlineStr">
        <is>
          <t>Công nghệ thông tin 3 K66</t>
        </is>
      </c>
      <c r="D644" s="45" t="inlineStr">
        <is>
          <t>Năm 1</t>
        </is>
      </c>
      <c r="E644" s="45" t="inlineStr">
        <is>
          <t>2025_2026</t>
        </is>
      </c>
      <c r="F644" s="45" t="n">
        <v>4</v>
      </c>
      <c r="G644" s="46">
        <f>VLOOKUP(D644,'Cấu Hình Học Phí'!$A$8:$B$11,2,FALSE)</f>
        <v/>
      </c>
      <c r="H644" s="46">
        <f>F644*G644</f>
        <v/>
      </c>
      <c r="I644" s="45" t="n">
        <v>2</v>
      </c>
      <c r="J644" s="46">
        <f>I644*'Cấu Hình Học Phí'!$B$5</f>
        <v/>
      </c>
      <c r="K644" s="46" t="n">
        <v>0</v>
      </c>
      <c r="L644" s="46">
        <f>H644+J644-K644</f>
        <v/>
      </c>
      <c r="M644" s="46" t="n">
        <v>2200000</v>
      </c>
      <c r="N644" s="46" t="n">
        <v>0</v>
      </c>
      <c r="O644" s="46">
        <f>MAX(0,M644-N644-L644)</f>
        <v/>
      </c>
      <c r="P644" s="46">
        <f>MAX(0,L644-(M644-N644))</f>
        <v/>
      </c>
      <c r="Q644" s="45" t="inlineStr">
        <is>
          <t>30/09/2025</t>
        </is>
      </c>
      <c r="R644" s="45" t="inlineStr">
        <is>
          <t>PT2025-00641</t>
        </is>
      </c>
      <c r="S644" s="45" t="inlineStr">
        <is>
          <t>Chưa nộp phí phụ đạo 2 môn</t>
        </is>
      </c>
    </row>
    <row r="645">
      <c r="A645" s="45" t="inlineStr">
        <is>
          <t>251230887</t>
        </is>
      </c>
      <c r="B645" s="45" t="inlineStr">
        <is>
          <t>NGUYỄN QUỐC KHÁNH</t>
        </is>
      </c>
      <c r="C645" s="45" t="inlineStr">
        <is>
          <t>Công nghệ thông tin 3 K66</t>
        </is>
      </c>
      <c r="D645" s="45" t="inlineStr">
        <is>
          <t>Năm 2</t>
        </is>
      </c>
      <c r="E645" s="45" t="inlineStr">
        <is>
          <t>2026_2027</t>
        </is>
      </c>
      <c r="F645" s="45" t="n">
        <v>4</v>
      </c>
      <c r="G645" s="46">
        <f>VLOOKUP(D645,'Cấu Hình Học Phí'!$A$8:$B$11,2,FALSE)</f>
        <v/>
      </c>
      <c r="H645" s="46">
        <f>F645*G645</f>
        <v/>
      </c>
      <c r="I645" s="45" t="n">
        <v>0</v>
      </c>
      <c r="J645" s="46">
        <f>I645*'Cấu Hình Học Phí'!$B$5</f>
        <v/>
      </c>
      <c r="K645" s="46" t="n">
        <v>0</v>
      </c>
      <c r="L645" s="46">
        <f>H645+J645-K645</f>
        <v/>
      </c>
      <c r="M645" s="46" t="n">
        <v>2420000</v>
      </c>
      <c r="N645" s="46" t="n">
        <v>0</v>
      </c>
      <c r="O645" s="46">
        <f>MAX(0,M645-N645-L645)</f>
        <v/>
      </c>
      <c r="P645" s="46">
        <f>MAX(0,L645-(M645-N645))</f>
        <v/>
      </c>
      <c r="Q645" s="45" t="inlineStr">
        <is>
          <t>30/09/2026</t>
        </is>
      </c>
      <c r="R645" s="45" t="inlineStr">
        <is>
          <t>PT2026-00642</t>
        </is>
      </c>
      <c r="S645" s="45" t="inlineStr"/>
    </row>
    <row r="646">
      <c r="A646" s="45" t="inlineStr">
        <is>
          <t>251230887</t>
        </is>
      </c>
      <c r="B646" s="45" t="inlineStr">
        <is>
          <t>NGUYỄN QUỐC KHÁNH</t>
        </is>
      </c>
      <c r="C646" s="45" t="inlineStr">
        <is>
          <t>Công nghệ thông tin 3 K66</t>
        </is>
      </c>
      <c r="D646" s="45" t="inlineStr">
        <is>
          <t>Năm 3</t>
        </is>
      </c>
      <c r="E646" s="45" t="inlineStr">
        <is>
          <t>2027_2028</t>
        </is>
      </c>
      <c r="F646" s="45" t="n">
        <v>4</v>
      </c>
      <c r="G646" s="46">
        <f>VLOOKUP(D646,'Cấu Hình Học Phí'!$A$8:$B$11,2,FALSE)</f>
        <v/>
      </c>
      <c r="H646" s="46">
        <f>F646*G646</f>
        <v/>
      </c>
      <c r="I646" s="45" t="n">
        <v>0</v>
      </c>
      <c r="J646" s="46">
        <f>I646*'Cấu Hình Học Phí'!$B$5</f>
        <v/>
      </c>
      <c r="K646" s="46" t="n">
        <v>0</v>
      </c>
      <c r="L646" s="46">
        <f>H646+J646-K646</f>
        <v/>
      </c>
      <c r="M646" s="46" t="n">
        <v>2662000</v>
      </c>
      <c r="N646" s="46" t="n">
        <v>0</v>
      </c>
      <c r="O646" s="46">
        <f>MAX(0,M646-N646-L646)</f>
        <v/>
      </c>
      <c r="P646" s="46">
        <f>MAX(0,L646-(M646-N646))</f>
        <v/>
      </c>
      <c r="Q646" s="45" t="inlineStr">
        <is>
          <t>30/09/2027</t>
        </is>
      </c>
      <c r="R646" s="45" t="inlineStr">
        <is>
          <t>PT2027-00643</t>
        </is>
      </c>
      <c r="S646" s="45" t="inlineStr"/>
    </row>
    <row r="647">
      <c r="A647" s="45" t="inlineStr">
        <is>
          <t>251230887</t>
        </is>
      </c>
      <c r="B647" s="45" t="inlineStr">
        <is>
          <t>NGUYỄN QUỐC KHÁNH</t>
        </is>
      </c>
      <c r="C647" s="45" t="inlineStr">
        <is>
          <t>Công nghệ thông tin 3 K66</t>
        </is>
      </c>
      <c r="D647" s="45" t="inlineStr">
        <is>
          <t>Năm 4</t>
        </is>
      </c>
      <c r="E647" s="45" t="inlineStr">
        <is>
          <t>2028_2029</t>
        </is>
      </c>
      <c r="F647" s="45" t="n">
        <v>1</v>
      </c>
      <c r="G647" s="46">
        <f>VLOOKUP(D647,'Cấu Hình Học Phí'!$A$8:$B$11,2,FALSE)</f>
        <v/>
      </c>
      <c r="H647" s="46">
        <f>F647*G647</f>
        <v/>
      </c>
      <c r="I647" s="45" t="n">
        <v>0</v>
      </c>
      <c r="J647" s="46">
        <f>I647*'Cấu Hình Học Phí'!$B$5</f>
        <v/>
      </c>
      <c r="K647" s="46" t="n">
        <v>0</v>
      </c>
      <c r="L647" s="46">
        <f>H647+J647-K647</f>
        <v/>
      </c>
      <c r="M647" s="46" t="n">
        <v>732050</v>
      </c>
      <c r="N647" s="46" t="n">
        <v>0</v>
      </c>
      <c r="O647" s="46">
        <f>MAX(0,M647-N647-L647)</f>
        <v/>
      </c>
      <c r="P647" s="46">
        <f>MAX(0,L647-(M647-N647))</f>
        <v/>
      </c>
      <c r="Q647" s="45" t="inlineStr">
        <is>
          <t>30/09/2028</t>
        </is>
      </c>
      <c r="R647" s="45" t="inlineStr">
        <is>
          <t>PT2028-00644</t>
        </is>
      </c>
      <c r="S647" s="45" t="inlineStr"/>
    </row>
    <row r="648">
      <c r="A648" s="45" t="inlineStr">
        <is>
          <t>251230890</t>
        </is>
      </c>
      <c r="B648" s="45" t="inlineStr">
        <is>
          <t>PHẠM GIA KHÁNH</t>
        </is>
      </c>
      <c r="C648" s="45" t="inlineStr">
        <is>
          <t>Công nghệ thông tin 3 K66</t>
        </is>
      </c>
      <c r="D648" s="45" t="inlineStr">
        <is>
          <t>Năm 1</t>
        </is>
      </c>
      <c r="E648" s="45" t="inlineStr">
        <is>
          <t>2025_2026</t>
        </is>
      </c>
      <c r="F648" s="45" t="n">
        <v>4</v>
      </c>
      <c r="G648" s="46">
        <f>VLOOKUP(D648,'Cấu Hình Học Phí'!$A$8:$B$11,2,FALSE)</f>
        <v/>
      </c>
      <c r="H648" s="46">
        <f>F648*G648</f>
        <v/>
      </c>
      <c r="I648" s="45" t="n">
        <v>0</v>
      </c>
      <c r="J648" s="46">
        <f>I648*'Cấu Hình Học Phí'!$B$5</f>
        <v/>
      </c>
      <c r="K648" s="46" t="n">
        <v>0</v>
      </c>
      <c r="L648" s="46">
        <f>H648+J648-K648</f>
        <v/>
      </c>
      <c r="M648" s="46" t="n">
        <v>2200000</v>
      </c>
      <c r="N648" s="46" t="n">
        <v>0</v>
      </c>
      <c r="O648" s="46">
        <f>MAX(0,M648-N648-L648)</f>
        <v/>
      </c>
      <c r="P648" s="46">
        <f>MAX(0,L648-(M648-N648))</f>
        <v/>
      </c>
      <c r="Q648" s="45" t="inlineStr">
        <is>
          <t>30/09/2025</t>
        </is>
      </c>
      <c r="R648" s="45" t="inlineStr">
        <is>
          <t>PT2025-00645</t>
        </is>
      </c>
      <c r="S648" s="45" t="inlineStr"/>
    </row>
    <row r="649">
      <c r="A649" s="45" t="inlineStr">
        <is>
          <t>251230890</t>
        </is>
      </c>
      <c r="B649" s="45" t="inlineStr">
        <is>
          <t>PHẠM GIA KHÁNH</t>
        </is>
      </c>
      <c r="C649" s="45" t="inlineStr">
        <is>
          <t>Công nghệ thông tin 3 K66</t>
        </is>
      </c>
      <c r="D649" s="45" t="inlineStr">
        <is>
          <t>Năm 2</t>
        </is>
      </c>
      <c r="E649" s="45" t="inlineStr">
        <is>
          <t>2026_2027</t>
        </is>
      </c>
      <c r="F649" s="45" t="n">
        <v>4</v>
      </c>
      <c r="G649" s="46">
        <f>VLOOKUP(D649,'Cấu Hình Học Phí'!$A$8:$B$11,2,FALSE)</f>
        <v/>
      </c>
      <c r="H649" s="46">
        <f>F649*G649</f>
        <v/>
      </c>
      <c r="I649" s="45" t="n">
        <v>0</v>
      </c>
      <c r="J649" s="46">
        <f>I649*'Cấu Hình Học Phí'!$B$5</f>
        <v/>
      </c>
      <c r="K649" s="46" t="n">
        <v>0</v>
      </c>
      <c r="L649" s="46">
        <f>H649+J649-K649</f>
        <v/>
      </c>
      <c r="M649" s="46" t="n">
        <v>2420000</v>
      </c>
      <c r="N649" s="46" t="n">
        <v>0</v>
      </c>
      <c r="O649" s="46">
        <f>MAX(0,M649-N649-L649)</f>
        <v/>
      </c>
      <c r="P649" s="46">
        <f>MAX(0,L649-(M649-N649))</f>
        <v/>
      </c>
      <c r="Q649" s="45" t="inlineStr">
        <is>
          <t>30/09/2026</t>
        </is>
      </c>
      <c r="R649" s="45" t="inlineStr">
        <is>
          <t>PT2026-00646</t>
        </is>
      </c>
      <c r="S649" s="45" t="inlineStr"/>
    </row>
    <row r="650">
      <c r="A650" s="45" t="inlineStr">
        <is>
          <t>251230890</t>
        </is>
      </c>
      <c r="B650" s="45" t="inlineStr">
        <is>
          <t>PHẠM GIA KHÁNH</t>
        </is>
      </c>
      <c r="C650" s="45" t="inlineStr">
        <is>
          <t>Công nghệ thông tin 3 K66</t>
        </is>
      </c>
      <c r="D650" s="45" t="inlineStr">
        <is>
          <t>Năm 3</t>
        </is>
      </c>
      <c r="E650" s="45" t="inlineStr">
        <is>
          <t>2027_2028</t>
        </is>
      </c>
      <c r="F650" s="45" t="n">
        <v>4</v>
      </c>
      <c r="G650" s="46">
        <f>VLOOKUP(D650,'Cấu Hình Học Phí'!$A$8:$B$11,2,FALSE)</f>
        <v/>
      </c>
      <c r="H650" s="46">
        <f>F650*G650</f>
        <v/>
      </c>
      <c r="I650" s="45" t="n">
        <v>0</v>
      </c>
      <c r="J650" s="46">
        <f>I650*'Cấu Hình Học Phí'!$B$5</f>
        <v/>
      </c>
      <c r="K650" s="46" t="n">
        <v>0</v>
      </c>
      <c r="L650" s="46">
        <f>H650+J650-K650</f>
        <v/>
      </c>
      <c r="M650" s="46" t="n">
        <v>2662000</v>
      </c>
      <c r="N650" s="46" t="n">
        <v>0</v>
      </c>
      <c r="O650" s="46">
        <f>MAX(0,M650-N650-L650)</f>
        <v/>
      </c>
      <c r="P650" s="46">
        <f>MAX(0,L650-(M650-N650))</f>
        <v/>
      </c>
      <c r="Q650" s="45" t="inlineStr">
        <is>
          <t>30/09/2027</t>
        </is>
      </c>
      <c r="R650" s="45" t="inlineStr">
        <is>
          <t>PT2027-00647</t>
        </is>
      </c>
      <c r="S650" s="45" t="inlineStr"/>
    </row>
    <row r="651">
      <c r="A651" s="45" t="inlineStr">
        <is>
          <t>251230890</t>
        </is>
      </c>
      <c r="B651" s="45" t="inlineStr">
        <is>
          <t>PHẠM GIA KHÁNH</t>
        </is>
      </c>
      <c r="C651" s="45" t="inlineStr">
        <is>
          <t>Công nghệ thông tin 3 K66</t>
        </is>
      </c>
      <c r="D651" s="45" t="inlineStr">
        <is>
          <t>Năm 4</t>
        </is>
      </c>
      <c r="E651" s="45" t="inlineStr">
        <is>
          <t>2028_2029</t>
        </is>
      </c>
      <c r="F651" s="45" t="n">
        <v>1</v>
      </c>
      <c r="G651" s="46">
        <f>VLOOKUP(D651,'Cấu Hình Học Phí'!$A$8:$B$11,2,FALSE)</f>
        <v/>
      </c>
      <c r="H651" s="46">
        <f>F651*G651</f>
        <v/>
      </c>
      <c r="I651" s="45" t="n">
        <v>0</v>
      </c>
      <c r="J651" s="46">
        <f>I651*'Cấu Hình Học Phí'!$B$5</f>
        <v/>
      </c>
      <c r="K651" s="46" t="n">
        <v>0</v>
      </c>
      <c r="L651" s="46">
        <f>H651+J651-K651</f>
        <v/>
      </c>
      <c r="M651" s="46" t="n">
        <v>732050</v>
      </c>
      <c r="N651" s="46" t="n">
        <v>0</v>
      </c>
      <c r="O651" s="46">
        <f>MAX(0,M651-N651-L651)</f>
        <v/>
      </c>
      <c r="P651" s="46">
        <f>MAX(0,L651-(M651-N651))</f>
        <v/>
      </c>
      <c r="Q651" s="45" t="inlineStr">
        <is>
          <t>30/09/2028</t>
        </is>
      </c>
      <c r="R651" s="45" t="inlineStr">
        <is>
          <t>PT2028-00648</t>
        </is>
      </c>
      <c r="S651" s="45" t="inlineStr"/>
    </row>
    <row r="652">
      <c r="A652" s="45" t="inlineStr">
        <is>
          <t>251210893</t>
        </is>
      </c>
      <c r="B652" s="45" t="inlineStr">
        <is>
          <t>NGUYỄN ĐĂNG KHÔI</t>
        </is>
      </c>
      <c r="C652" s="45" t="inlineStr">
        <is>
          <t>Công nghệ thông tin 3 K66</t>
        </is>
      </c>
      <c r="D652" s="45" t="inlineStr">
        <is>
          <t>Năm 1</t>
        </is>
      </c>
      <c r="E652" s="45" t="inlineStr">
        <is>
          <t>2025_2026</t>
        </is>
      </c>
      <c r="F652" s="45" t="n">
        <v>4</v>
      </c>
      <c r="G652" s="46">
        <f>VLOOKUP(D652,'Cấu Hình Học Phí'!$A$8:$B$11,2,FALSE)</f>
        <v/>
      </c>
      <c r="H652" s="46">
        <f>F652*G652</f>
        <v/>
      </c>
      <c r="I652" s="45" t="n">
        <v>1</v>
      </c>
      <c r="J652" s="46">
        <f>I652*'Cấu Hình Học Phí'!$B$5</f>
        <v/>
      </c>
      <c r="K652" s="46" t="n">
        <v>0</v>
      </c>
      <c r="L652" s="46">
        <f>H652+J652-K652</f>
        <v/>
      </c>
      <c r="M652" s="46" t="n">
        <v>3200000</v>
      </c>
      <c r="N652" s="46" t="n">
        <v>0</v>
      </c>
      <c r="O652" s="46">
        <f>MAX(0,M652-N652-L652)</f>
        <v/>
      </c>
      <c r="P652" s="46">
        <f>MAX(0,L652-(M652-N652))</f>
        <v/>
      </c>
      <c r="Q652" s="45" t="inlineStr">
        <is>
          <t>30/09/2025</t>
        </is>
      </c>
      <c r="R652" s="45" t="inlineStr">
        <is>
          <t>PT2025-00649</t>
        </is>
      </c>
      <c r="S652" s="45" t="inlineStr"/>
    </row>
    <row r="653">
      <c r="A653" s="45" t="inlineStr">
        <is>
          <t>251210893</t>
        </is>
      </c>
      <c r="B653" s="45" t="inlineStr">
        <is>
          <t>NGUYỄN ĐĂNG KHÔI</t>
        </is>
      </c>
      <c r="C653" s="45" t="inlineStr">
        <is>
          <t>Công nghệ thông tin 3 K66</t>
        </is>
      </c>
      <c r="D653" s="45" t="inlineStr">
        <is>
          <t>Năm 2</t>
        </is>
      </c>
      <c r="E653" s="45" t="inlineStr">
        <is>
          <t>2026_2027</t>
        </is>
      </c>
      <c r="F653" s="45" t="n">
        <v>4</v>
      </c>
      <c r="G653" s="46">
        <f>VLOOKUP(D653,'Cấu Hình Học Phí'!$A$8:$B$11,2,FALSE)</f>
        <v/>
      </c>
      <c r="H653" s="46">
        <f>F653*G653</f>
        <v/>
      </c>
      <c r="I653" s="45" t="n">
        <v>0</v>
      </c>
      <c r="J653" s="46">
        <f>I653*'Cấu Hình Học Phí'!$B$5</f>
        <v/>
      </c>
      <c r="K653" s="46" t="n">
        <v>0</v>
      </c>
      <c r="L653" s="46">
        <f>H653+J653-K653</f>
        <v/>
      </c>
      <c r="M653" s="46" t="n">
        <v>2420000</v>
      </c>
      <c r="N653" s="46" t="n">
        <v>0</v>
      </c>
      <c r="O653" s="46">
        <f>MAX(0,M653-N653-L653)</f>
        <v/>
      </c>
      <c r="P653" s="46">
        <f>MAX(0,L653-(M653-N653))</f>
        <v/>
      </c>
      <c r="Q653" s="45" t="inlineStr">
        <is>
          <t>30/09/2026</t>
        </is>
      </c>
      <c r="R653" s="45" t="inlineStr">
        <is>
          <t>PT2026-00650</t>
        </is>
      </c>
      <c r="S653" s="45" t="inlineStr"/>
    </row>
    <row r="654">
      <c r="A654" s="45" t="inlineStr">
        <is>
          <t>251210893</t>
        </is>
      </c>
      <c r="B654" s="45" t="inlineStr">
        <is>
          <t>NGUYỄN ĐĂNG KHÔI</t>
        </is>
      </c>
      <c r="C654" s="45" t="inlineStr">
        <is>
          <t>Công nghệ thông tin 3 K66</t>
        </is>
      </c>
      <c r="D654" s="45" t="inlineStr">
        <is>
          <t>Năm 3</t>
        </is>
      </c>
      <c r="E654" s="45" t="inlineStr">
        <is>
          <t>2027_2028</t>
        </is>
      </c>
      <c r="F654" s="45" t="n">
        <v>4</v>
      </c>
      <c r="G654" s="46">
        <f>VLOOKUP(D654,'Cấu Hình Học Phí'!$A$8:$B$11,2,FALSE)</f>
        <v/>
      </c>
      <c r="H654" s="46">
        <f>F654*G654</f>
        <v/>
      </c>
      <c r="I654" s="45" t="n">
        <v>0</v>
      </c>
      <c r="J654" s="46">
        <f>I654*'Cấu Hình Học Phí'!$B$5</f>
        <v/>
      </c>
      <c r="K654" s="46" t="n">
        <v>0</v>
      </c>
      <c r="L654" s="46">
        <f>H654+J654-K654</f>
        <v/>
      </c>
      <c r="M654" s="46" t="n">
        <v>2662000</v>
      </c>
      <c r="N654" s="46" t="n">
        <v>0</v>
      </c>
      <c r="O654" s="46">
        <f>MAX(0,M654-N654-L654)</f>
        <v/>
      </c>
      <c r="P654" s="46">
        <f>MAX(0,L654-(M654-N654))</f>
        <v/>
      </c>
      <c r="Q654" s="45" t="inlineStr">
        <is>
          <t>30/09/2027</t>
        </is>
      </c>
      <c r="R654" s="45" t="inlineStr">
        <is>
          <t>PT2027-00651</t>
        </is>
      </c>
      <c r="S654" s="45" t="inlineStr"/>
    </row>
    <row r="655">
      <c r="A655" s="45" t="inlineStr">
        <is>
          <t>251210893</t>
        </is>
      </c>
      <c r="B655" s="45" t="inlineStr">
        <is>
          <t>NGUYỄN ĐĂNG KHÔI</t>
        </is>
      </c>
      <c r="C655" s="45" t="inlineStr">
        <is>
          <t>Công nghệ thông tin 3 K66</t>
        </is>
      </c>
      <c r="D655" s="45" t="inlineStr">
        <is>
          <t>Năm 4</t>
        </is>
      </c>
      <c r="E655" s="45" t="inlineStr">
        <is>
          <t>2028_2029</t>
        </is>
      </c>
      <c r="F655" s="45" t="n">
        <v>1</v>
      </c>
      <c r="G655" s="46">
        <f>VLOOKUP(D655,'Cấu Hình Học Phí'!$A$8:$B$11,2,FALSE)</f>
        <v/>
      </c>
      <c r="H655" s="46">
        <f>F655*G655</f>
        <v/>
      </c>
      <c r="I655" s="45" t="n">
        <v>0</v>
      </c>
      <c r="J655" s="46">
        <f>I655*'Cấu Hình Học Phí'!$B$5</f>
        <v/>
      </c>
      <c r="K655" s="46" t="n">
        <v>0</v>
      </c>
      <c r="L655" s="46">
        <f>H655+J655-K655</f>
        <v/>
      </c>
      <c r="M655" s="46" t="n">
        <v>732050</v>
      </c>
      <c r="N655" s="46" t="n">
        <v>0</v>
      </c>
      <c r="O655" s="46">
        <f>MAX(0,M655-N655-L655)</f>
        <v/>
      </c>
      <c r="P655" s="46">
        <f>MAX(0,L655-(M655-N655))</f>
        <v/>
      </c>
      <c r="Q655" s="45" t="inlineStr">
        <is>
          <t>30/09/2028</t>
        </is>
      </c>
      <c r="R655" s="45" t="inlineStr">
        <is>
          <t>PT2028-00652</t>
        </is>
      </c>
      <c r="S655" s="45" t="inlineStr"/>
    </row>
    <row r="656">
      <c r="A656" s="45" t="inlineStr">
        <is>
          <t>251230894</t>
        </is>
      </c>
      <c r="B656" s="45" t="inlineStr">
        <is>
          <t>NGUYỄN NGỌC NGUYÊN KHÔI</t>
        </is>
      </c>
      <c r="C656" s="45" t="inlineStr">
        <is>
          <t>Công nghệ thông tin 3 K66</t>
        </is>
      </c>
      <c r="D656" s="45" t="inlineStr">
        <is>
          <t>Năm 1</t>
        </is>
      </c>
      <c r="E656" s="45" t="inlineStr">
        <is>
          <t>2025_2026</t>
        </is>
      </c>
      <c r="F656" s="45" t="n">
        <v>4</v>
      </c>
      <c r="G656" s="46">
        <f>VLOOKUP(D656,'Cấu Hình Học Phí'!$A$8:$B$11,2,FALSE)</f>
        <v/>
      </c>
      <c r="H656" s="46">
        <f>F656*G656</f>
        <v/>
      </c>
      <c r="I656" s="45" t="n">
        <v>1</v>
      </c>
      <c r="J656" s="46">
        <f>I656*'Cấu Hình Học Phí'!$B$5</f>
        <v/>
      </c>
      <c r="K656" s="46" t="n">
        <v>0</v>
      </c>
      <c r="L656" s="46">
        <f>H656+J656-K656</f>
        <v/>
      </c>
      <c r="M656" s="46" t="n">
        <v>2200000</v>
      </c>
      <c r="N656" s="46" t="n">
        <v>0</v>
      </c>
      <c r="O656" s="46">
        <f>MAX(0,M656-N656-L656)</f>
        <v/>
      </c>
      <c r="P656" s="46">
        <f>MAX(0,L656-(M656-N656))</f>
        <v/>
      </c>
      <c r="Q656" s="45" t="inlineStr">
        <is>
          <t>30/09/2025</t>
        </is>
      </c>
      <c r="R656" s="45" t="inlineStr">
        <is>
          <t>PT2025-00653</t>
        </is>
      </c>
      <c r="S656" s="45" t="inlineStr">
        <is>
          <t>Chưa nộp phí phụ đạo 1 môn</t>
        </is>
      </c>
    </row>
    <row r="657">
      <c r="A657" s="45" t="inlineStr">
        <is>
          <t>251230894</t>
        </is>
      </c>
      <c r="B657" s="45" t="inlineStr">
        <is>
          <t>NGUYỄN NGỌC NGUYÊN KHÔI</t>
        </is>
      </c>
      <c r="C657" s="45" t="inlineStr">
        <is>
          <t>Công nghệ thông tin 3 K66</t>
        </is>
      </c>
      <c r="D657" s="45" t="inlineStr">
        <is>
          <t>Năm 2</t>
        </is>
      </c>
      <c r="E657" s="45" t="inlineStr">
        <is>
          <t>2026_2027</t>
        </is>
      </c>
      <c r="F657" s="45" t="n">
        <v>4</v>
      </c>
      <c r="G657" s="46">
        <f>VLOOKUP(D657,'Cấu Hình Học Phí'!$A$8:$B$11,2,FALSE)</f>
        <v/>
      </c>
      <c r="H657" s="46">
        <f>F657*G657</f>
        <v/>
      </c>
      <c r="I657" s="45" t="n">
        <v>0</v>
      </c>
      <c r="J657" s="46">
        <f>I657*'Cấu Hình Học Phí'!$B$5</f>
        <v/>
      </c>
      <c r="K657" s="46" t="n">
        <v>0</v>
      </c>
      <c r="L657" s="46">
        <f>H657+J657-K657</f>
        <v/>
      </c>
      <c r="M657" s="46" t="n">
        <v>2420000</v>
      </c>
      <c r="N657" s="46" t="n">
        <v>0</v>
      </c>
      <c r="O657" s="46">
        <f>MAX(0,M657-N657-L657)</f>
        <v/>
      </c>
      <c r="P657" s="46">
        <f>MAX(0,L657-(M657-N657))</f>
        <v/>
      </c>
      <c r="Q657" s="45" t="inlineStr">
        <is>
          <t>30/09/2026</t>
        </is>
      </c>
      <c r="R657" s="45" t="inlineStr">
        <is>
          <t>PT2026-00654</t>
        </is>
      </c>
      <c r="S657" s="45" t="inlineStr"/>
    </row>
    <row r="658">
      <c r="A658" s="45" t="inlineStr">
        <is>
          <t>251230894</t>
        </is>
      </c>
      <c r="B658" s="45" t="inlineStr">
        <is>
          <t>NGUYỄN NGỌC NGUYÊN KHÔI</t>
        </is>
      </c>
      <c r="C658" s="45" t="inlineStr">
        <is>
          <t>Công nghệ thông tin 3 K66</t>
        </is>
      </c>
      <c r="D658" s="45" t="inlineStr">
        <is>
          <t>Năm 3</t>
        </is>
      </c>
      <c r="E658" s="45" t="inlineStr">
        <is>
          <t>2027_2028</t>
        </is>
      </c>
      <c r="F658" s="45" t="n">
        <v>4</v>
      </c>
      <c r="G658" s="46">
        <f>VLOOKUP(D658,'Cấu Hình Học Phí'!$A$8:$B$11,2,FALSE)</f>
        <v/>
      </c>
      <c r="H658" s="46">
        <f>F658*G658</f>
        <v/>
      </c>
      <c r="I658" s="45" t="n">
        <v>1</v>
      </c>
      <c r="J658" s="46">
        <f>I658*'Cấu Hình Học Phí'!$B$5</f>
        <v/>
      </c>
      <c r="K658" s="46" t="n">
        <v>0</v>
      </c>
      <c r="L658" s="46">
        <f>H658+J658-K658</f>
        <v/>
      </c>
      <c r="M658" s="46" t="n">
        <v>3662000</v>
      </c>
      <c r="N658" s="46" t="n">
        <v>0</v>
      </c>
      <c r="O658" s="46">
        <f>MAX(0,M658-N658-L658)</f>
        <v/>
      </c>
      <c r="P658" s="46">
        <f>MAX(0,L658-(M658-N658))</f>
        <v/>
      </c>
      <c r="Q658" s="45" t="inlineStr">
        <is>
          <t>30/09/2027</t>
        </is>
      </c>
      <c r="R658" s="45" t="inlineStr">
        <is>
          <t>PT2027-00655</t>
        </is>
      </c>
      <c r="S658" s="45" t="inlineStr"/>
    </row>
    <row r="659">
      <c r="A659" s="45" t="inlineStr">
        <is>
          <t>251230894</t>
        </is>
      </c>
      <c r="B659" s="45" t="inlineStr">
        <is>
          <t>NGUYỄN NGỌC NGUYÊN KHÔI</t>
        </is>
      </c>
      <c r="C659" s="45" t="inlineStr">
        <is>
          <t>Công nghệ thông tin 3 K66</t>
        </is>
      </c>
      <c r="D659" s="45" t="inlineStr">
        <is>
          <t>Năm 4</t>
        </is>
      </c>
      <c r="E659" s="45" t="inlineStr">
        <is>
          <t>2028_2029</t>
        </is>
      </c>
      <c r="F659" s="45" t="n">
        <v>1</v>
      </c>
      <c r="G659" s="46">
        <f>VLOOKUP(D659,'Cấu Hình Học Phí'!$A$8:$B$11,2,FALSE)</f>
        <v/>
      </c>
      <c r="H659" s="46">
        <f>F659*G659</f>
        <v/>
      </c>
      <c r="I659" s="45" t="n">
        <v>0</v>
      </c>
      <c r="J659" s="46">
        <f>I659*'Cấu Hình Học Phí'!$B$5</f>
        <v/>
      </c>
      <c r="K659" s="46" t="n">
        <v>0</v>
      </c>
      <c r="L659" s="46">
        <f>H659+J659-K659</f>
        <v/>
      </c>
      <c r="M659" s="46" t="n">
        <v>732050</v>
      </c>
      <c r="N659" s="46" t="n">
        <v>0</v>
      </c>
      <c r="O659" s="46">
        <f>MAX(0,M659-N659-L659)</f>
        <v/>
      </c>
      <c r="P659" s="46">
        <f>MAX(0,L659-(M659-N659))</f>
        <v/>
      </c>
      <c r="Q659" s="45" t="inlineStr">
        <is>
          <t>30/09/2028</t>
        </is>
      </c>
      <c r="R659" s="45" t="inlineStr">
        <is>
          <t>PT2028-00656</t>
        </is>
      </c>
      <c r="S659" s="45" t="inlineStr"/>
    </row>
    <row r="660">
      <c r="A660" s="45" t="inlineStr">
        <is>
          <t>251230903</t>
        </is>
      </c>
      <c r="B660" s="45" t="inlineStr">
        <is>
          <t>TẠ DUY LINH</t>
        </is>
      </c>
      <c r="C660" s="45" t="inlineStr">
        <is>
          <t>Công nghệ thông tin 3 K66</t>
        </is>
      </c>
      <c r="D660" s="45" t="inlineStr">
        <is>
          <t>Năm 1</t>
        </is>
      </c>
      <c r="E660" s="45" t="inlineStr">
        <is>
          <t>2025_2026</t>
        </is>
      </c>
      <c r="F660" s="45" t="n">
        <v>4</v>
      </c>
      <c r="G660" s="46">
        <f>VLOOKUP(D660,'Cấu Hình Học Phí'!$A$8:$B$11,2,FALSE)</f>
        <v/>
      </c>
      <c r="H660" s="46">
        <f>F660*G660</f>
        <v/>
      </c>
      <c r="I660" s="45" t="n">
        <v>1</v>
      </c>
      <c r="J660" s="46">
        <f>I660*'Cấu Hình Học Phí'!$B$5</f>
        <v/>
      </c>
      <c r="K660" s="46" t="n">
        <v>0</v>
      </c>
      <c r="L660" s="46">
        <f>H660+J660-K660</f>
        <v/>
      </c>
      <c r="M660" s="46" t="n">
        <v>2200000</v>
      </c>
      <c r="N660" s="46" t="n">
        <v>0</v>
      </c>
      <c r="O660" s="46">
        <f>MAX(0,M660-N660-L660)</f>
        <v/>
      </c>
      <c r="P660" s="46">
        <f>MAX(0,L660-(M660-N660))</f>
        <v/>
      </c>
      <c r="Q660" s="45" t="inlineStr">
        <is>
          <t>30/09/2025</t>
        </is>
      </c>
      <c r="R660" s="45" t="inlineStr">
        <is>
          <t>PT2025-00657</t>
        </is>
      </c>
      <c r="S660" s="45" t="inlineStr">
        <is>
          <t>Chưa nộp phí phụ đạo 1 môn</t>
        </is>
      </c>
    </row>
    <row r="661">
      <c r="A661" s="45" t="inlineStr">
        <is>
          <t>251230903</t>
        </is>
      </c>
      <c r="B661" s="45" t="inlineStr">
        <is>
          <t>TẠ DUY LINH</t>
        </is>
      </c>
      <c r="C661" s="45" t="inlineStr">
        <is>
          <t>Công nghệ thông tin 3 K66</t>
        </is>
      </c>
      <c r="D661" s="45" t="inlineStr">
        <is>
          <t>Năm 2</t>
        </is>
      </c>
      <c r="E661" s="45" t="inlineStr">
        <is>
          <t>2026_2027</t>
        </is>
      </c>
      <c r="F661" s="45" t="n">
        <v>4</v>
      </c>
      <c r="G661" s="46">
        <f>VLOOKUP(D661,'Cấu Hình Học Phí'!$A$8:$B$11,2,FALSE)</f>
        <v/>
      </c>
      <c r="H661" s="46">
        <f>F661*G661</f>
        <v/>
      </c>
      <c r="I661" s="45" t="n">
        <v>0</v>
      </c>
      <c r="J661" s="46">
        <f>I661*'Cấu Hình Học Phí'!$B$5</f>
        <v/>
      </c>
      <c r="K661" s="46" t="n">
        <v>0</v>
      </c>
      <c r="L661" s="46">
        <f>H661+J661-K661</f>
        <v/>
      </c>
      <c r="M661" s="46" t="n">
        <v>2420000</v>
      </c>
      <c r="N661" s="46" t="n">
        <v>0</v>
      </c>
      <c r="O661" s="46">
        <f>MAX(0,M661-N661-L661)</f>
        <v/>
      </c>
      <c r="P661" s="46">
        <f>MAX(0,L661-(M661-N661))</f>
        <v/>
      </c>
      <c r="Q661" s="45" t="inlineStr">
        <is>
          <t>30/09/2026</t>
        </is>
      </c>
      <c r="R661" s="45" t="inlineStr">
        <is>
          <t>PT2026-00658</t>
        </is>
      </c>
      <c r="S661" s="45" t="inlineStr"/>
    </row>
    <row r="662">
      <c r="A662" s="45" t="inlineStr">
        <is>
          <t>251230903</t>
        </is>
      </c>
      <c r="B662" s="45" t="inlineStr">
        <is>
          <t>TẠ DUY LINH</t>
        </is>
      </c>
      <c r="C662" s="45" t="inlineStr">
        <is>
          <t>Công nghệ thông tin 3 K66</t>
        </is>
      </c>
      <c r="D662" s="45" t="inlineStr">
        <is>
          <t>Năm 3</t>
        </is>
      </c>
      <c r="E662" s="45" t="inlineStr">
        <is>
          <t>2027_2028</t>
        </is>
      </c>
      <c r="F662" s="45" t="n">
        <v>4</v>
      </c>
      <c r="G662" s="46">
        <f>VLOOKUP(D662,'Cấu Hình Học Phí'!$A$8:$B$11,2,FALSE)</f>
        <v/>
      </c>
      <c r="H662" s="46">
        <f>F662*G662</f>
        <v/>
      </c>
      <c r="I662" s="45" t="n">
        <v>0</v>
      </c>
      <c r="J662" s="46">
        <f>I662*'Cấu Hình Học Phí'!$B$5</f>
        <v/>
      </c>
      <c r="K662" s="46" t="n">
        <v>0</v>
      </c>
      <c r="L662" s="46">
        <f>H662+J662-K662</f>
        <v/>
      </c>
      <c r="M662" s="46" t="n">
        <v>2662000</v>
      </c>
      <c r="N662" s="46" t="n">
        <v>0</v>
      </c>
      <c r="O662" s="46">
        <f>MAX(0,M662-N662-L662)</f>
        <v/>
      </c>
      <c r="P662" s="46">
        <f>MAX(0,L662-(M662-N662))</f>
        <v/>
      </c>
      <c r="Q662" s="45" t="inlineStr">
        <is>
          <t>30/09/2027</t>
        </is>
      </c>
      <c r="R662" s="45" t="inlineStr">
        <is>
          <t>PT2027-00659</t>
        </is>
      </c>
      <c r="S662" s="45" t="inlineStr"/>
    </row>
    <row r="663">
      <c r="A663" s="45" t="inlineStr">
        <is>
          <t>251230903</t>
        </is>
      </c>
      <c r="B663" s="45" t="inlineStr">
        <is>
          <t>TẠ DUY LINH</t>
        </is>
      </c>
      <c r="C663" s="45" t="inlineStr">
        <is>
          <t>Công nghệ thông tin 3 K66</t>
        </is>
      </c>
      <c r="D663" s="45" t="inlineStr">
        <is>
          <t>Năm 4</t>
        </is>
      </c>
      <c r="E663" s="45" t="inlineStr">
        <is>
          <t>2028_2029</t>
        </is>
      </c>
      <c r="F663" s="45" t="n">
        <v>1</v>
      </c>
      <c r="G663" s="46">
        <f>VLOOKUP(D663,'Cấu Hình Học Phí'!$A$8:$B$11,2,FALSE)</f>
        <v/>
      </c>
      <c r="H663" s="46">
        <f>F663*G663</f>
        <v/>
      </c>
      <c r="I663" s="45" t="n">
        <v>0</v>
      </c>
      <c r="J663" s="46">
        <f>I663*'Cấu Hình Học Phí'!$B$5</f>
        <v/>
      </c>
      <c r="K663" s="46" t="n">
        <v>0</v>
      </c>
      <c r="L663" s="46">
        <f>H663+J663-K663</f>
        <v/>
      </c>
      <c r="M663" s="46" t="n">
        <v>732050</v>
      </c>
      <c r="N663" s="46" t="n">
        <v>0</v>
      </c>
      <c r="O663" s="46">
        <f>MAX(0,M663-N663-L663)</f>
        <v/>
      </c>
      <c r="P663" s="46">
        <f>MAX(0,L663-(M663-N663))</f>
        <v/>
      </c>
      <c r="Q663" s="45" t="inlineStr">
        <is>
          <t>30/09/2028</t>
        </is>
      </c>
      <c r="R663" s="45" t="inlineStr">
        <is>
          <t>PT2028-00660</t>
        </is>
      </c>
      <c r="S663" s="45" t="inlineStr"/>
    </row>
    <row r="664">
      <c r="A664" s="45" t="inlineStr">
        <is>
          <t>251210904</t>
        </is>
      </c>
      <c r="B664" s="45" t="inlineStr">
        <is>
          <t>BÙI THIỆN LONG</t>
        </is>
      </c>
      <c r="C664" s="45" t="inlineStr">
        <is>
          <t>Công nghệ thông tin 3 K66</t>
        </is>
      </c>
      <c r="D664" s="45" t="inlineStr">
        <is>
          <t>Năm 1</t>
        </is>
      </c>
      <c r="E664" s="45" t="inlineStr">
        <is>
          <t>2025_2026</t>
        </is>
      </c>
      <c r="F664" s="45" t="n">
        <v>4</v>
      </c>
      <c r="G664" s="46">
        <f>VLOOKUP(D664,'Cấu Hình Học Phí'!$A$8:$B$11,2,FALSE)</f>
        <v/>
      </c>
      <c r="H664" s="46">
        <f>F664*G664</f>
        <v/>
      </c>
      <c r="I664" s="45" t="n">
        <v>1</v>
      </c>
      <c r="J664" s="46">
        <f>I664*'Cấu Hình Học Phí'!$B$5</f>
        <v/>
      </c>
      <c r="K664" s="46" t="n">
        <v>0</v>
      </c>
      <c r="L664" s="46">
        <f>H664+J664-K664</f>
        <v/>
      </c>
      <c r="M664" s="46" t="n">
        <v>2200000</v>
      </c>
      <c r="N664" s="46" t="n">
        <v>0</v>
      </c>
      <c r="O664" s="46">
        <f>MAX(0,M664-N664-L664)</f>
        <v/>
      </c>
      <c r="P664" s="46">
        <f>MAX(0,L664-(M664-N664))</f>
        <v/>
      </c>
      <c r="Q664" s="45" t="inlineStr">
        <is>
          <t>30/09/2025</t>
        </is>
      </c>
      <c r="R664" s="45" t="inlineStr">
        <is>
          <t>PT2025-00661</t>
        </is>
      </c>
      <c r="S664" s="45" t="inlineStr">
        <is>
          <t>Chưa nộp phí phụ đạo 1 môn</t>
        </is>
      </c>
    </row>
    <row r="665">
      <c r="A665" s="45" t="inlineStr">
        <is>
          <t>251210904</t>
        </is>
      </c>
      <c r="B665" s="45" t="inlineStr">
        <is>
          <t>BÙI THIỆN LONG</t>
        </is>
      </c>
      <c r="C665" s="45" t="inlineStr">
        <is>
          <t>Công nghệ thông tin 3 K66</t>
        </is>
      </c>
      <c r="D665" s="45" t="inlineStr">
        <is>
          <t>Năm 2</t>
        </is>
      </c>
      <c r="E665" s="45" t="inlineStr">
        <is>
          <t>2026_2027</t>
        </is>
      </c>
      <c r="F665" s="45" t="n">
        <v>4</v>
      </c>
      <c r="G665" s="46">
        <f>VLOOKUP(D665,'Cấu Hình Học Phí'!$A$8:$B$11,2,FALSE)</f>
        <v/>
      </c>
      <c r="H665" s="46">
        <f>F665*G665</f>
        <v/>
      </c>
      <c r="I665" s="45" t="n">
        <v>0</v>
      </c>
      <c r="J665" s="46">
        <f>I665*'Cấu Hình Học Phí'!$B$5</f>
        <v/>
      </c>
      <c r="K665" s="46" t="n">
        <v>0</v>
      </c>
      <c r="L665" s="46">
        <f>H665+J665-K665</f>
        <v/>
      </c>
      <c r="M665" s="46" t="n">
        <v>2420000</v>
      </c>
      <c r="N665" s="46" t="n">
        <v>0</v>
      </c>
      <c r="O665" s="46">
        <f>MAX(0,M665-N665-L665)</f>
        <v/>
      </c>
      <c r="P665" s="46">
        <f>MAX(0,L665-(M665-N665))</f>
        <v/>
      </c>
      <c r="Q665" s="45" t="inlineStr">
        <is>
          <t>30/09/2026</t>
        </is>
      </c>
      <c r="R665" s="45" t="inlineStr">
        <is>
          <t>PT2026-00662</t>
        </is>
      </c>
      <c r="S665" s="45" t="inlineStr"/>
    </row>
    <row r="666">
      <c r="A666" s="45" t="inlineStr">
        <is>
          <t>251210904</t>
        </is>
      </c>
      <c r="B666" s="45" t="inlineStr">
        <is>
          <t>BÙI THIỆN LONG</t>
        </is>
      </c>
      <c r="C666" s="45" t="inlineStr">
        <is>
          <t>Công nghệ thông tin 3 K66</t>
        </is>
      </c>
      <c r="D666" s="45" t="inlineStr">
        <is>
          <t>Năm 3</t>
        </is>
      </c>
      <c r="E666" s="45" t="inlineStr">
        <is>
          <t>2027_2028</t>
        </is>
      </c>
      <c r="F666" s="45" t="n">
        <v>4</v>
      </c>
      <c r="G666" s="46">
        <f>VLOOKUP(D666,'Cấu Hình Học Phí'!$A$8:$B$11,2,FALSE)</f>
        <v/>
      </c>
      <c r="H666" s="46">
        <f>F666*G666</f>
        <v/>
      </c>
      <c r="I666" s="45" t="n">
        <v>0</v>
      </c>
      <c r="J666" s="46">
        <f>I666*'Cấu Hình Học Phí'!$B$5</f>
        <v/>
      </c>
      <c r="K666" s="46" t="n">
        <v>0</v>
      </c>
      <c r="L666" s="46">
        <f>H666+J666-K666</f>
        <v/>
      </c>
      <c r="M666" s="46" t="n">
        <v>2662000</v>
      </c>
      <c r="N666" s="46" t="n">
        <v>0</v>
      </c>
      <c r="O666" s="46">
        <f>MAX(0,M666-N666-L666)</f>
        <v/>
      </c>
      <c r="P666" s="46">
        <f>MAX(0,L666-(M666-N666))</f>
        <v/>
      </c>
      <c r="Q666" s="45" t="inlineStr">
        <is>
          <t>30/09/2027</t>
        </is>
      </c>
      <c r="R666" s="45" t="inlineStr">
        <is>
          <t>PT2027-00663</t>
        </is>
      </c>
      <c r="S666" s="45" t="inlineStr"/>
    </row>
    <row r="667">
      <c r="A667" s="45" t="inlineStr">
        <is>
          <t>251210904</t>
        </is>
      </c>
      <c r="B667" s="45" t="inlineStr">
        <is>
          <t>BÙI THIỆN LONG</t>
        </is>
      </c>
      <c r="C667" s="45" t="inlineStr">
        <is>
          <t>Công nghệ thông tin 3 K66</t>
        </is>
      </c>
      <c r="D667" s="45" t="inlineStr">
        <is>
          <t>Năm 4</t>
        </is>
      </c>
      <c r="E667" s="45" t="inlineStr">
        <is>
          <t>2028_2029</t>
        </is>
      </c>
      <c r="F667" s="45" t="n">
        <v>1</v>
      </c>
      <c r="G667" s="46">
        <f>VLOOKUP(D667,'Cấu Hình Học Phí'!$A$8:$B$11,2,FALSE)</f>
        <v/>
      </c>
      <c r="H667" s="46">
        <f>F667*G667</f>
        <v/>
      </c>
      <c r="I667" s="45" t="n">
        <v>0</v>
      </c>
      <c r="J667" s="46">
        <f>I667*'Cấu Hình Học Phí'!$B$5</f>
        <v/>
      </c>
      <c r="K667" s="46" t="n">
        <v>0</v>
      </c>
      <c r="L667" s="46">
        <f>H667+J667-K667</f>
        <v/>
      </c>
      <c r="M667" s="46" t="n">
        <v>732050</v>
      </c>
      <c r="N667" s="46" t="n">
        <v>0</v>
      </c>
      <c r="O667" s="46">
        <f>MAX(0,M667-N667-L667)</f>
        <v/>
      </c>
      <c r="P667" s="46">
        <f>MAX(0,L667-(M667-N667))</f>
        <v/>
      </c>
      <c r="Q667" s="45" t="inlineStr">
        <is>
          <t>30/09/2028</t>
        </is>
      </c>
      <c r="R667" s="45" t="inlineStr">
        <is>
          <t>PT2028-00664</t>
        </is>
      </c>
      <c r="S667" s="45" t="inlineStr"/>
    </row>
    <row r="668">
      <c r="A668" s="45" t="inlineStr">
        <is>
          <t>251230905</t>
        </is>
      </c>
      <c r="B668" s="45" t="inlineStr">
        <is>
          <t>CÔNG HOÀNG LONG</t>
        </is>
      </c>
      <c r="C668" s="45" t="inlineStr">
        <is>
          <t>Công nghệ thông tin 3 K66</t>
        </is>
      </c>
      <c r="D668" s="45" t="inlineStr">
        <is>
          <t>Năm 1</t>
        </is>
      </c>
      <c r="E668" s="45" t="inlineStr">
        <is>
          <t>2025_2026</t>
        </is>
      </c>
      <c r="F668" s="45" t="n">
        <v>4</v>
      </c>
      <c r="G668" s="46">
        <f>VLOOKUP(D668,'Cấu Hình Học Phí'!$A$8:$B$11,2,FALSE)</f>
        <v/>
      </c>
      <c r="H668" s="46">
        <f>F668*G668</f>
        <v/>
      </c>
      <c r="I668" s="45" t="n">
        <v>2</v>
      </c>
      <c r="J668" s="46">
        <f>I668*'Cấu Hình Học Phí'!$B$5</f>
        <v/>
      </c>
      <c r="K668" s="46" t="n">
        <v>0</v>
      </c>
      <c r="L668" s="46">
        <f>H668+J668-K668</f>
        <v/>
      </c>
      <c r="M668" s="46" t="n">
        <v>3200000</v>
      </c>
      <c r="N668" s="46" t="n">
        <v>0</v>
      </c>
      <c r="O668" s="46">
        <f>MAX(0,M668-N668-L668)</f>
        <v/>
      </c>
      <c r="P668" s="46">
        <f>MAX(0,L668-(M668-N668))</f>
        <v/>
      </c>
      <c r="Q668" s="45" t="inlineStr">
        <is>
          <t>30/09/2025</t>
        </is>
      </c>
      <c r="R668" s="45" t="inlineStr">
        <is>
          <t>PT2025-00665</t>
        </is>
      </c>
      <c r="S668" s="45" t="inlineStr">
        <is>
          <t>Chưa nộp phí phụ đạo 1 môn</t>
        </is>
      </c>
    </row>
    <row r="669">
      <c r="A669" s="45" t="inlineStr">
        <is>
          <t>251230905</t>
        </is>
      </c>
      <c r="B669" s="45" t="inlineStr">
        <is>
          <t>CÔNG HOÀNG LONG</t>
        </is>
      </c>
      <c r="C669" s="45" t="inlineStr">
        <is>
          <t>Công nghệ thông tin 3 K66</t>
        </is>
      </c>
      <c r="D669" s="45" t="inlineStr">
        <is>
          <t>Năm 2</t>
        </is>
      </c>
      <c r="E669" s="45" t="inlineStr">
        <is>
          <t>2026_2027</t>
        </is>
      </c>
      <c r="F669" s="45" t="n">
        <v>4</v>
      </c>
      <c r="G669" s="46">
        <f>VLOOKUP(D669,'Cấu Hình Học Phí'!$A$8:$B$11,2,FALSE)</f>
        <v/>
      </c>
      <c r="H669" s="46">
        <f>F669*G669</f>
        <v/>
      </c>
      <c r="I669" s="45" t="n">
        <v>1</v>
      </c>
      <c r="J669" s="46">
        <f>I669*'Cấu Hình Học Phí'!$B$5</f>
        <v/>
      </c>
      <c r="K669" s="46" t="n">
        <v>0</v>
      </c>
      <c r="L669" s="46">
        <f>H669+J669-K669</f>
        <v/>
      </c>
      <c r="M669" s="46" t="n">
        <v>3420000</v>
      </c>
      <c r="N669" s="46" t="n">
        <v>0</v>
      </c>
      <c r="O669" s="46">
        <f>MAX(0,M669-N669-L669)</f>
        <v/>
      </c>
      <c r="P669" s="46">
        <f>MAX(0,L669-(M669-N669))</f>
        <v/>
      </c>
      <c r="Q669" s="45" t="inlineStr">
        <is>
          <t>30/09/2026</t>
        </is>
      </c>
      <c r="R669" s="45" t="inlineStr">
        <is>
          <t>PT2026-00666</t>
        </is>
      </c>
      <c r="S669" s="45" t="inlineStr"/>
    </row>
    <row r="670">
      <c r="A670" s="45" t="inlineStr">
        <is>
          <t>251230905</t>
        </is>
      </c>
      <c r="B670" s="45" t="inlineStr">
        <is>
          <t>CÔNG HOÀNG LONG</t>
        </is>
      </c>
      <c r="C670" s="45" t="inlineStr">
        <is>
          <t>Công nghệ thông tin 3 K66</t>
        </is>
      </c>
      <c r="D670" s="45" t="inlineStr">
        <is>
          <t>Năm 3</t>
        </is>
      </c>
      <c r="E670" s="45" t="inlineStr">
        <is>
          <t>2027_2028</t>
        </is>
      </c>
      <c r="F670" s="45" t="n">
        <v>4</v>
      </c>
      <c r="G670" s="46">
        <f>VLOOKUP(D670,'Cấu Hình Học Phí'!$A$8:$B$11,2,FALSE)</f>
        <v/>
      </c>
      <c r="H670" s="46">
        <f>F670*G670</f>
        <v/>
      </c>
      <c r="I670" s="45" t="n">
        <v>1</v>
      </c>
      <c r="J670" s="46">
        <f>I670*'Cấu Hình Học Phí'!$B$5</f>
        <v/>
      </c>
      <c r="K670" s="46" t="n">
        <v>0</v>
      </c>
      <c r="L670" s="46">
        <f>H670+J670-K670</f>
        <v/>
      </c>
      <c r="M670" s="46" t="n">
        <v>2662000</v>
      </c>
      <c r="N670" s="46" t="n">
        <v>0</v>
      </c>
      <c r="O670" s="46">
        <f>MAX(0,M670-N670-L670)</f>
        <v/>
      </c>
      <c r="P670" s="46">
        <f>MAX(0,L670-(M670-N670))</f>
        <v/>
      </c>
      <c r="Q670" s="45" t="inlineStr">
        <is>
          <t>30/09/2027</t>
        </is>
      </c>
      <c r="R670" s="45" t="inlineStr">
        <is>
          <t>PT2027-00667</t>
        </is>
      </c>
      <c r="S670" s="45" t="inlineStr">
        <is>
          <t>Chưa nộp phí phụ đạo 1 môn</t>
        </is>
      </c>
    </row>
    <row r="671">
      <c r="A671" s="45" t="inlineStr">
        <is>
          <t>251230905</t>
        </is>
      </c>
      <c r="B671" s="45" t="inlineStr">
        <is>
          <t>CÔNG HOÀNG LONG</t>
        </is>
      </c>
      <c r="C671" s="45" t="inlineStr">
        <is>
          <t>Công nghệ thông tin 3 K66</t>
        </is>
      </c>
      <c r="D671" s="45" t="inlineStr">
        <is>
          <t>Năm 4</t>
        </is>
      </c>
      <c r="E671" s="45" t="inlineStr">
        <is>
          <t>2028_2029</t>
        </is>
      </c>
      <c r="F671" s="45" t="n">
        <v>1</v>
      </c>
      <c r="G671" s="46">
        <f>VLOOKUP(D671,'Cấu Hình Học Phí'!$A$8:$B$11,2,FALSE)</f>
        <v/>
      </c>
      <c r="H671" s="46">
        <f>F671*G671</f>
        <v/>
      </c>
      <c r="I671" s="45" t="n">
        <v>0</v>
      </c>
      <c r="J671" s="46">
        <f>I671*'Cấu Hình Học Phí'!$B$5</f>
        <v/>
      </c>
      <c r="K671" s="46" t="n">
        <v>0</v>
      </c>
      <c r="L671" s="46">
        <f>H671+J671-K671</f>
        <v/>
      </c>
      <c r="M671" s="46" t="n">
        <v>732050</v>
      </c>
      <c r="N671" s="46" t="n">
        <v>0</v>
      </c>
      <c r="O671" s="46">
        <f>MAX(0,M671-N671-L671)</f>
        <v/>
      </c>
      <c r="P671" s="46">
        <f>MAX(0,L671-(M671-N671))</f>
        <v/>
      </c>
      <c r="Q671" s="45" t="inlineStr">
        <is>
          <t>30/09/2028</t>
        </is>
      </c>
      <c r="R671" s="45" t="inlineStr">
        <is>
          <t>PT2028-00668</t>
        </is>
      </c>
      <c r="S671" s="45" t="inlineStr"/>
    </row>
    <row r="672">
      <c r="A672" s="45" t="inlineStr">
        <is>
          <t>251230907</t>
        </is>
      </c>
      <c r="B672" s="45" t="inlineStr">
        <is>
          <t>ĐẶNG THÀNH LONG</t>
        </is>
      </c>
      <c r="C672" s="45" t="inlineStr">
        <is>
          <t>Công nghệ thông tin 3 K66</t>
        </is>
      </c>
      <c r="D672" s="45" t="inlineStr">
        <is>
          <t>Năm 1</t>
        </is>
      </c>
      <c r="E672" s="45" t="inlineStr">
        <is>
          <t>2025_2026</t>
        </is>
      </c>
      <c r="F672" s="45" t="n">
        <v>4</v>
      </c>
      <c r="G672" s="46">
        <f>VLOOKUP(D672,'Cấu Hình Học Phí'!$A$8:$B$11,2,FALSE)</f>
        <v/>
      </c>
      <c r="H672" s="46">
        <f>F672*G672</f>
        <v/>
      </c>
      <c r="I672" s="45" t="n">
        <v>0</v>
      </c>
      <c r="J672" s="46">
        <f>I672*'Cấu Hình Học Phí'!$B$5</f>
        <v/>
      </c>
      <c r="K672" s="46" t="n">
        <v>0</v>
      </c>
      <c r="L672" s="46">
        <f>H672+J672-K672</f>
        <v/>
      </c>
      <c r="M672" s="46" t="n">
        <v>2200000</v>
      </c>
      <c r="N672" s="46" t="n">
        <v>0</v>
      </c>
      <c r="O672" s="46">
        <f>MAX(0,M672-N672-L672)</f>
        <v/>
      </c>
      <c r="P672" s="46">
        <f>MAX(0,L672-(M672-N672))</f>
        <v/>
      </c>
      <c r="Q672" s="45" t="inlineStr">
        <is>
          <t>30/09/2025</t>
        </is>
      </c>
      <c r="R672" s="45" t="inlineStr">
        <is>
          <t>PT2025-00669</t>
        </is>
      </c>
      <c r="S672" s="45" t="inlineStr"/>
    </row>
    <row r="673">
      <c r="A673" s="45" t="inlineStr">
        <is>
          <t>251230907</t>
        </is>
      </c>
      <c r="B673" s="45" t="inlineStr">
        <is>
          <t>ĐẶNG THÀNH LONG</t>
        </is>
      </c>
      <c r="C673" s="45" t="inlineStr">
        <is>
          <t>Công nghệ thông tin 3 K66</t>
        </is>
      </c>
      <c r="D673" s="45" t="inlineStr">
        <is>
          <t>Năm 2</t>
        </is>
      </c>
      <c r="E673" s="45" t="inlineStr">
        <is>
          <t>2026_2027</t>
        </is>
      </c>
      <c r="F673" s="45" t="n">
        <v>4</v>
      </c>
      <c r="G673" s="46">
        <f>VLOOKUP(D673,'Cấu Hình Học Phí'!$A$8:$B$11,2,FALSE)</f>
        <v/>
      </c>
      <c r="H673" s="46">
        <f>F673*G673</f>
        <v/>
      </c>
      <c r="I673" s="45" t="n">
        <v>1</v>
      </c>
      <c r="J673" s="46">
        <f>I673*'Cấu Hình Học Phí'!$B$5</f>
        <v/>
      </c>
      <c r="K673" s="46" t="n">
        <v>0</v>
      </c>
      <c r="L673" s="46">
        <f>H673+J673-K673</f>
        <v/>
      </c>
      <c r="M673" s="46" t="n">
        <v>2420000</v>
      </c>
      <c r="N673" s="46" t="n">
        <v>0</v>
      </c>
      <c r="O673" s="46">
        <f>MAX(0,M673-N673-L673)</f>
        <v/>
      </c>
      <c r="P673" s="46">
        <f>MAX(0,L673-(M673-N673))</f>
        <v/>
      </c>
      <c r="Q673" s="45" t="inlineStr">
        <is>
          <t>30/09/2026</t>
        </is>
      </c>
      <c r="R673" s="45" t="inlineStr">
        <is>
          <t>PT2026-00670</t>
        </is>
      </c>
      <c r="S673" s="45" t="inlineStr">
        <is>
          <t>Chưa nộp phí phụ đạo 1 môn</t>
        </is>
      </c>
    </row>
    <row r="674">
      <c r="A674" s="45" t="inlineStr">
        <is>
          <t>251230907</t>
        </is>
      </c>
      <c r="B674" s="45" t="inlineStr">
        <is>
          <t>ĐẶNG THÀNH LONG</t>
        </is>
      </c>
      <c r="C674" s="45" t="inlineStr">
        <is>
          <t>Công nghệ thông tin 3 K66</t>
        </is>
      </c>
      <c r="D674" s="45" t="inlineStr">
        <is>
          <t>Năm 3</t>
        </is>
      </c>
      <c r="E674" s="45" t="inlineStr">
        <is>
          <t>2027_2028</t>
        </is>
      </c>
      <c r="F674" s="45" t="n">
        <v>4</v>
      </c>
      <c r="G674" s="46">
        <f>VLOOKUP(D674,'Cấu Hình Học Phí'!$A$8:$B$11,2,FALSE)</f>
        <v/>
      </c>
      <c r="H674" s="46">
        <f>F674*G674</f>
        <v/>
      </c>
      <c r="I674" s="45" t="n">
        <v>0</v>
      </c>
      <c r="J674" s="46">
        <f>I674*'Cấu Hình Học Phí'!$B$5</f>
        <v/>
      </c>
      <c r="K674" s="46" t="n">
        <v>0</v>
      </c>
      <c r="L674" s="46">
        <f>H674+J674-K674</f>
        <v/>
      </c>
      <c r="M674" s="46" t="n">
        <v>2662000</v>
      </c>
      <c r="N674" s="46" t="n">
        <v>0</v>
      </c>
      <c r="O674" s="46">
        <f>MAX(0,M674-N674-L674)</f>
        <v/>
      </c>
      <c r="P674" s="46">
        <f>MAX(0,L674-(M674-N674))</f>
        <v/>
      </c>
      <c r="Q674" s="45" t="inlineStr">
        <is>
          <t>30/09/2027</t>
        </is>
      </c>
      <c r="R674" s="45" t="inlineStr">
        <is>
          <t>PT2027-00671</t>
        </is>
      </c>
      <c r="S674" s="45" t="inlineStr"/>
    </row>
    <row r="675">
      <c r="A675" s="45" t="inlineStr">
        <is>
          <t>251230907</t>
        </is>
      </c>
      <c r="B675" s="45" t="inlineStr">
        <is>
          <t>ĐẶNG THÀNH LONG</t>
        </is>
      </c>
      <c r="C675" s="45" t="inlineStr">
        <is>
          <t>Công nghệ thông tin 3 K66</t>
        </is>
      </c>
      <c r="D675" s="45" t="inlineStr">
        <is>
          <t>Năm 4</t>
        </is>
      </c>
      <c r="E675" s="45" t="inlineStr">
        <is>
          <t>2028_2029</t>
        </is>
      </c>
      <c r="F675" s="45" t="n">
        <v>1</v>
      </c>
      <c r="G675" s="46">
        <f>VLOOKUP(D675,'Cấu Hình Học Phí'!$A$8:$B$11,2,FALSE)</f>
        <v/>
      </c>
      <c r="H675" s="46">
        <f>F675*G675</f>
        <v/>
      </c>
      <c r="I675" s="45" t="n">
        <v>0</v>
      </c>
      <c r="J675" s="46">
        <f>I675*'Cấu Hình Học Phí'!$B$5</f>
        <v/>
      </c>
      <c r="K675" s="46" t="n">
        <v>0</v>
      </c>
      <c r="L675" s="46">
        <f>H675+J675-K675</f>
        <v/>
      </c>
      <c r="M675" s="46" t="n">
        <v>732050</v>
      </c>
      <c r="N675" s="46" t="n">
        <v>0</v>
      </c>
      <c r="O675" s="46">
        <f>MAX(0,M675-N675-L675)</f>
        <v/>
      </c>
      <c r="P675" s="46">
        <f>MAX(0,L675-(M675-N675))</f>
        <v/>
      </c>
      <c r="Q675" s="45" t="inlineStr">
        <is>
          <t>30/09/2028</t>
        </is>
      </c>
      <c r="R675" s="45" t="inlineStr">
        <is>
          <t>PT2028-00672</t>
        </is>
      </c>
      <c r="S675" s="45" t="inlineStr"/>
    </row>
    <row r="676">
      <c r="A676" s="45" t="inlineStr">
        <is>
          <t>251230912</t>
        </is>
      </c>
      <c r="B676" s="45" t="inlineStr">
        <is>
          <t>DƯƠNG DOÃN LƯỢNG</t>
        </is>
      </c>
      <c r="C676" s="45" t="inlineStr">
        <is>
          <t>Công nghệ thông tin 3 K66</t>
        </is>
      </c>
      <c r="D676" s="45" t="inlineStr">
        <is>
          <t>Năm 1</t>
        </is>
      </c>
      <c r="E676" s="45" t="inlineStr">
        <is>
          <t>2025_2026</t>
        </is>
      </c>
      <c r="F676" s="45" t="n">
        <v>4</v>
      </c>
      <c r="G676" s="46">
        <f>VLOOKUP(D676,'Cấu Hình Học Phí'!$A$8:$B$11,2,FALSE)</f>
        <v/>
      </c>
      <c r="H676" s="46">
        <f>F676*G676</f>
        <v/>
      </c>
      <c r="I676" s="45" t="n">
        <v>0</v>
      </c>
      <c r="J676" s="46">
        <f>I676*'Cấu Hình Học Phí'!$B$5</f>
        <v/>
      </c>
      <c r="K676" s="46" t="n">
        <v>0</v>
      </c>
      <c r="L676" s="46">
        <f>H676+J676-K676</f>
        <v/>
      </c>
      <c r="M676" s="46" t="n">
        <v>2200000</v>
      </c>
      <c r="N676" s="46" t="n">
        <v>0</v>
      </c>
      <c r="O676" s="46">
        <f>MAX(0,M676-N676-L676)</f>
        <v/>
      </c>
      <c r="P676" s="46">
        <f>MAX(0,L676-(M676-N676))</f>
        <v/>
      </c>
      <c r="Q676" s="45" t="inlineStr">
        <is>
          <t>30/09/2025</t>
        </is>
      </c>
      <c r="R676" s="45" t="inlineStr">
        <is>
          <t>PT2025-00673</t>
        </is>
      </c>
      <c r="S676" s="45" t="inlineStr"/>
    </row>
    <row r="677">
      <c r="A677" s="45" t="inlineStr">
        <is>
          <t>251230912</t>
        </is>
      </c>
      <c r="B677" s="45" t="inlineStr">
        <is>
          <t>DƯƠNG DOÃN LƯỢNG</t>
        </is>
      </c>
      <c r="C677" s="45" t="inlineStr">
        <is>
          <t>Công nghệ thông tin 3 K66</t>
        </is>
      </c>
      <c r="D677" s="45" t="inlineStr">
        <is>
          <t>Năm 2</t>
        </is>
      </c>
      <c r="E677" s="45" t="inlineStr">
        <is>
          <t>2026_2027</t>
        </is>
      </c>
      <c r="F677" s="45" t="n">
        <v>4</v>
      </c>
      <c r="G677" s="46">
        <f>VLOOKUP(D677,'Cấu Hình Học Phí'!$A$8:$B$11,2,FALSE)</f>
        <v/>
      </c>
      <c r="H677" s="46">
        <f>F677*G677</f>
        <v/>
      </c>
      <c r="I677" s="45" t="n">
        <v>1</v>
      </c>
      <c r="J677" s="46">
        <f>I677*'Cấu Hình Học Phí'!$B$5</f>
        <v/>
      </c>
      <c r="K677" s="46" t="n">
        <v>0</v>
      </c>
      <c r="L677" s="46">
        <f>H677+J677-K677</f>
        <v/>
      </c>
      <c r="M677" s="46" t="n">
        <v>3420000</v>
      </c>
      <c r="N677" s="46" t="n">
        <v>0</v>
      </c>
      <c r="O677" s="46">
        <f>MAX(0,M677-N677-L677)</f>
        <v/>
      </c>
      <c r="P677" s="46">
        <f>MAX(0,L677-(M677-N677))</f>
        <v/>
      </c>
      <c r="Q677" s="45" t="inlineStr">
        <is>
          <t>30/09/2026</t>
        </is>
      </c>
      <c r="R677" s="45" t="inlineStr">
        <is>
          <t>PT2026-00674</t>
        </is>
      </c>
      <c r="S677" s="45" t="inlineStr"/>
    </row>
    <row r="678">
      <c r="A678" s="45" t="inlineStr">
        <is>
          <t>251230912</t>
        </is>
      </c>
      <c r="B678" s="45" t="inlineStr">
        <is>
          <t>DƯƠNG DOÃN LƯỢNG</t>
        </is>
      </c>
      <c r="C678" s="45" t="inlineStr">
        <is>
          <t>Công nghệ thông tin 3 K66</t>
        </is>
      </c>
      <c r="D678" s="45" t="inlineStr">
        <is>
          <t>Năm 3</t>
        </is>
      </c>
      <c r="E678" s="45" t="inlineStr">
        <is>
          <t>2027_2028</t>
        </is>
      </c>
      <c r="F678" s="45" t="n">
        <v>4</v>
      </c>
      <c r="G678" s="46">
        <f>VLOOKUP(D678,'Cấu Hình Học Phí'!$A$8:$B$11,2,FALSE)</f>
        <v/>
      </c>
      <c r="H678" s="46">
        <f>F678*G678</f>
        <v/>
      </c>
      <c r="I678" s="45" t="n">
        <v>1</v>
      </c>
      <c r="J678" s="46">
        <f>I678*'Cấu Hình Học Phí'!$B$5</f>
        <v/>
      </c>
      <c r="K678" s="46" t="n">
        <v>0</v>
      </c>
      <c r="L678" s="46">
        <f>H678+J678-K678</f>
        <v/>
      </c>
      <c r="M678" s="46" t="n">
        <v>3662000</v>
      </c>
      <c r="N678" s="46" t="n">
        <v>0</v>
      </c>
      <c r="O678" s="46">
        <f>MAX(0,M678-N678-L678)</f>
        <v/>
      </c>
      <c r="P678" s="46">
        <f>MAX(0,L678-(M678-N678))</f>
        <v/>
      </c>
      <c r="Q678" s="45" t="inlineStr">
        <is>
          <t>30/09/2027</t>
        </is>
      </c>
      <c r="R678" s="45" t="inlineStr">
        <is>
          <t>PT2027-00675</t>
        </is>
      </c>
      <c r="S678" s="45" t="inlineStr"/>
    </row>
    <row r="679">
      <c r="A679" s="45" t="inlineStr">
        <is>
          <t>251230912</t>
        </is>
      </c>
      <c r="B679" s="45" t="inlineStr">
        <is>
          <t>DƯƠNG DOÃN LƯỢNG</t>
        </is>
      </c>
      <c r="C679" s="45" t="inlineStr">
        <is>
          <t>Công nghệ thông tin 3 K66</t>
        </is>
      </c>
      <c r="D679" s="45" t="inlineStr">
        <is>
          <t>Năm 4</t>
        </is>
      </c>
      <c r="E679" s="45" t="inlineStr">
        <is>
          <t>2028_2029</t>
        </is>
      </c>
      <c r="F679" s="45" t="n">
        <v>1</v>
      </c>
      <c r="G679" s="46">
        <f>VLOOKUP(D679,'Cấu Hình Học Phí'!$A$8:$B$11,2,FALSE)</f>
        <v/>
      </c>
      <c r="H679" s="46">
        <f>F679*G679</f>
        <v/>
      </c>
      <c r="I679" s="45" t="n">
        <v>0</v>
      </c>
      <c r="J679" s="46">
        <f>I679*'Cấu Hình Học Phí'!$B$5</f>
        <v/>
      </c>
      <c r="K679" s="46" t="n">
        <v>0</v>
      </c>
      <c r="L679" s="46">
        <f>H679+J679-K679</f>
        <v/>
      </c>
      <c r="M679" s="46" t="n">
        <v>732050</v>
      </c>
      <c r="N679" s="46" t="n">
        <v>0</v>
      </c>
      <c r="O679" s="46">
        <f>MAX(0,M679-N679-L679)</f>
        <v/>
      </c>
      <c r="P679" s="46">
        <f>MAX(0,L679-(M679-N679))</f>
        <v/>
      </c>
      <c r="Q679" s="45" t="inlineStr">
        <is>
          <t>30/09/2028</t>
        </is>
      </c>
      <c r="R679" s="45" t="inlineStr">
        <is>
          <t>PT2028-00676</t>
        </is>
      </c>
      <c r="S679" s="45" t="inlineStr"/>
    </row>
    <row r="680">
      <c r="A680" s="45" t="inlineStr">
        <is>
          <t>251230915</t>
        </is>
      </c>
      <c r="B680" s="45" t="inlineStr">
        <is>
          <t>LÊ TIẾN MẠNH</t>
        </is>
      </c>
      <c r="C680" s="45" t="inlineStr">
        <is>
          <t>Công nghệ thông tin 3 K66</t>
        </is>
      </c>
      <c r="D680" s="45" t="inlineStr">
        <is>
          <t>Năm 1</t>
        </is>
      </c>
      <c r="E680" s="45" t="inlineStr">
        <is>
          <t>2025_2026</t>
        </is>
      </c>
      <c r="F680" s="45" t="n">
        <v>4</v>
      </c>
      <c r="G680" s="46">
        <f>VLOOKUP(D680,'Cấu Hình Học Phí'!$A$8:$B$11,2,FALSE)</f>
        <v/>
      </c>
      <c r="H680" s="46">
        <f>F680*G680</f>
        <v/>
      </c>
      <c r="I680" s="45" t="n">
        <v>2</v>
      </c>
      <c r="J680" s="46">
        <f>I680*'Cấu Hình Học Phí'!$B$5</f>
        <v/>
      </c>
      <c r="K680" s="46" t="n">
        <v>0</v>
      </c>
      <c r="L680" s="46">
        <f>H680+J680-K680</f>
        <v/>
      </c>
      <c r="M680" s="46" t="n">
        <v>4200000</v>
      </c>
      <c r="N680" s="46" t="n">
        <v>0</v>
      </c>
      <c r="O680" s="46">
        <f>MAX(0,M680-N680-L680)</f>
        <v/>
      </c>
      <c r="P680" s="46">
        <f>MAX(0,L680-(M680-N680))</f>
        <v/>
      </c>
      <c r="Q680" s="45" t="inlineStr">
        <is>
          <t>30/09/2025</t>
        </is>
      </c>
      <c r="R680" s="45" t="inlineStr">
        <is>
          <t>PT2025-00677</t>
        </is>
      </c>
      <c r="S680" s="45" t="inlineStr"/>
    </row>
    <row r="681">
      <c r="A681" s="45" t="inlineStr">
        <is>
          <t>251230915</t>
        </is>
      </c>
      <c r="B681" s="45" t="inlineStr">
        <is>
          <t>LÊ TIẾN MẠNH</t>
        </is>
      </c>
      <c r="C681" s="45" t="inlineStr">
        <is>
          <t>Công nghệ thông tin 3 K66</t>
        </is>
      </c>
      <c r="D681" s="45" t="inlineStr">
        <is>
          <t>Năm 2</t>
        </is>
      </c>
      <c r="E681" s="45" t="inlineStr">
        <is>
          <t>2026_2027</t>
        </is>
      </c>
      <c r="F681" s="45" t="n">
        <v>4</v>
      </c>
      <c r="G681" s="46">
        <f>VLOOKUP(D681,'Cấu Hình Học Phí'!$A$8:$B$11,2,FALSE)</f>
        <v/>
      </c>
      <c r="H681" s="46">
        <f>F681*G681</f>
        <v/>
      </c>
      <c r="I681" s="45" t="n">
        <v>0</v>
      </c>
      <c r="J681" s="46">
        <f>I681*'Cấu Hình Học Phí'!$B$5</f>
        <v/>
      </c>
      <c r="K681" s="46" t="n">
        <v>0</v>
      </c>
      <c r="L681" s="46">
        <f>H681+J681-K681</f>
        <v/>
      </c>
      <c r="M681" s="46" t="n">
        <v>2420000</v>
      </c>
      <c r="N681" s="46" t="n">
        <v>0</v>
      </c>
      <c r="O681" s="46">
        <f>MAX(0,M681-N681-L681)</f>
        <v/>
      </c>
      <c r="P681" s="46">
        <f>MAX(0,L681-(M681-N681))</f>
        <v/>
      </c>
      <c r="Q681" s="45" t="inlineStr">
        <is>
          <t>30/09/2026</t>
        </is>
      </c>
      <c r="R681" s="45" t="inlineStr">
        <is>
          <t>PT2026-00678</t>
        </is>
      </c>
      <c r="S681" s="45" t="inlineStr"/>
    </row>
    <row r="682">
      <c r="A682" s="45" t="inlineStr">
        <is>
          <t>251230915</t>
        </is>
      </c>
      <c r="B682" s="45" t="inlineStr">
        <is>
          <t>LÊ TIẾN MẠNH</t>
        </is>
      </c>
      <c r="C682" s="45" t="inlineStr">
        <is>
          <t>Công nghệ thông tin 3 K66</t>
        </is>
      </c>
      <c r="D682" s="45" t="inlineStr">
        <is>
          <t>Năm 3</t>
        </is>
      </c>
      <c r="E682" s="45" t="inlineStr">
        <is>
          <t>2027_2028</t>
        </is>
      </c>
      <c r="F682" s="45" t="n">
        <v>4</v>
      </c>
      <c r="G682" s="46">
        <f>VLOOKUP(D682,'Cấu Hình Học Phí'!$A$8:$B$11,2,FALSE)</f>
        <v/>
      </c>
      <c r="H682" s="46">
        <f>F682*G682</f>
        <v/>
      </c>
      <c r="I682" s="45" t="n">
        <v>1</v>
      </c>
      <c r="J682" s="46">
        <f>I682*'Cấu Hình Học Phí'!$B$5</f>
        <v/>
      </c>
      <c r="K682" s="46" t="n">
        <v>0</v>
      </c>
      <c r="L682" s="46">
        <f>H682+J682-K682</f>
        <v/>
      </c>
      <c r="M682" s="46" t="n">
        <v>3662000</v>
      </c>
      <c r="N682" s="46" t="n">
        <v>0</v>
      </c>
      <c r="O682" s="46">
        <f>MAX(0,M682-N682-L682)</f>
        <v/>
      </c>
      <c r="P682" s="46">
        <f>MAX(0,L682-(M682-N682))</f>
        <v/>
      </c>
      <c r="Q682" s="45" t="inlineStr">
        <is>
          <t>30/09/2027</t>
        </is>
      </c>
      <c r="R682" s="45" t="inlineStr">
        <is>
          <t>PT2027-00679</t>
        </is>
      </c>
      <c r="S682" s="45" t="inlineStr"/>
    </row>
    <row r="683">
      <c r="A683" s="45" t="inlineStr">
        <is>
          <t>251230915</t>
        </is>
      </c>
      <c r="B683" s="45" t="inlineStr">
        <is>
          <t>LÊ TIẾN MẠNH</t>
        </is>
      </c>
      <c r="C683" s="45" t="inlineStr">
        <is>
          <t>Công nghệ thông tin 3 K66</t>
        </is>
      </c>
      <c r="D683" s="45" t="inlineStr">
        <is>
          <t>Năm 4</t>
        </is>
      </c>
      <c r="E683" s="45" t="inlineStr">
        <is>
          <t>2028_2029</t>
        </is>
      </c>
      <c r="F683" s="45" t="n">
        <v>1</v>
      </c>
      <c r="G683" s="46">
        <f>VLOOKUP(D683,'Cấu Hình Học Phí'!$A$8:$B$11,2,FALSE)</f>
        <v/>
      </c>
      <c r="H683" s="46">
        <f>F683*G683</f>
        <v/>
      </c>
      <c r="I683" s="45" t="n">
        <v>0</v>
      </c>
      <c r="J683" s="46">
        <f>I683*'Cấu Hình Học Phí'!$B$5</f>
        <v/>
      </c>
      <c r="K683" s="46" t="n">
        <v>0</v>
      </c>
      <c r="L683" s="46">
        <f>H683+J683-K683</f>
        <v/>
      </c>
      <c r="M683" s="46" t="n">
        <v>732050</v>
      </c>
      <c r="N683" s="46" t="n">
        <v>0</v>
      </c>
      <c r="O683" s="46">
        <f>MAX(0,M683-N683-L683)</f>
        <v/>
      </c>
      <c r="P683" s="46">
        <f>MAX(0,L683-(M683-N683))</f>
        <v/>
      </c>
      <c r="Q683" s="45" t="inlineStr">
        <is>
          <t>30/09/2028</t>
        </is>
      </c>
      <c r="R683" s="45" t="inlineStr">
        <is>
          <t>PT2028-00680</t>
        </is>
      </c>
      <c r="S683" s="45" t="inlineStr"/>
    </row>
    <row r="684">
      <c r="A684" s="45" t="inlineStr">
        <is>
          <t>241230792</t>
        </is>
      </c>
      <c r="B684" s="45" t="inlineStr">
        <is>
          <t>Bùi Nhật Minh</t>
        </is>
      </c>
      <c r="C684" s="45" t="inlineStr">
        <is>
          <t>Công nghệ thông tin 3 K66</t>
        </is>
      </c>
      <c r="D684" s="45" t="inlineStr">
        <is>
          <t>Năm 1</t>
        </is>
      </c>
      <c r="E684" s="45" t="inlineStr">
        <is>
          <t>2025_2026</t>
        </is>
      </c>
      <c r="F684" s="45" t="n">
        <v>4</v>
      </c>
      <c r="G684" s="46">
        <f>VLOOKUP(D684,'Cấu Hình Học Phí'!$A$8:$B$11,2,FALSE)</f>
        <v/>
      </c>
      <c r="H684" s="46">
        <f>F684*G684</f>
        <v/>
      </c>
      <c r="I684" s="45" t="n">
        <v>1</v>
      </c>
      <c r="J684" s="46">
        <f>I684*'Cấu Hình Học Phí'!$B$5</f>
        <v/>
      </c>
      <c r="K684" s="46" t="n">
        <v>0</v>
      </c>
      <c r="L684" s="46">
        <f>H684+J684-K684</f>
        <v/>
      </c>
      <c r="M684" s="46" t="n">
        <v>3200000</v>
      </c>
      <c r="N684" s="46" t="n">
        <v>0</v>
      </c>
      <c r="O684" s="46">
        <f>MAX(0,M684-N684-L684)</f>
        <v/>
      </c>
      <c r="P684" s="46">
        <f>MAX(0,L684-(M684-N684))</f>
        <v/>
      </c>
      <c r="Q684" s="45" t="inlineStr">
        <is>
          <t>30/09/2025</t>
        </is>
      </c>
      <c r="R684" s="45" t="inlineStr">
        <is>
          <t>PT2025-00681</t>
        </is>
      </c>
      <c r="S684" s="45" t="inlineStr"/>
    </row>
    <row r="685">
      <c r="A685" s="45" t="inlineStr">
        <is>
          <t>241230792</t>
        </is>
      </c>
      <c r="B685" s="45" t="inlineStr">
        <is>
          <t>Bùi Nhật Minh</t>
        </is>
      </c>
      <c r="C685" s="45" t="inlineStr">
        <is>
          <t>Công nghệ thông tin 3 K66</t>
        </is>
      </c>
      <c r="D685" s="45" t="inlineStr">
        <is>
          <t>Năm 2</t>
        </is>
      </c>
      <c r="E685" s="45" t="inlineStr">
        <is>
          <t>2026_2027</t>
        </is>
      </c>
      <c r="F685" s="45" t="n">
        <v>4</v>
      </c>
      <c r="G685" s="46">
        <f>VLOOKUP(D685,'Cấu Hình Học Phí'!$A$8:$B$11,2,FALSE)</f>
        <v/>
      </c>
      <c r="H685" s="46">
        <f>F685*G685</f>
        <v/>
      </c>
      <c r="I685" s="45" t="n">
        <v>0</v>
      </c>
      <c r="J685" s="46">
        <f>I685*'Cấu Hình Học Phí'!$B$5</f>
        <v/>
      </c>
      <c r="K685" s="46" t="n">
        <v>0</v>
      </c>
      <c r="L685" s="46">
        <f>H685+J685-K685</f>
        <v/>
      </c>
      <c r="M685" s="46" t="n">
        <v>2420000</v>
      </c>
      <c r="N685" s="46" t="n">
        <v>0</v>
      </c>
      <c r="O685" s="46">
        <f>MAX(0,M685-N685-L685)</f>
        <v/>
      </c>
      <c r="P685" s="46">
        <f>MAX(0,L685-(M685-N685))</f>
        <v/>
      </c>
      <c r="Q685" s="45" t="inlineStr">
        <is>
          <t>30/09/2026</t>
        </is>
      </c>
      <c r="R685" s="45" t="inlineStr">
        <is>
          <t>PT2026-00682</t>
        </is>
      </c>
      <c r="S685" s="45" t="inlineStr"/>
    </row>
    <row r="686">
      <c r="A686" s="45" t="inlineStr">
        <is>
          <t>241230792</t>
        </is>
      </c>
      <c r="B686" s="45" t="inlineStr">
        <is>
          <t>Bùi Nhật Minh</t>
        </is>
      </c>
      <c r="C686" s="45" t="inlineStr">
        <is>
          <t>Công nghệ thông tin 3 K66</t>
        </is>
      </c>
      <c r="D686" s="45" t="inlineStr">
        <is>
          <t>Năm 3</t>
        </is>
      </c>
      <c r="E686" s="45" t="inlineStr">
        <is>
          <t>2027_2028</t>
        </is>
      </c>
      <c r="F686" s="45" t="n">
        <v>4</v>
      </c>
      <c r="G686" s="46">
        <f>VLOOKUP(D686,'Cấu Hình Học Phí'!$A$8:$B$11,2,FALSE)</f>
        <v/>
      </c>
      <c r="H686" s="46">
        <f>F686*G686</f>
        <v/>
      </c>
      <c r="I686" s="45" t="n">
        <v>0</v>
      </c>
      <c r="J686" s="46">
        <f>I686*'Cấu Hình Học Phí'!$B$5</f>
        <v/>
      </c>
      <c r="K686" s="46" t="n">
        <v>0</v>
      </c>
      <c r="L686" s="46">
        <f>H686+J686-K686</f>
        <v/>
      </c>
      <c r="M686" s="46" t="n">
        <v>2662000</v>
      </c>
      <c r="N686" s="46" t="n">
        <v>0</v>
      </c>
      <c r="O686" s="46">
        <f>MAX(0,M686-N686-L686)</f>
        <v/>
      </c>
      <c r="P686" s="46">
        <f>MAX(0,L686-(M686-N686))</f>
        <v/>
      </c>
      <c r="Q686" s="45" t="inlineStr">
        <is>
          <t>30/09/2027</t>
        </is>
      </c>
      <c r="R686" s="45" t="inlineStr">
        <is>
          <t>PT2027-00683</t>
        </is>
      </c>
      <c r="S686" s="45" t="inlineStr"/>
    </row>
    <row r="687">
      <c r="A687" s="45" t="inlineStr">
        <is>
          <t>241230792</t>
        </is>
      </c>
      <c r="B687" s="45" t="inlineStr">
        <is>
          <t>Bùi Nhật Minh</t>
        </is>
      </c>
      <c r="C687" s="45" t="inlineStr">
        <is>
          <t>Công nghệ thông tin 3 K66</t>
        </is>
      </c>
      <c r="D687" s="45" t="inlineStr">
        <is>
          <t>Năm 4</t>
        </is>
      </c>
      <c r="E687" s="45" t="inlineStr">
        <is>
          <t>2028_2029</t>
        </is>
      </c>
      <c r="F687" s="45" t="n">
        <v>1</v>
      </c>
      <c r="G687" s="46">
        <f>VLOOKUP(D687,'Cấu Hình Học Phí'!$A$8:$B$11,2,FALSE)</f>
        <v/>
      </c>
      <c r="H687" s="46">
        <f>F687*G687</f>
        <v/>
      </c>
      <c r="I687" s="45" t="n">
        <v>1</v>
      </c>
      <c r="J687" s="46">
        <f>I687*'Cấu Hình Học Phí'!$B$5</f>
        <v/>
      </c>
      <c r="K687" s="46" t="n">
        <v>0</v>
      </c>
      <c r="L687" s="46">
        <f>H687+J687-K687</f>
        <v/>
      </c>
      <c r="M687" s="46" t="n">
        <v>1732050</v>
      </c>
      <c r="N687" s="46" t="n">
        <v>0</v>
      </c>
      <c r="O687" s="46">
        <f>MAX(0,M687-N687-L687)</f>
        <v/>
      </c>
      <c r="P687" s="46">
        <f>MAX(0,L687-(M687-N687))</f>
        <v/>
      </c>
      <c r="Q687" s="45" t="inlineStr">
        <is>
          <t>30/09/2028</t>
        </is>
      </c>
      <c r="R687" s="45" t="inlineStr">
        <is>
          <t>PT2028-00684</t>
        </is>
      </c>
      <c r="S687" s="45" t="inlineStr"/>
    </row>
    <row r="688">
      <c r="A688" s="45" t="inlineStr">
        <is>
          <t>251210920</t>
        </is>
      </c>
      <c r="B688" s="45" t="inlineStr">
        <is>
          <t>ĐÀM QUANG MINH</t>
        </is>
      </c>
      <c r="C688" s="45" t="inlineStr">
        <is>
          <t>Công nghệ thông tin 3 K66</t>
        </is>
      </c>
      <c r="D688" s="45" t="inlineStr">
        <is>
          <t>Năm 1</t>
        </is>
      </c>
      <c r="E688" s="45" t="inlineStr">
        <is>
          <t>2025_2026</t>
        </is>
      </c>
      <c r="F688" s="45" t="n">
        <v>4</v>
      </c>
      <c r="G688" s="46">
        <f>VLOOKUP(D688,'Cấu Hình Học Phí'!$A$8:$B$11,2,FALSE)</f>
        <v/>
      </c>
      <c r="H688" s="46">
        <f>F688*G688</f>
        <v/>
      </c>
      <c r="I688" s="45" t="n">
        <v>2</v>
      </c>
      <c r="J688" s="46">
        <f>I688*'Cấu Hình Học Phí'!$B$5</f>
        <v/>
      </c>
      <c r="K688" s="46" t="n">
        <v>0</v>
      </c>
      <c r="L688" s="46">
        <f>H688+J688-K688</f>
        <v/>
      </c>
      <c r="M688" s="46" t="n">
        <v>2200000</v>
      </c>
      <c r="N688" s="46" t="n">
        <v>0</v>
      </c>
      <c r="O688" s="46">
        <f>MAX(0,M688-N688-L688)</f>
        <v/>
      </c>
      <c r="P688" s="46">
        <f>MAX(0,L688-(M688-N688))</f>
        <v/>
      </c>
      <c r="Q688" s="45" t="inlineStr">
        <is>
          <t>30/09/2025</t>
        </is>
      </c>
      <c r="R688" s="45" t="inlineStr">
        <is>
          <t>PT2025-00685</t>
        </is>
      </c>
      <c r="S688" s="45" t="inlineStr">
        <is>
          <t>Chưa nộp phí phụ đạo 2 môn</t>
        </is>
      </c>
    </row>
    <row r="689">
      <c r="A689" s="45" t="inlineStr">
        <is>
          <t>251210920</t>
        </is>
      </c>
      <c r="B689" s="45" t="inlineStr">
        <is>
          <t>ĐÀM QUANG MINH</t>
        </is>
      </c>
      <c r="C689" s="45" t="inlineStr">
        <is>
          <t>Công nghệ thông tin 3 K66</t>
        </is>
      </c>
      <c r="D689" s="45" t="inlineStr">
        <is>
          <t>Năm 2</t>
        </is>
      </c>
      <c r="E689" s="45" t="inlineStr">
        <is>
          <t>2026_2027</t>
        </is>
      </c>
      <c r="F689" s="45" t="n">
        <v>4</v>
      </c>
      <c r="G689" s="46">
        <f>VLOOKUP(D689,'Cấu Hình Học Phí'!$A$8:$B$11,2,FALSE)</f>
        <v/>
      </c>
      <c r="H689" s="46">
        <f>F689*G689</f>
        <v/>
      </c>
      <c r="I689" s="45" t="n">
        <v>0</v>
      </c>
      <c r="J689" s="46">
        <f>I689*'Cấu Hình Học Phí'!$B$5</f>
        <v/>
      </c>
      <c r="K689" s="46" t="n">
        <v>0</v>
      </c>
      <c r="L689" s="46">
        <f>H689+J689-K689</f>
        <v/>
      </c>
      <c r="M689" s="46" t="n">
        <v>2420000</v>
      </c>
      <c r="N689" s="46" t="n">
        <v>0</v>
      </c>
      <c r="O689" s="46">
        <f>MAX(0,M689-N689-L689)</f>
        <v/>
      </c>
      <c r="P689" s="46">
        <f>MAX(0,L689-(M689-N689))</f>
        <v/>
      </c>
      <c r="Q689" s="45" t="inlineStr">
        <is>
          <t>30/09/2026</t>
        </is>
      </c>
      <c r="R689" s="45" t="inlineStr">
        <is>
          <t>PT2026-00686</t>
        </is>
      </c>
      <c r="S689" s="45" t="inlineStr"/>
    </row>
    <row r="690">
      <c r="A690" s="45" t="inlineStr">
        <is>
          <t>251210920</t>
        </is>
      </c>
      <c r="B690" s="45" t="inlineStr">
        <is>
          <t>ĐÀM QUANG MINH</t>
        </is>
      </c>
      <c r="C690" s="45" t="inlineStr">
        <is>
          <t>Công nghệ thông tin 3 K66</t>
        </is>
      </c>
      <c r="D690" s="45" t="inlineStr">
        <is>
          <t>Năm 3</t>
        </is>
      </c>
      <c r="E690" s="45" t="inlineStr">
        <is>
          <t>2027_2028</t>
        </is>
      </c>
      <c r="F690" s="45" t="n">
        <v>4</v>
      </c>
      <c r="G690" s="46">
        <f>VLOOKUP(D690,'Cấu Hình Học Phí'!$A$8:$B$11,2,FALSE)</f>
        <v/>
      </c>
      <c r="H690" s="46">
        <f>F690*G690</f>
        <v/>
      </c>
      <c r="I690" s="45" t="n">
        <v>0</v>
      </c>
      <c r="J690" s="46">
        <f>I690*'Cấu Hình Học Phí'!$B$5</f>
        <v/>
      </c>
      <c r="K690" s="46" t="n">
        <v>0</v>
      </c>
      <c r="L690" s="46">
        <f>H690+J690-K690</f>
        <v/>
      </c>
      <c r="M690" s="46" t="n">
        <v>2662000</v>
      </c>
      <c r="N690" s="46" t="n">
        <v>0</v>
      </c>
      <c r="O690" s="46">
        <f>MAX(0,M690-N690-L690)</f>
        <v/>
      </c>
      <c r="P690" s="46">
        <f>MAX(0,L690-(M690-N690))</f>
        <v/>
      </c>
      <c r="Q690" s="45" t="inlineStr">
        <is>
          <t>30/09/2027</t>
        </is>
      </c>
      <c r="R690" s="45" t="inlineStr">
        <is>
          <t>PT2027-00687</t>
        </is>
      </c>
      <c r="S690" s="45" t="inlineStr"/>
    </row>
    <row r="691">
      <c r="A691" s="45" t="inlineStr">
        <is>
          <t>251210920</t>
        </is>
      </c>
      <c r="B691" s="45" t="inlineStr">
        <is>
          <t>ĐÀM QUANG MINH</t>
        </is>
      </c>
      <c r="C691" s="45" t="inlineStr">
        <is>
          <t>Công nghệ thông tin 3 K66</t>
        </is>
      </c>
      <c r="D691" s="45" t="inlineStr">
        <is>
          <t>Năm 4</t>
        </is>
      </c>
      <c r="E691" s="45" t="inlineStr">
        <is>
          <t>2028_2029</t>
        </is>
      </c>
      <c r="F691" s="45" t="n">
        <v>1</v>
      </c>
      <c r="G691" s="46">
        <f>VLOOKUP(D691,'Cấu Hình Học Phí'!$A$8:$B$11,2,FALSE)</f>
        <v/>
      </c>
      <c r="H691" s="46">
        <f>F691*G691</f>
        <v/>
      </c>
      <c r="I691" s="45" t="n">
        <v>0</v>
      </c>
      <c r="J691" s="46">
        <f>I691*'Cấu Hình Học Phí'!$B$5</f>
        <v/>
      </c>
      <c r="K691" s="46" t="n">
        <v>0</v>
      </c>
      <c r="L691" s="46">
        <f>H691+J691-K691</f>
        <v/>
      </c>
      <c r="M691" s="46" t="n">
        <v>732050</v>
      </c>
      <c r="N691" s="46" t="n">
        <v>0</v>
      </c>
      <c r="O691" s="46">
        <f>MAX(0,M691-N691-L691)</f>
        <v/>
      </c>
      <c r="P691" s="46">
        <f>MAX(0,L691-(M691-N691))</f>
        <v/>
      </c>
      <c r="Q691" s="45" t="inlineStr">
        <is>
          <t>30/09/2028</t>
        </is>
      </c>
      <c r="R691" s="45" t="inlineStr">
        <is>
          <t>PT2028-00688</t>
        </is>
      </c>
      <c r="S691" s="45" t="inlineStr"/>
    </row>
    <row r="692">
      <c r="A692" s="45" t="inlineStr">
        <is>
          <t>251210921</t>
        </is>
      </c>
      <c r="B692" s="45" t="inlineStr">
        <is>
          <t>ĐẶNG ĐÌNH MINH</t>
        </is>
      </c>
      <c r="C692" s="45" t="inlineStr">
        <is>
          <t>Công nghệ thông tin 3 K66</t>
        </is>
      </c>
      <c r="D692" s="45" t="inlineStr">
        <is>
          <t>Năm 1</t>
        </is>
      </c>
      <c r="E692" s="45" t="inlineStr">
        <is>
          <t>2025_2026</t>
        </is>
      </c>
      <c r="F692" s="45" t="n">
        <v>4</v>
      </c>
      <c r="G692" s="46">
        <f>VLOOKUP(D692,'Cấu Hình Học Phí'!$A$8:$B$11,2,FALSE)</f>
        <v/>
      </c>
      <c r="H692" s="46">
        <f>F692*G692</f>
        <v/>
      </c>
      <c r="I692" s="45" t="n">
        <v>1</v>
      </c>
      <c r="J692" s="46">
        <f>I692*'Cấu Hình Học Phí'!$B$5</f>
        <v/>
      </c>
      <c r="K692" s="46" t="n">
        <v>0</v>
      </c>
      <c r="L692" s="46">
        <f>H692+J692-K692</f>
        <v/>
      </c>
      <c r="M692" s="46" t="n">
        <v>3200000</v>
      </c>
      <c r="N692" s="46" t="n">
        <v>0</v>
      </c>
      <c r="O692" s="46">
        <f>MAX(0,M692-N692-L692)</f>
        <v/>
      </c>
      <c r="P692" s="46">
        <f>MAX(0,L692-(M692-N692))</f>
        <v/>
      </c>
      <c r="Q692" s="45" t="inlineStr">
        <is>
          <t>30/09/2025</t>
        </is>
      </c>
      <c r="R692" s="45" t="inlineStr">
        <is>
          <t>PT2025-00689</t>
        </is>
      </c>
      <c r="S692" s="45" t="inlineStr"/>
    </row>
    <row r="693">
      <c r="A693" s="45" t="inlineStr">
        <is>
          <t>251210921</t>
        </is>
      </c>
      <c r="B693" s="45" t="inlineStr">
        <is>
          <t>ĐẶNG ĐÌNH MINH</t>
        </is>
      </c>
      <c r="C693" s="45" t="inlineStr">
        <is>
          <t>Công nghệ thông tin 3 K66</t>
        </is>
      </c>
      <c r="D693" s="45" t="inlineStr">
        <is>
          <t>Năm 2</t>
        </is>
      </c>
      <c r="E693" s="45" t="inlineStr">
        <is>
          <t>2026_2027</t>
        </is>
      </c>
      <c r="F693" s="45" t="n">
        <v>4</v>
      </c>
      <c r="G693" s="46">
        <f>VLOOKUP(D693,'Cấu Hình Học Phí'!$A$8:$B$11,2,FALSE)</f>
        <v/>
      </c>
      <c r="H693" s="46">
        <f>F693*G693</f>
        <v/>
      </c>
      <c r="I693" s="45" t="n">
        <v>1</v>
      </c>
      <c r="J693" s="46">
        <f>I693*'Cấu Hình Học Phí'!$B$5</f>
        <v/>
      </c>
      <c r="K693" s="46" t="n">
        <v>0</v>
      </c>
      <c r="L693" s="46">
        <f>H693+J693-K693</f>
        <v/>
      </c>
      <c r="M693" s="46" t="n">
        <v>3420000</v>
      </c>
      <c r="N693" s="46" t="n">
        <v>0</v>
      </c>
      <c r="O693" s="46">
        <f>MAX(0,M693-N693-L693)</f>
        <v/>
      </c>
      <c r="P693" s="46">
        <f>MAX(0,L693-(M693-N693))</f>
        <v/>
      </c>
      <c r="Q693" s="45" t="inlineStr">
        <is>
          <t>30/09/2026</t>
        </is>
      </c>
      <c r="R693" s="45" t="inlineStr">
        <is>
          <t>PT2026-00690</t>
        </is>
      </c>
      <c r="S693" s="45" t="inlineStr"/>
    </row>
    <row r="694">
      <c r="A694" s="45" t="inlineStr">
        <is>
          <t>251210921</t>
        </is>
      </c>
      <c r="B694" s="45" t="inlineStr">
        <is>
          <t>ĐẶNG ĐÌNH MINH</t>
        </is>
      </c>
      <c r="C694" s="45" t="inlineStr">
        <is>
          <t>Công nghệ thông tin 3 K66</t>
        </is>
      </c>
      <c r="D694" s="45" t="inlineStr">
        <is>
          <t>Năm 3</t>
        </is>
      </c>
      <c r="E694" s="45" t="inlineStr">
        <is>
          <t>2027_2028</t>
        </is>
      </c>
      <c r="F694" s="45" t="n">
        <v>4</v>
      </c>
      <c r="G694" s="46">
        <f>VLOOKUP(D694,'Cấu Hình Học Phí'!$A$8:$B$11,2,FALSE)</f>
        <v/>
      </c>
      <c r="H694" s="46">
        <f>F694*G694</f>
        <v/>
      </c>
      <c r="I694" s="45" t="n">
        <v>1</v>
      </c>
      <c r="J694" s="46">
        <f>I694*'Cấu Hình Học Phí'!$B$5</f>
        <v/>
      </c>
      <c r="K694" s="46" t="n">
        <v>0</v>
      </c>
      <c r="L694" s="46">
        <f>H694+J694-K694</f>
        <v/>
      </c>
      <c r="M694" s="46" t="n">
        <v>3662000</v>
      </c>
      <c r="N694" s="46" t="n">
        <v>0</v>
      </c>
      <c r="O694" s="46">
        <f>MAX(0,M694-N694-L694)</f>
        <v/>
      </c>
      <c r="P694" s="46">
        <f>MAX(0,L694-(M694-N694))</f>
        <v/>
      </c>
      <c r="Q694" s="45" t="inlineStr">
        <is>
          <t>30/09/2027</t>
        </is>
      </c>
      <c r="R694" s="45" t="inlineStr">
        <is>
          <t>PT2027-00691</t>
        </is>
      </c>
      <c r="S694" s="45" t="inlineStr"/>
    </row>
    <row r="695">
      <c r="A695" s="45" t="inlineStr">
        <is>
          <t>251210921</t>
        </is>
      </c>
      <c r="B695" s="45" t="inlineStr">
        <is>
          <t>ĐẶNG ĐÌNH MINH</t>
        </is>
      </c>
      <c r="C695" s="45" t="inlineStr">
        <is>
          <t>Công nghệ thông tin 3 K66</t>
        </is>
      </c>
      <c r="D695" s="45" t="inlineStr">
        <is>
          <t>Năm 4</t>
        </is>
      </c>
      <c r="E695" s="45" t="inlineStr">
        <is>
          <t>2028_2029</t>
        </is>
      </c>
      <c r="F695" s="45" t="n">
        <v>1</v>
      </c>
      <c r="G695" s="46">
        <f>VLOOKUP(D695,'Cấu Hình Học Phí'!$A$8:$B$11,2,FALSE)</f>
        <v/>
      </c>
      <c r="H695" s="46">
        <f>F695*G695</f>
        <v/>
      </c>
      <c r="I695" s="45" t="n">
        <v>0</v>
      </c>
      <c r="J695" s="46">
        <f>I695*'Cấu Hình Học Phí'!$B$5</f>
        <v/>
      </c>
      <c r="K695" s="46" t="n">
        <v>0</v>
      </c>
      <c r="L695" s="46">
        <f>H695+J695-K695</f>
        <v/>
      </c>
      <c r="M695" s="46" t="n">
        <v>732050</v>
      </c>
      <c r="N695" s="46" t="n">
        <v>0</v>
      </c>
      <c r="O695" s="46">
        <f>MAX(0,M695-N695-L695)</f>
        <v/>
      </c>
      <c r="P695" s="46">
        <f>MAX(0,L695-(M695-N695))</f>
        <v/>
      </c>
      <c r="Q695" s="45" t="inlineStr">
        <is>
          <t>30/09/2028</t>
        </is>
      </c>
      <c r="R695" s="45" t="inlineStr">
        <is>
          <t>PT2028-00692</t>
        </is>
      </c>
      <c r="S695" s="45" t="inlineStr"/>
    </row>
    <row r="696">
      <c r="A696" s="45" t="inlineStr">
        <is>
          <t>251230922</t>
        </is>
      </c>
      <c r="B696" s="45" t="inlineStr">
        <is>
          <t>HOÀNG VĂN MINH</t>
        </is>
      </c>
      <c r="C696" s="45" t="inlineStr">
        <is>
          <t>Công nghệ thông tin 3 K66</t>
        </is>
      </c>
      <c r="D696" s="45" t="inlineStr">
        <is>
          <t>Năm 1</t>
        </is>
      </c>
      <c r="E696" s="45" t="inlineStr">
        <is>
          <t>2025_2026</t>
        </is>
      </c>
      <c r="F696" s="45" t="n">
        <v>4</v>
      </c>
      <c r="G696" s="46">
        <f>VLOOKUP(D696,'Cấu Hình Học Phí'!$A$8:$B$11,2,FALSE)</f>
        <v/>
      </c>
      <c r="H696" s="46">
        <f>F696*G696</f>
        <v/>
      </c>
      <c r="I696" s="45" t="n">
        <v>1</v>
      </c>
      <c r="J696" s="46">
        <f>I696*'Cấu Hình Học Phí'!$B$5</f>
        <v/>
      </c>
      <c r="K696" s="46" t="n">
        <v>0</v>
      </c>
      <c r="L696" s="46">
        <f>H696+J696-K696</f>
        <v/>
      </c>
      <c r="M696" s="46" t="n">
        <v>3200000</v>
      </c>
      <c r="N696" s="46" t="n">
        <v>0</v>
      </c>
      <c r="O696" s="46">
        <f>MAX(0,M696-N696-L696)</f>
        <v/>
      </c>
      <c r="P696" s="46">
        <f>MAX(0,L696-(M696-N696))</f>
        <v/>
      </c>
      <c r="Q696" s="45" t="inlineStr">
        <is>
          <t>30/09/2025</t>
        </is>
      </c>
      <c r="R696" s="45" t="inlineStr">
        <is>
          <t>PT2025-00693</t>
        </is>
      </c>
      <c r="S696" s="45" t="inlineStr"/>
    </row>
    <row r="697">
      <c r="A697" s="45" t="inlineStr">
        <is>
          <t>251230922</t>
        </is>
      </c>
      <c r="B697" s="45" t="inlineStr">
        <is>
          <t>HOÀNG VĂN MINH</t>
        </is>
      </c>
      <c r="C697" s="45" t="inlineStr">
        <is>
          <t>Công nghệ thông tin 3 K66</t>
        </is>
      </c>
      <c r="D697" s="45" t="inlineStr">
        <is>
          <t>Năm 2</t>
        </is>
      </c>
      <c r="E697" s="45" t="inlineStr">
        <is>
          <t>2026_2027</t>
        </is>
      </c>
      <c r="F697" s="45" t="n">
        <v>4</v>
      </c>
      <c r="G697" s="46">
        <f>VLOOKUP(D697,'Cấu Hình Học Phí'!$A$8:$B$11,2,FALSE)</f>
        <v/>
      </c>
      <c r="H697" s="46">
        <f>F697*G697</f>
        <v/>
      </c>
      <c r="I697" s="45" t="n">
        <v>0</v>
      </c>
      <c r="J697" s="46">
        <f>I697*'Cấu Hình Học Phí'!$B$5</f>
        <v/>
      </c>
      <c r="K697" s="46" t="n">
        <v>0</v>
      </c>
      <c r="L697" s="46">
        <f>H697+J697-K697</f>
        <v/>
      </c>
      <c r="M697" s="46" t="n">
        <v>2420000</v>
      </c>
      <c r="N697" s="46" t="n">
        <v>0</v>
      </c>
      <c r="O697" s="46">
        <f>MAX(0,M697-N697-L697)</f>
        <v/>
      </c>
      <c r="P697" s="46">
        <f>MAX(0,L697-(M697-N697))</f>
        <v/>
      </c>
      <c r="Q697" s="45" t="inlineStr">
        <is>
          <t>30/09/2026</t>
        </is>
      </c>
      <c r="R697" s="45" t="inlineStr">
        <is>
          <t>PT2026-00694</t>
        </is>
      </c>
      <c r="S697" s="45" t="inlineStr"/>
    </row>
    <row r="698">
      <c r="A698" s="45" t="inlineStr">
        <is>
          <t>251230922</t>
        </is>
      </c>
      <c r="B698" s="45" t="inlineStr">
        <is>
          <t>HOÀNG VĂN MINH</t>
        </is>
      </c>
      <c r="C698" s="45" t="inlineStr">
        <is>
          <t>Công nghệ thông tin 3 K66</t>
        </is>
      </c>
      <c r="D698" s="45" t="inlineStr">
        <is>
          <t>Năm 3</t>
        </is>
      </c>
      <c r="E698" s="45" t="inlineStr">
        <is>
          <t>2027_2028</t>
        </is>
      </c>
      <c r="F698" s="45" t="n">
        <v>4</v>
      </c>
      <c r="G698" s="46">
        <f>VLOOKUP(D698,'Cấu Hình Học Phí'!$A$8:$B$11,2,FALSE)</f>
        <v/>
      </c>
      <c r="H698" s="46">
        <f>F698*G698</f>
        <v/>
      </c>
      <c r="I698" s="45" t="n">
        <v>1</v>
      </c>
      <c r="J698" s="46">
        <f>I698*'Cấu Hình Học Phí'!$B$5</f>
        <v/>
      </c>
      <c r="K698" s="46" t="n">
        <v>0</v>
      </c>
      <c r="L698" s="46">
        <f>H698+J698-K698</f>
        <v/>
      </c>
      <c r="M698" s="46" t="n">
        <v>3662000</v>
      </c>
      <c r="N698" s="46" t="n">
        <v>0</v>
      </c>
      <c r="O698" s="46">
        <f>MAX(0,M698-N698-L698)</f>
        <v/>
      </c>
      <c r="P698" s="46">
        <f>MAX(0,L698-(M698-N698))</f>
        <v/>
      </c>
      <c r="Q698" s="45" t="inlineStr">
        <is>
          <t>30/09/2027</t>
        </is>
      </c>
      <c r="R698" s="45" t="inlineStr">
        <is>
          <t>PT2027-00695</t>
        </is>
      </c>
      <c r="S698" s="45" t="inlineStr"/>
    </row>
    <row r="699">
      <c r="A699" s="45" t="inlineStr">
        <is>
          <t>251230922</t>
        </is>
      </c>
      <c r="B699" s="45" t="inlineStr">
        <is>
          <t>HOÀNG VĂN MINH</t>
        </is>
      </c>
      <c r="C699" s="45" t="inlineStr">
        <is>
          <t>Công nghệ thông tin 3 K66</t>
        </is>
      </c>
      <c r="D699" s="45" t="inlineStr">
        <is>
          <t>Năm 4</t>
        </is>
      </c>
      <c r="E699" s="45" t="inlineStr">
        <is>
          <t>2028_2029</t>
        </is>
      </c>
      <c r="F699" s="45" t="n">
        <v>1</v>
      </c>
      <c r="G699" s="46">
        <f>VLOOKUP(D699,'Cấu Hình Học Phí'!$A$8:$B$11,2,FALSE)</f>
        <v/>
      </c>
      <c r="H699" s="46">
        <f>F699*G699</f>
        <v/>
      </c>
      <c r="I699" s="45" t="n">
        <v>0</v>
      </c>
      <c r="J699" s="46">
        <f>I699*'Cấu Hình Học Phí'!$B$5</f>
        <v/>
      </c>
      <c r="K699" s="46" t="n">
        <v>0</v>
      </c>
      <c r="L699" s="46">
        <f>H699+J699-K699</f>
        <v/>
      </c>
      <c r="M699" s="46" t="n">
        <v>732050</v>
      </c>
      <c r="N699" s="46" t="n">
        <v>0</v>
      </c>
      <c r="O699" s="46">
        <f>MAX(0,M699-N699-L699)</f>
        <v/>
      </c>
      <c r="P699" s="46">
        <f>MAX(0,L699-(M699-N699))</f>
        <v/>
      </c>
      <c r="Q699" s="45" t="inlineStr">
        <is>
          <t>30/09/2028</t>
        </is>
      </c>
      <c r="R699" s="45" t="inlineStr">
        <is>
          <t>PT2028-00696</t>
        </is>
      </c>
      <c r="S699" s="45" t="inlineStr"/>
    </row>
    <row r="700">
      <c r="A700" s="45" t="inlineStr">
        <is>
          <t>251230923</t>
        </is>
      </c>
      <c r="B700" s="45" t="inlineStr">
        <is>
          <t>PHẠM ĐĂNG MINH</t>
        </is>
      </c>
      <c r="C700" s="45" t="inlineStr">
        <is>
          <t>Công nghệ thông tin 3 K66</t>
        </is>
      </c>
      <c r="D700" s="45" t="inlineStr">
        <is>
          <t>Năm 1</t>
        </is>
      </c>
      <c r="E700" s="45" t="inlineStr">
        <is>
          <t>2025_2026</t>
        </is>
      </c>
      <c r="F700" s="45" t="n">
        <v>4</v>
      </c>
      <c r="G700" s="46">
        <f>VLOOKUP(D700,'Cấu Hình Học Phí'!$A$8:$B$11,2,FALSE)</f>
        <v/>
      </c>
      <c r="H700" s="46">
        <f>F700*G700</f>
        <v/>
      </c>
      <c r="I700" s="45" t="n">
        <v>1</v>
      </c>
      <c r="J700" s="46">
        <f>I700*'Cấu Hình Học Phí'!$B$5</f>
        <v/>
      </c>
      <c r="K700" s="46" t="n">
        <v>0</v>
      </c>
      <c r="L700" s="46">
        <f>H700+J700-K700</f>
        <v/>
      </c>
      <c r="M700" s="46" t="n">
        <v>2200000</v>
      </c>
      <c r="N700" s="46" t="n">
        <v>0</v>
      </c>
      <c r="O700" s="46">
        <f>MAX(0,M700-N700-L700)</f>
        <v/>
      </c>
      <c r="P700" s="46">
        <f>MAX(0,L700-(M700-N700))</f>
        <v/>
      </c>
      <c r="Q700" s="45" t="inlineStr">
        <is>
          <t>30/09/2025</t>
        </is>
      </c>
      <c r="R700" s="45" t="inlineStr">
        <is>
          <t>PT2025-00697</t>
        </is>
      </c>
      <c r="S700" s="45" t="inlineStr">
        <is>
          <t>Chưa nộp phí phụ đạo 1 môn</t>
        </is>
      </c>
    </row>
    <row r="701">
      <c r="A701" s="45" t="inlineStr">
        <is>
          <t>251230923</t>
        </is>
      </c>
      <c r="B701" s="45" t="inlineStr">
        <is>
          <t>PHẠM ĐĂNG MINH</t>
        </is>
      </c>
      <c r="C701" s="45" t="inlineStr">
        <is>
          <t>Công nghệ thông tin 3 K66</t>
        </is>
      </c>
      <c r="D701" s="45" t="inlineStr">
        <is>
          <t>Năm 2</t>
        </is>
      </c>
      <c r="E701" s="45" t="inlineStr">
        <is>
          <t>2026_2027</t>
        </is>
      </c>
      <c r="F701" s="45" t="n">
        <v>4</v>
      </c>
      <c r="G701" s="46">
        <f>VLOOKUP(D701,'Cấu Hình Học Phí'!$A$8:$B$11,2,FALSE)</f>
        <v/>
      </c>
      <c r="H701" s="46">
        <f>F701*G701</f>
        <v/>
      </c>
      <c r="I701" s="45" t="n">
        <v>0</v>
      </c>
      <c r="J701" s="46">
        <f>I701*'Cấu Hình Học Phí'!$B$5</f>
        <v/>
      </c>
      <c r="K701" s="46" t="n">
        <v>0</v>
      </c>
      <c r="L701" s="46">
        <f>H701+J701-K701</f>
        <v/>
      </c>
      <c r="M701" s="46" t="n">
        <v>2420000</v>
      </c>
      <c r="N701" s="46" t="n">
        <v>0</v>
      </c>
      <c r="O701" s="46">
        <f>MAX(0,M701-N701-L701)</f>
        <v/>
      </c>
      <c r="P701" s="46">
        <f>MAX(0,L701-(M701-N701))</f>
        <v/>
      </c>
      <c r="Q701" s="45" t="inlineStr">
        <is>
          <t>30/09/2026</t>
        </is>
      </c>
      <c r="R701" s="45" t="inlineStr">
        <is>
          <t>PT2026-00698</t>
        </is>
      </c>
      <c r="S701" s="45" t="inlineStr"/>
    </row>
    <row r="702">
      <c r="A702" s="45" t="inlineStr">
        <is>
          <t>251230923</t>
        </is>
      </c>
      <c r="B702" s="45" t="inlineStr">
        <is>
          <t>PHẠM ĐĂNG MINH</t>
        </is>
      </c>
      <c r="C702" s="45" t="inlineStr">
        <is>
          <t>Công nghệ thông tin 3 K66</t>
        </is>
      </c>
      <c r="D702" s="45" t="inlineStr">
        <is>
          <t>Năm 3</t>
        </is>
      </c>
      <c r="E702" s="45" t="inlineStr">
        <is>
          <t>2027_2028</t>
        </is>
      </c>
      <c r="F702" s="45" t="n">
        <v>4</v>
      </c>
      <c r="G702" s="46">
        <f>VLOOKUP(D702,'Cấu Hình Học Phí'!$A$8:$B$11,2,FALSE)</f>
        <v/>
      </c>
      <c r="H702" s="46">
        <f>F702*G702</f>
        <v/>
      </c>
      <c r="I702" s="45" t="n">
        <v>1</v>
      </c>
      <c r="J702" s="46">
        <f>I702*'Cấu Hình Học Phí'!$B$5</f>
        <v/>
      </c>
      <c r="K702" s="46" t="n">
        <v>0</v>
      </c>
      <c r="L702" s="46">
        <f>H702+J702-K702</f>
        <v/>
      </c>
      <c r="M702" s="46" t="n">
        <v>2662000</v>
      </c>
      <c r="N702" s="46" t="n">
        <v>0</v>
      </c>
      <c r="O702" s="46">
        <f>MAX(0,M702-N702-L702)</f>
        <v/>
      </c>
      <c r="P702" s="46">
        <f>MAX(0,L702-(M702-N702))</f>
        <v/>
      </c>
      <c r="Q702" s="45" t="inlineStr">
        <is>
          <t>30/09/2027</t>
        </is>
      </c>
      <c r="R702" s="45" t="inlineStr">
        <is>
          <t>PT2027-00699</t>
        </is>
      </c>
      <c r="S702" s="45" t="inlineStr">
        <is>
          <t>Chưa nộp phí phụ đạo 1 môn</t>
        </is>
      </c>
    </row>
    <row r="703">
      <c r="A703" s="45" t="inlineStr">
        <is>
          <t>251230923</t>
        </is>
      </c>
      <c r="B703" s="45" t="inlineStr">
        <is>
          <t>PHẠM ĐĂNG MINH</t>
        </is>
      </c>
      <c r="C703" s="45" t="inlineStr">
        <is>
          <t>Công nghệ thông tin 3 K66</t>
        </is>
      </c>
      <c r="D703" s="45" t="inlineStr">
        <is>
          <t>Năm 4</t>
        </is>
      </c>
      <c r="E703" s="45" t="inlineStr">
        <is>
          <t>2028_2029</t>
        </is>
      </c>
      <c r="F703" s="45" t="n">
        <v>1</v>
      </c>
      <c r="G703" s="46">
        <f>VLOOKUP(D703,'Cấu Hình Học Phí'!$A$8:$B$11,2,FALSE)</f>
        <v/>
      </c>
      <c r="H703" s="46">
        <f>F703*G703</f>
        <v/>
      </c>
      <c r="I703" s="45" t="n">
        <v>0</v>
      </c>
      <c r="J703" s="46">
        <f>I703*'Cấu Hình Học Phí'!$B$5</f>
        <v/>
      </c>
      <c r="K703" s="46" t="n">
        <v>0</v>
      </c>
      <c r="L703" s="46">
        <f>H703+J703-K703</f>
        <v/>
      </c>
      <c r="M703" s="46" t="n">
        <v>732050</v>
      </c>
      <c r="N703" s="46" t="n">
        <v>0</v>
      </c>
      <c r="O703" s="46">
        <f>MAX(0,M703-N703-L703)</f>
        <v/>
      </c>
      <c r="P703" s="46">
        <f>MAX(0,L703-(M703-N703))</f>
        <v/>
      </c>
      <c r="Q703" s="45" t="inlineStr">
        <is>
          <t>30/09/2028</t>
        </is>
      </c>
      <c r="R703" s="45" t="inlineStr">
        <is>
          <t>PT2028-00700</t>
        </is>
      </c>
      <c r="S703" s="45" t="inlineStr"/>
    </row>
    <row r="704">
      <c r="A704" s="45" t="inlineStr">
        <is>
          <t>251210924</t>
        </is>
      </c>
      <c r="B704" s="45" t="inlineStr">
        <is>
          <t>TRẦN VĂN MINH</t>
        </is>
      </c>
      <c r="C704" s="45" t="inlineStr">
        <is>
          <t>Công nghệ thông tin 3 K66</t>
        </is>
      </c>
      <c r="D704" s="45" t="inlineStr">
        <is>
          <t>Năm 1</t>
        </is>
      </c>
      <c r="E704" s="45" t="inlineStr">
        <is>
          <t>2025_2026</t>
        </is>
      </c>
      <c r="F704" s="45" t="n">
        <v>4</v>
      </c>
      <c r="G704" s="46">
        <f>VLOOKUP(D704,'Cấu Hình Học Phí'!$A$8:$B$11,2,FALSE)</f>
        <v/>
      </c>
      <c r="H704" s="46">
        <f>F704*G704</f>
        <v/>
      </c>
      <c r="I704" s="45" t="n">
        <v>2</v>
      </c>
      <c r="J704" s="46">
        <f>I704*'Cấu Hình Học Phí'!$B$5</f>
        <v/>
      </c>
      <c r="K704" s="46" t="n">
        <v>0</v>
      </c>
      <c r="L704" s="46">
        <f>H704+J704-K704</f>
        <v/>
      </c>
      <c r="M704" s="46" t="n">
        <v>3200000</v>
      </c>
      <c r="N704" s="46" t="n">
        <v>0</v>
      </c>
      <c r="O704" s="46">
        <f>MAX(0,M704-N704-L704)</f>
        <v/>
      </c>
      <c r="P704" s="46">
        <f>MAX(0,L704-(M704-N704))</f>
        <v/>
      </c>
      <c r="Q704" s="45" t="inlineStr">
        <is>
          <t>30/09/2025</t>
        </is>
      </c>
      <c r="R704" s="45" t="inlineStr">
        <is>
          <t>PT2025-00701</t>
        </is>
      </c>
      <c r="S704" s="45" t="inlineStr">
        <is>
          <t>Chưa nộp phí phụ đạo 1 môn</t>
        </is>
      </c>
    </row>
    <row r="705">
      <c r="A705" s="45" t="inlineStr">
        <is>
          <t>251210924</t>
        </is>
      </c>
      <c r="B705" s="45" t="inlineStr">
        <is>
          <t>TRẦN VĂN MINH</t>
        </is>
      </c>
      <c r="C705" s="45" t="inlineStr">
        <is>
          <t>Công nghệ thông tin 3 K66</t>
        </is>
      </c>
      <c r="D705" s="45" t="inlineStr">
        <is>
          <t>Năm 2</t>
        </is>
      </c>
      <c r="E705" s="45" t="inlineStr">
        <is>
          <t>2026_2027</t>
        </is>
      </c>
      <c r="F705" s="45" t="n">
        <v>4</v>
      </c>
      <c r="G705" s="46">
        <f>VLOOKUP(D705,'Cấu Hình Học Phí'!$A$8:$B$11,2,FALSE)</f>
        <v/>
      </c>
      <c r="H705" s="46">
        <f>F705*G705</f>
        <v/>
      </c>
      <c r="I705" s="45" t="n">
        <v>0</v>
      </c>
      <c r="J705" s="46">
        <f>I705*'Cấu Hình Học Phí'!$B$5</f>
        <v/>
      </c>
      <c r="K705" s="46" t="n">
        <v>0</v>
      </c>
      <c r="L705" s="46">
        <f>H705+J705-K705</f>
        <v/>
      </c>
      <c r="M705" s="46" t="n">
        <v>2420000</v>
      </c>
      <c r="N705" s="46" t="n">
        <v>0</v>
      </c>
      <c r="O705" s="46">
        <f>MAX(0,M705-N705-L705)</f>
        <v/>
      </c>
      <c r="P705" s="46">
        <f>MAX(0,L705-(M705-N705))</f>
        <v/>
      </c>
      <c r="Q705" s="45" t="inlineStr">
        <is>
          <t>30/09/2026</t>
        </is>
      </c>
      <c r="R705" s="45" t="inlineStr">
        <is>
          <t>PT2026-00702</t>
        </is>
      </c>
      <c r="S705" s="45" t="inlineStr"/>
    </row>
    <row r="706">
      <c r="A706" s="45" t="inlineStr">
        <is>
          <t>251210924</t>
        </is>
      </c>
      <c r="B706" s="45" t="inlineStr">
        <is>
          <t>TRẦN VĂN MINH</t>
        </is>
      </c>
      <c r="C706" s="45" t="inlineStr">
        <is>
          <t>Công nghệ thông tin 3 K66</t>
        </is>
      </c>
      <c r="D706" s="45" t="inlineStr">
        <is>
          <t>Năm 3</t>
        </is>
      </c>
      <c r="E706" s="45" t="inlineStr">
        <is>
          <t>2027_2028</t>
        </is>
      </c>
      <c r="F706" s="45" t="n">
        <v>4</v>
      </c>
      <c r="G706" s="46">
        <f>VLOOKUP(D706,'Cấu Hình Học Phí'!$A$8:$B$11,2,FALSE)</f>
        <v/>
      </c>
      <c r="H706" s="46">
        <f>F706*G706</f>
        <v/>
      </c>
      <c r="I706" s="45" t="n">
        <v>2</v>
      </c>
      <c r="J706" s="46">
        <f>I706*'Cấu Hình Học Phí'!$B$5</f>
        <v/>
      </c>
      <c r="K706" s="46" t="n">
        <v>0</v>
      </c>
      <c r="L706" s="46">
        <f>H706+J706-K706</f>
        <v/>
      </c>
      <c r="M706" s="46" t="n">
        <v>2662000</v>
      </c>
      <c r="N706" s="46" t="n">
        <v>0</v>
      </c>
      <c r="O706" s="46">
        <f>MAX(0,M706-N706-L706)</f>
        <v/>
      </c>
      <c r="P706" s="46">
        <f>MAX(0,L706-(M706-N706))</f>
        <v/>
      </c>
      <c r="Q706" s="45" t="inlineStr">
        <is>
          <t>30/09/2027</t>
        </is>
      </c>
      <c r="R706" s="45" t="inlineStr">
        <is>
          <t>PT2027-00703</t>
        </is>
      </c>
      <c r="S706" s="45" t="inlineStr">
        <is>
          <t>Chưa nộp phí phụ đạo 2 môn</t>
        </is>
      </c>
    </row>
    <row r="707">
      <c r="A707" s="45" t="inlineStr">
        <is>
          <t>251210924</t>
        </is>
      </c>
      <c r="B707" s="45" t="inlineStr">
        <is>
          <t>TRẦN VĂN MINH</t>
        </is>
      </c>
      <c r="C707" s="45" t="inlineStr">
        <is>
          <t>Công nghệ thông tin 3 K66</t>
        </is>
      </c>
      <c r="D707" s="45" t="inlineStr">
        <is>
          <t>Năm 4</t>
        </is>
      </c>
      <c r="E707" s="45" t="inlineStr">
        <is>
          <t>2028_2029</t>
        </is>
      </c>
      <c r="F707" s="45" t="n">
        <v>1</v>
      </c>
      <c r="G707" s="46">
        <f>VLOOKUP(D707,'Cấu Hình Học Phí'!$A$8:$B$11,2,FALSE)</f>
        <v/>
      </c>
      <c r="H707" s="46">
        <f>F707*G707</f>
        <v/>
      </c>
      <c r="I707" s="45" t="n">
        <v>0</v>
      </c>
      <c r="J707" s="46">
        <f>I707*'Cấu Hình Học Phí'!$B$5</f>
        <v/>
      </c>
      <c r="K707" s="46" t="n">
        <v>0</v>
      </c>
      <c r="L707" s="46">
        <f>H707+J707-K707</f>
        <v/>
      </c>
      <c r="M707" s="46" t="n">
        <v>732050</v>
      </c>
      <c r="N707" s="46" t="n">
        <v>0</v>
      </c>
      <c r="O707" s="46">
        <f>MAX(0,M707-N707-L707)</f>
        <v/>
      </c>
      <c r="P707" s="46">
        <f>MAX(0,L707-(M707-N707))</f>
        <v/>
      </c>
      <c r="Q707" s="45" t="inlineStr">
        <is>
          <t>30/09/2028</t>
        </is>
      </c>
      <c r="R707" s="45" t="inlineStr">
        <is>
          <t>PT2028-00704</t>
        </is>
      </c>
      <c r="S707" s="45" t="inlineStr"/>
    </row>
    <row r="708">
      <c r="A708" s="45" t="inlineStr">
        <is>
          <t>251230927</t>
        </is>
      </c>
      <c r="B708" s="45" t="inlineStr">
        <is>
          <t>LÊ HỮU NAM</t>
        </is>
      </c>
      <c r="C708" s="45" t="inlineStr">
        <is>
          <t>Công nghệ thông tin 3 K66</t>
        </is>
      </c>
      <c r="D708" s="45" t="inlineStr">
        <is>
          <t>Năm 1</t>
        </is>
      </c>
      <c r="E708" s="45" t="inlineStr">
        <is>
          <t>2025_2026</t>
        </is>
      </c>
      <c r="F708" s="45" t="n">
        <v>4</v>
      </c>
      <c r="G708" s="46">
        <f>VLOOKUP(D708,'Cấu Hình Học Phí'!$A$8:$B$11,2,FALSE)</f>
        <v/>
      </c>
      <c r="H708" s="46">
        <f>F708*G708</f>
        <v/>
      </c>
      <c r="I708" s="45" t="n">
        <v>0</v>
      </c>
      <c r="J708" s="46">
        <f>I708*'Cấu Hình Học Phí'!$B$5</f>
        <v/>
      </c>
      <c r="K708" s="46" t="n">
        <v>0</v>
      </c>
      <c r="L708" s="46">
        <f>H708+J708-K708</f>
        <v/>
      </c>
      <c r="M708" s="46" t="n">
        <v>2200000</v>
      </c>
      <c r="N708" s="46" t="n">
        <v>0</v>
      </c>
      <c r="O708" s="46">
        <f>MAX(0,M708-N708-L708)</f>
        <v/>
      </c>
      <c r="P708" s="46">
        <f>MAX(0,L708-(M708-N708))</f>
        <v/>
      </c>
      <c r="Q708" s="45" t="inlineStr">
        <is>
          <t>30/09/2025</t>
        </is>
      </c>
      <c r="R708" s="45" t="inlineStr">
        <is>
          <t>PT2025-00705</t>
        </is>
      </c>
      <c r="S708" s="45" t="inlineStr"/>
    </row>
    <row r="709">
      <c r="A709" s="45" t="inlineStr">
        <is>
          <t>251230927</t>
        </is>
      </c>
      <c r="B709" s="45" t="inlineStr">
        <is>
          <t>LÊ HỮU NAM</t>
        </is>
      </c>
      <c r="C709" s="45" t="inlineStr">
        <is>
          <t>Công nghệ thông tin 3 K66</t>
        </is>
      </c>
      <c r="D709" s="45" t="inlineStr">
        <is>
          <t>Năm 2</t>
        </is>
      </c>
      <c r="E709" s="45" t="inlineStr">
        <is>
          <t>2026_2027</t>
        </is>
      </c>
      <c r="F709" s="45" t="n">
        <v>4</v>
      </c>
      <c r="G709" s="46">
        <f>VLOOKUP(D709,'Cấu Hình Học Phí'!$A$8:$B$11,2,FALSE)</f>
        <v/>
      </c>
      <c r="H709" s="46">
        <f>F709*G709</f>
        <v/>
      </c>
      <c r="I709" s="45" t="n">
        <v>1</v>
      </c>
      <c r="J709" s="46">
        <f>I709*'Cấu Hình Học Phí'!$B$5</f>
        <v/>
      </c>
      <c r="K709" s="46" t="n">
        <v>0</v>
      </c>
      <c r="L709" s="46">
        <f>H709+J709-K709</f>
        <v/>
      </c>
      <c r="M709" s="46" t="n">
        <v>2420000</v>
      </c>
      <c r="N709" s="46" t="n">
        <v>0</v>
      </c>
      <c r="O709" s="46">
        <f>MAX(0,M709-N709-L709)</f>
        <v/>
      </c>
      <c r="P709" s="46">
        <f>MAX(0,L709-(M709-N709))</f>
        <v/>
      </c>
      <c r="Q709" s="45" t="inlineStr">
        <is>
          <t>30/09/2026</t>
        </is>
      </c>
      <c r="R709" s="45" t="inlineStr">
        <is>
          <t>PT2026-00706</t>
        </is>
      </c>
      <c r="S709" s="45" t="inlineStr">
        <is>
          <t>Chưa nộp phí phụ đạo 1 môn</t>
        </is>
      </c>
    </row>
    <row r="710">
      <c r="A710" s="45" t="inlineStr">
        <is>
          <t>251230927</t>
        </is>
      </c>
      <c r="B710" s="45" t="inlineStr">
        <is>
          <t>LÊ HỮU NAM</t>
        </is>
      </c>
      <c r="C710" s="45" t="inlineStr">
        <is>
          <t>Công nghệ thông tin 3 K66</t>
        </is>
      </c>
      <c r="D710" s="45" t="inlineStr">
        <is>
          <t>Năm 3</t>
        </is>
      </c>
      <c r="E710" s="45" t="inlineStr">
        <is>
          <t>2027_2028</t>
        </is>
      </c>
      <c r="F710" s="45" t="n">
        <v>4</v>
      </c>
      <c r="G710" s="46">
        <f>VLOOKUP(D710,'Cấu Hình Học Phí'!$A$8:$B$11,2,FALSE)</f>
        <v/>
      </c>
      <c r="H710" s="46">
        <f>F710*G710</f>
        <v/>
      </c>
      <c r="I710" s="45" t="n">
        <v>0</v>
      </c>
      <c r="J710" s="46">
        <f>I710*'Cấu Hình Học Phí'!$B$5</f>
        <v/>
      </c>
      <c r="K710" s="46" t="n">
        <v>0</v>
      </c>
      <c r="L710" s="46">
        <f>H710+J710-K710</f>
        <v/>
      </c>
      <c r="M710" s="46" t="n">
        <v>2662000</v>
      </c>
      <c r="N710" s="46" t="n">
        <v>0</v>
      </c>
      <c r="O710" s="46">
        <f>MAX(0,M710-N710-L710)</f>
        <v/>
      </c>
      <c r="P710" s="46">
        <f>MAX(0,L710-(M710-N710))</f>
        <v/>
      </c>
      <c r="Q710" s="45" t="inlineStr">
        <is>
          <t>30/09/2027</t>
        </is>
      </c>
      <c r="R710" s="45" t="inlineStr">
        <is>
          <t>PT2027-00707</t>
        </is>
      </c>
      <c r="S710" s="45" t="inlineStr"/>
    </row>
    <row r="711">
      <c r="A711" s="45" t="inlineStr">
        <is>
          <t>251230927</t>
        </is>
      </c>
      <c r="B711" s="45" t="inlineStr">
        <is>
          <t>LÊ HỮU NAM</t>
        </is>
      </c>
      <c r="C711" s="45" t="inlineStr">
        <is>
          <t>Công nghệ thông tin 3 K66</t>
        </is>
      </c>
      <c r="D711" s="45" t="inlineStr">
        <is>
          <t>Năm 4</t>
        </is>
      </c>
      <c r="E711" s="45" t="inlineStr">
        <is>
          <t>2028_2029</t>
        </is>
      </c>
      <c r="F711" s="45" t="n">
        <v>1</v>
      </c>
      <c r="G711" s="46">
        <f>VLOOKUP(D711,'Cấu Hình Học Phí'!$A$8:$B$11,2,FALSE)</f>
        <v/>
      </c>
      <c r="H711" s="46">
        <f>F711*G711</f>
        <v/>
      </c>
      <c r="I711" s="45" t="n">
        <v>0</v>
      </c>
      <c r="J711" s="46">
        <f>I711*'Cấu Hình Học Phí'!$B$5</f>
        <v/>
      </c>
      <c r="K711" s="46" t="n">
        <v>0</v>
      </c>
      <c r="L711" s="46">
        <f>H711+J711-K711</f>
        <v/>
      </c>
      <c r="M711" s="46" t="n">
        <v>732050</v>
      </c>
      <c r="N711" s="46" t="n">
        <v>0</v>
      </c>
      <c r="O711" s="46">
        <f>MAX(0,M711-N711-L711)</f>
        <v/>
      </c>
      <c r="P711" s="46">
        <f>MAX(0,L711-(M711-N711))</f>
        <v/>
      </c>
      <c r="Q711" s="45" t="inlineStr">
        <is>
          <t>30/09/2028</t>
        </is>
      </c>
      <c r="R711" s="45" t="inlineStr">
        <is>
          <t>PT2028-00708</t>
        </is>
      </c>
      <c r="S711" s="45" t="inlineStr"/>
    </row>
    <row r="712">
      <c r="A712" s="45" t="inlineStr">
        <is>
          <t>251230929</t>
        </is>
      </c>
      <c r="B712" s="45" t="inlineStr">
        <is>
          <t>NGUYỄN HỮU NAM</t>
        </is>
      </c>
      <c r="C712" s="45" t="inlineStr">
        <is>
          <t>Công nghệ thông tin 3 K66</t>
        </is>
      </c>
      <c r="D712" s="45" t="inlineStr">
        <is>
          <t>Năm 1</t>
        </is>
      </c>
      <c r="E712" s="45" t="inlineStr">
        <is>
          <t>2025_2026</t>
        </is>
      </c>
      <c r="F712" s="45" t="n">
        <v>4</v>
      </c>
      <c r="G712" s="46">
        <f>VLOOKUP(D712,'Cấu Hình Học Phí'!$A$8:$B$11,2,FALSE)</f>
        <v/>
      </c>
      <c r="H712" s="46">
        <f>F712*G712</f>
        <v/>
      </c>
      <c r="I712" s="45" t="n">
        <v>0</v>
      </c>
      <c r="J712" s="46">
        <f>I712*'Cấu Hình Học Phí'!$B$5</f>
        <v/>
      </c>
      <c r="K712" s="46" t="n">
        <v>0</v>
      </c>
      <c r="L712" s="46">
        <f>H712+J712-K712</f>
        <v/>
      </c>
      <c r="M712" s="46" t="n">
        <v>2200000</v>
      </c>
      <c r="N712" s="46" t="n">
        <v>0</v>
      </c>
      <c r="O712" s="46">
        <f>MAX(0,M712-N712-L712)</f>
        <v/>
      </c>
      <c r="P712" s="46">
        <f>MAX(0,L712-(M712-N712))</f>
        <v/>
      </c>
      <c r="Q712" s="45" t="inlineStr">
        <is>
          <t>30/09/2025</t>
        </is>
      </c>
      <c r="R712" s="45" t="inlineStr">
        <is>
          <t>PT2025-00709</t>
        </is>
      </c>
      <c r="S712" s="45" t="inlineStr"/>
    </row>
    <row r="713">
      <c r="A713" s="45" t="inlineStr">
        <is>
          <t>251230929</t>
        </is>
      </c>
      <c r="B713" s="45" t="inlineStr">
        <is>
          <t>NGUYỄN HỮU NAM</t>
        </is>
      </c>
      <c r="C713" s="45" t="inlineStr">
        <is>
          <t>Công nghệ thông tin 3 K66</t>
        </is>
      </c>
      <c r="D713" s="45" t="inlineStr">
        <is>
          <t>Năm 2</t>
        </is>
      </c>
      <c r="E713" s="45" t="inlineStr">
        <is>
          <t>2026_2027</t>
        </is>
      </c>
      <c r="F713" s="45" t="n">
        <v>4</v>
      </c>
      <c r="G713" s="46">
        <f>VLOOKUP(D713,'Cấu Hình Học Phí'!$A$8:$B$11,2,FALSE)</f>
        <v/>
      </c>
      <c r="H713" s="46">
        <f>F713*G713</f>
        <v/>
      </c>
      <c r="I713" s="45" t="n">
        <v>0</v>
      </c>
      <c r="J713" s="46">
        <f>I713*'Cấu Hình Học Phí'!$B$5</f>
        <v/>
      </c>
      <c r="K713" s="46" t="n">
        <v>0</v>
      </c>
      <c r="L713" s="46">
        <f>H713+J713-K713</f>
        <v/>
      </c>
      <c r="M713" s="46" t="n">
        <v>2420000</v>
      </c>
      <c r="N713" s="46" t="n">
        <v>0</v>
      </c>
      <c r="O713" s="46">
        <f>MAX(0,M713-N713-L713)</f>
        <v/>
      </c>
      <c r="P713" s="46">
        <f>MAX(0,L713-(M713-N713))</f>
        <v/>
      </c>
      <c r="Q713" s="45" t="inlineStr">
        <is>
          <t>30/09/2026</t>
        </is>
      </c>
      <c r="R713" s="45" t="inlineStr">
        <is>
          <t>PT2026-00710</t>
        </is>
      </c>
      <c r="S713" s="45" t="inlineStr"/>
    </row>
    <row r="714">
      <c r="A714" s="45" t="inlineStr">
        <is>
          <t>251230929</t>
        </is>
      </c>
      <c r="B714" s="45" t="inlineStr">
        <is>
          <t>NGUYỄN HỮU NAM</t>
        </is>
      </c>
      <c r="C714" s="45" t="inlineStr">
        <is>
          <t>Công nghệ thông tin 3 K66</t>
        </is>
      </c>
      <c r="D714" s="45" t="inlineStr">
        <is>
          <t>Năm 3</t>
        </is>
      </c>
      <c r="E714" s="45" t="inlineStr">
        <is>
          <t>2027_2028</t>
        </is>
      </c>
      <c r="F714" s="45" t="n">
        <v>4</v>
      </c>
      <c r="G714" s="46">
        <f>VLOOKUP(D714,'Cấu Hình Học Phí'!$A$8:$B$11,2,FALSE)</f>
        <v/>
      </c>
      <c r="H714" s="46">
        <f>F714*G714</f>
        <v/>
      </c>
      <c r="I714" s="45" t="n">
        <v>1</v>
      </c>
      <c r="J714" s="46">
        <f>I714*'Cấu Hình Học Phí'!$B$5</f>
        <v/>
      </c>
      <c r="K714" s="46" t="n">
        <v>0</v>
      </c>
      <c r="L714" s="46">
        <f>H714+J714-K714</f>
        <v/>
      </c>
      <c r="M714" s="46" t="n">
        <v>2662000</v>
      </c>
      <c r="N714" s="46" t="n">
        <v>0</v>
      </c>
      <c r="O714" s="46">
        <f>MAX(0,M714-N714-L714)</f>
        <v/>
      </c>
      <c r="P714" s="46">
        <f>MAX(0,L714-(M714-N714))</f>
        <v/>
      </c>
      <c r="Q714" s="45" t="inlineStr">
        <is>
          <t>30/09/2027</t>
        </is>
      </c>
      <c r="R714" s="45" t="inlineStr">
        <is>
          <t>PT2027-00711</t>
        </is>
      </c>
      <c r="S714" s="45" t="inlineStr">
        <is>
          <t>Chưa nộp phí phụ đạo 1 môn</t>
        </is>
      </c>
    </row>
    <row r="715">
      <c r="A715" s="45" t="inlineStr">
        <is>
          <t>251230929</t>
        </is>
      </c>
      <c r="B715" s="45" t="inlineStr">
        <is>
          <t>NGUYỄN HỮU NAM</t>
        </is>
      </c>
      <c r="C715" s="45" t="inlineStr">
        <is>
          <t>Công nghệ thông tin 3 K66</t>
        </is>
      </c>
      <c r="D715" s="45" t="inlineStr">
        <is>
          <t>Năm 4</t>
        </is>
      </c>
      <c r="E715" s="45" t="inlineStr">
        <is>
          <t>2028_2029</t>
        </is>
      </c>
      <c r="F715" s="45" t="n">
        <v>1</v>
      </c>
      <c r="G715" s="46">
        <f>VLOOKUP(D715,'Cấu Hình Học Phí'!$A$8:$B$11,2,FALSE)</f>
        <v/>
      </c>
      <c r="H715" s="46">
        <f>F715*G715</f>
        <v/>
      </c>
      <c r="I715" s="45" t="n">
        <v>0</v>
      </c>
      <c r="J715" s="46">
        <f>I715*'Cấu Hình Học Phí'!$B$5</f>
        <v/>
      </c>
      <c r="K715" s="46" t="n">
        <v>0</v>
      </c>
      <c r="L715" s="46">
        <f>H715+J715-K715</f>
        <v/>
      </c>
      <c r="M715" s="46" t="n">
        <v>732050</v>
      </c>
      <c r="N715" s="46" t="n">
        <v>0</v>
      </c>
      <c r="O715" s="46">
        <f>MAX(0,M715-N715-L715)</f>
        <v/>
      </c>
      <c r="P715" s="46">
        <f>MAX(0,L715-(M715-N715))</f>
        <v/>
      </c>
      <c r="Q715" s="45" t="inlineStr">
        <is>
          <t>30/09/2028</t>
        </is>
      </c>
      <c r="R715" s="45" t="inlineStr">
        <is>
          <t>PT2028-00712</t>
        </is>
      </c>
      <c r="S715" s="45" t="inlineStr"/>
    </row>
    <row r="716">
      <c r="A716" s="45" t="inlineStr">
        <is>
          <t>251230933</t>
        </is>
      </c>
      <c r="B716" s="45" t="inlineStr">
        <is>
          <t>BÙI TRUNG NGUYÊN</t>
        </is>
      </c>
      <c r="C716" s="45" t="inlineStr">
        <is>
          <t>Công nghệ thông tin 3 K66</t>
        </is>
      </c>
      <c r="D716" s="45" t="inlineStr">
        <is>
          <t>Năm 1</t>
        </is>
      </c>
      <c r="E716" s="45" t="inlineStr">
        <is>
          <t>2025_2026</t>
        </is>
      </c>
      <c r="F716" s="45" t="n">
        <v>4</v>
      </c>
      <c r="G716" s="46">
        <f>VLOOKUP(D716,'Cấu Hình Học Phí'!$A$8:$B$11,2,FALSE)</f>
        <v/>
      </c>
      <c r="H716" s="46">
        <f>F716*G716</f>
        <v/>
      </c>
      <c r="I716" s="45" t="n">
        <v>0</v>
      </c>
      <c r="J716" s="46">
        <f>I716*'Cấu Hình Học Phí'!$B$5</f>
        <v/>
      </c>
      <c r="K716" s="46" t="n">
        <v>0</v>
      </c>
      <c r="L716" s="46">
        <f>H716+J716-K716</f>
        <v/>
      </c>
      <c r="M716" s="46" t="n">
        <v>2200000</v>
      </c>
      <c r="N716" s="46" t="n">
        <v>0</v>
      </c>
      <c r="O716" s="46">
        <f>MAX(0,M716-N716-L716)</f>
        <v/>
      </c>
      <c r="P716" s="46">
        <f>MAX(0,L716-(M716-N716))</f>
        <v/>
      </c>
      <c r="Q716" s="45" t="inlineStr">
        <is>
          <t>30/09/2025</t>
        </is>
      </c>
      <c r="R716" s="45" t="inlineStr">
        <is>
          <t>PT2025-00713</t>
        </is>
      </c>
      <c r="S716" s="45" t="inlineStr"/>
    </row>
    <row r="717">
      <c r="A717" s="45" t="inlineStr">
        <is>
          <t>251230933</t>
        </is>
      </c>
      <c r="B717" s="45" t="inlineStr">
        <is>
          <t>BÙI TRUNG NGUYÊN</t>
        </is>
      </c>
      <c r="C717" s="45" t="inlineStr">
        <is>
          <t>Công nghệ thông tin 3 K66</t>
        </is>
      </c>
      <c r="D717" s="45" t="inlineStr">
        <is>
          <t>Năm 2</t>
        </is>
      </c>
      <c r="E717" s="45" t="inlineStr">
        <is>
          <t>2026_2027</t>
        </is>
      </c>
      <c r="F717" s="45" t="n">
        <v>4</v>
      </c>
      <c r="G717" s="46">
        <f>VLOOKUP(D717,'Cấu Hình Học Phí'!$A$8:$B$11,2,FALSE)</f>
        <v/>
      </c>
      <c r="H717" s="46">
        <f>F717*G717</f>
        <v/>
      </c>
      <c r="I717" s="45" t="n">
        <v>0</v>
      </c>
      <c r="J717" s="46">
        <f>I717*'Cấu Hình Học Phí'!$B$5</f>
        <v/>
      </c>
      <c r="K717" s="46" t="n">
        <v>0</v>
      </c>
      <c r="L717" s="46">
        <f>H717+J717-K717</f>
        <v/>
      </c>
      <c r="M717" s="46" t="n">
        <v>2420000</v>
      </c>
      <c r="N717" s="46" t="n">
        <v>0</v>
      </c>
      <c r="O717" s="46">
        <f>MAX(0,M717-N717-L717)</f>
        <v/>
      </c>
      <c r="P717" s="46">
        <f>MAX(0,L717-(M717-N717))</f>
        <v/>
      </c>
      <c r="Q717" s="45" t="inlineStr">
        <is>
          <t>30/09/2026</t>
        </is>
      </c>
      <c r="R717" s="45" t="inlineStr">
        <is>
          <t>PT2026-00714</t>
        </is>
      </c>
      <c r="S717" s="45" t="inlineStr"/>
    </row>
    <row r="718">
      <c r="A718" s="45" t="inlineStr">
        <is>
          <t>251230933</t>
        </is>
      </c>
      <c r="B718" s="45" t="inlineStr">
        <is>
          <t>BÙI TRUNG NGUYÊN</t>
        </is>
      </c>
      <c r="C718" s="45" t="inlineStr">
        <is>
          <t>Công nghệ thông tin 3 K66</t>
        </is>
      </c>
      <c r="D718" s="45" t="inlineStr">
        <is>
          <t>Năm 3</t>
        </is>
      </c>
      <c r="E718" s="45" t="inlineStr">
        <is>
          <t>2027_2028</t>
        </is>
      </c>
      <c r="F718" s="45" t="n">
        <v>4</v>
      </c>
      <c r="G718" s="46">
        <f>VLOOKUP(D718,'Cấu Hình Học Phí'!$A$8:$B$11,2,FALSE)</f>
        <v/>
      </c>
      <c r="H718" s="46">
        <f>F718*G718</f>
        <v/>
      </c>
      <c r="I718" s="45" t="n">
        <v>0</v>
      </c>
      <c r="J718" s="46">
        <f>I718*'Cấu Hình Học Phí'!$B$5</f>
        <v/>
      </c>
      <c r="K718" s="46" t="n">
        <v>0</v>
      </c>
      <c r="L718" s="46">
        <f>H718+J718-K718</f>
        <v/>
      </c>
      <c r="M718" s="46" t="n">
        <v>2662000</v>
      </c>
      <c r="N718" s="46" t="n">
        <v>0</v>
      </c>
      <c r="O718" s="46">
        <f>MAX(0,M718-N718-L718)</f>
        <v/>
      </c>
      <c r="P718" s="46">
        <f>MAX(0,L718-(M718-N718))</f>
        <v/>
      </c>
      <c r="Q718" s="45" t="inlineStr">
        <is>
          <t>30/09/2027</t>
        </is>
      </c>
      <c r="R718" s="45" t="inlineStr">
        <is>
          <t>PT2027-00715</t>
        </is>
      </c>
      <c r="S718" s="45" t="inlineStr"/>
    </row>
    <row r="719">
      <c r="A719" s="45" t="inlineStr">
        <is>
          <t>251230933</t>
        </is>
      </c>
      <c r="B719" s="45" t="inlineStr">
        <is>
          <t>BÙI TRUNG NGUYÊN</t>
        </is>
      </c>
      <c r="C719" s="45" t="inlineStr">
        <is>
          <t>Công nghệ thông tin 3 K66</t>
        </is>
      </c>
      <c r="D719" s="45" t="inlineStr">
        <is>
          <t>Năm 4</t>
        </is>
      </c>
      <c r="E719" s="45" t="inlineStr">
        <is>
          <t>2028_2029</t>
        </is>
      </c>
      <c r="F719" s="45" t="n">
        <v>1</v>
      </c>
      <c r="G719" s="46">
        <f>VLOOKUP(D719,'Cấu Hình Học Phí'!$A$8:$B$11,2,FALSE)</f>
        <v/>
      </c>
      <c r="H719" s="46">
        <f>F719*G719</f>
        <v/>
      </c>
      <c r="I719" s="45" t="n">
        <v>0</v>
      </c>
      <c r="J719" s="46">
        <f>I719*'Cấu Hình Học Phí'!$B$5</f>
        <v/>
      </c>
      <c r="K719" s="46" t="n">
        <v>0</v>
      </c>
      <c r="L719" s="46">
        <f>H719+J719-K719</f>
        <v/>
      </c>
      <c r="M719" s="46" t="n">
        <v>732050</v>
      </c>
      <c r="N719" s="46" t="n">
        <v>0</v>
      </c>
      <c r="O719" s="46">
        <f>MAX(0,M719-N719-L719)</f>
        <v/>
      </c>
      <c r="P719" s="46">
        <f>MAX(0,L719-(M719-N719))</f>
        <v/>
      </c>
      <c r="Q719" s="45" t="inlineStr">
        <is>
          <t>30/09/2028</t>
        </is>
      </c>
      <c r="R719" s="45" t="inlineStr">
        <is>
          <t>PT2028-00716</t>
        </is>
      </c>
      <c r="S719" s="45" t="inlineStr"/>
    </row>
    <row r="720">
      <c r="A720" s="45" t="inlineStr">
        <is>
          <t>251230935</t>
        </is>
      </c>
      <c r="B720" s="45" t="inlineStr">
        <is>
          <t>NGUYỄN THIỆN NHÂN</t>
        </is>
      </c>
      <c r="C720" s="45" t="inlineStr">
        <is>
          <t>Công nghệ thông tin 3 K66</t>
        </is>
      </c>
      <c r="D720" s="45" t="inlineStr">
        <is>
          <t>Năm 1</t>
        </is>
      </c>
      <c r="E720" s="45" t="inlineStr">
        <is>
          <t>2025_2026</t>
        </is>
      </c>
      <c r="F720" s="45" t="n">
        <v>4</v>
      </c>
      <c r="G720" s="46">
        <f>VLOOKUP(D720,'Cấu Hình Học Phí'!$A$8:$B$11,2,FALSE)</f>
        <v/>
      </c>
      <c r="H720" s="46">
        <f>F720*G720</f>
        <v/>
      </c>
      <c r="I720" s="45" t="n">
        <v>1</v>
      </c>
      <c r="J720" s="46">
        <f>I720*'Cấu Hình Học Phí'!$B$5</f>
        <v/>
      </c>
      <c r="K720" s="46" t="n">
        <v>0</v>
      </c>
      <c r="L720" s="46">
        <f>H720+J720-K720</f>
        <v/>
      </c>
      <c r="M720" s="46" t="n">
        <v>2200000</v>
      </c>
      <c r="N720" s="46" t="n">
        <v>0</v>
      </c>
      <c r="O720" s="46">
        <f>MAX(0,M720-N720-L720)</f>
        <v/>
      </c>
      <c r="P720" s="46">
        <f>MAX(0,L720-(M720-N720))</f>
        <v/>
      </c>
      <c r="Q720" s="45" t="inlineStr">
        <is>
          <t>30/09/2025</t>
        </is>
      </c>
      <c r="R720" s="45" t="inlineStr">
        <is>
          <t>PT2025-00717</t>
        </is>
      </c>
      <c r="S720" s="45" t="inlineStr">
        <is>
          <t>Chưa nộp phí phụ đạo 1 môn</t>
        </is>
      </c>
    </row>
    <row r="721">
      <c r="A721" s="45" t="inlineStr">
        <is>
          <t>251230935</t>
        </is>
      </c>
      <c r="B721" s="45" t="inlineStr">
        <is>
          <t>NGUYỄN THIỆN NHÂN</t>
        </is>
      </c>
      <c r="C721" s="45" t="inlineStr">
        <is>
          <t>Công nghệ thông tin 3 K66</t>
        </is>
      </c>
      <c r="D721" s="45" t="inlineStr">
        <is>
          <t>Năm 2</t>
        </is>
      </c>
      <c r="E721" s="45" t="inlineStr">
        <is>
          <t>2026_2027</t>
        </is>
      </c>
      <c r="F721" s="45" t="n">
        <v>4</v>
      </c>
      <c r="G721" s="46">
        <f>VLOOKUP(D721,'Cấu Hình Học Phí'!$A$8:$B$11,2,FALSE)</f>
        <v/>
      </c>
      <c r="H721" s="46">
        <f>F721*G721</f>
        <v/>
      </c>
      <c r="I721" s="45" t="n">
        <v>1</v>
      </c>
      <c r="J721" s="46">
        <f>I721*'Cấu Hình Học Phí'!$B$5</f>
        <v/>
      </c>
      <c r="K721" s="46" t="n">
        <v>0</v>
      </c>
      <c r="L721" s="46">
        <f>H721+J721-K721</f>
        <v/>
      </c>
      <c r="M721" s="46" t="n">
        <v>2420000</v>
      </c>
      <c r="N721" s="46" t="n">
        <v>0</v>
      </c>
      <c r="O721" s="46">
        <f>MAX(0,M721-N721-L721)</f>
        <v/>
      </c>
      <c r="P721" s="46">
        <f>MAX(0,L721-(M721-N721))</f>
        <v/>
      </c>
      <c r="Q721" s="45" t="inlineStr">
        <is>
          <t>30/09/2026</t>
        </is>
      </c>
      <c r="R721" s="45" t="inlineStr">
        <is>
          <t>PT2026-00718</t>
        </is>
      </c>
      <c r="S721" s="45" t="inlineStr">
        <is>
          <t>Chưa nộp phí phụ đạo 1 môn</t>
        </is>
      </c>
    </row>
    <row r="722">
      <c r="A722" s="45" t="inlineStr">
        <is>
          <t>251230935</t>
        </is>
      </c>
      <c r="B722" s="45" t="inlineStr">
        <is>
          <t>NGUYỄN THIỆN NHÂN</t>
        </is>
      </c>
      <c r="C722" s="45" t="inlineStr">
        <is>
          <t>Công nghệ thông tin 3 K66</t>
        </is>
      </c>
      <c r="D722" s="45" t="inlineStr">
        <is>
          <t>Năm 3</t>
        </is>
      </c>
      <c r="E722" s="45" t="inlineStr">
        <is>
          <t>2027_2028</t>
        </is>
      </c>
      <c r="F722" s="45" t="n">
        <v>4</v>
      </c>
      <c r="G722" s="46">
        <f>VLOOKUP(D722,'Cấu Hình Học Phí'!$A$8:$B$11,2,FALSE)</f>
        <v/>
      </c>
      <c r="H722" s="46">
        <f>F722*G722</f>
        <v/>
      </c>
      <c r="I722" s="45" t="n">
        <v>0</v>
      </c>
      <c r="J722" s="46">
        <f>I722*'Cấu Hình Học Phí'!$B$5</f>
        <v/>
      </c>
      <c r="K722" s="46" t="n">
        <v>0</v>
      </c>
      <c r="L722" s="46">
        <f>H722+J722-K722</f>
        <v/>
      </c>
      <c r="M722" s="46" t="n">
        <v>2662000</v>
      </c>
      <c r="N722" s="46" t="n">
        <v>0</v>
      </c>
      <c r="O722" s="46">
        <f>MAX(0,M722-N722-L722)</f>
        <v/>
      </c>
      <c r="P722" s="46">
        <f>MAX(0,L722-(M722-N722))</f>
        <v/>
      </c>
      <c r="Q722" s="45" t="inlineStr">
        <is>
          <t>30/09/2027</t>
        </is>
      </c>
      <c r="R722" s="45" t="inlineStr">
        <is>
          <t>PT2027-00719</t>
        </is>
      </c>
      <c r="S722" s="45" t="inlineStr"/>
    </row>
    <row r="723">
      <c r="A723" s="45" t="inlineStr">
        <is>
          <t>251230935</t>
        </is>
      </c>
      <c r="B723" s="45" t="inlineStr">
        <is>
          <t>NGUYỄN THIỆN NHÂN</t>
        </is>
      </c>
      <c r="C723" s="45" t="inlineStr">
        <is>
          <t>Công nghệ thông tin 3 K66</t>
        </is>
      </c>
      <c r="D723" s="45" t="inlineStr">
        <is>
          <t>Năm 4</t>
        </is>
      </c>
      <c r="E723" s="45" t="inlineStr">
        <is>
          <t>2028_2029</t>
        </is>
      </c>
      <c r="F723" s="45" t="n">
        <v>1</v>
      </c>
      <c r="G723" s="46">
        <f>VLOOKUP(D723,'Cấu Hình Học Phí'!$A$8:$B$11,2,FALSE)</f>
        <v/>
      </c>
      <c r="H723" s="46">
        <f>F723*G723</f>
        <v/>
      </c>
      <c r="I723" s="45" t="n">
        <v>0</v>
      </c>
      <c r="J723" s="46">
        <f>I723*'Cấu Hình Học Phí'!$B$5</f>
        <v/>
      </c>
      <c r="K723" s="46" t="n">
        <v>0</v>
      </c>
      <c r="L723" s="46">
        <f>H723+J723-K723</f>
        <v/>
      </c>
      <c r="M723" s="46" t="n">
        <v>732050</v>
      </c>
      <c r="N723" s="46" t="n">
        <v>0</v>
      </c>
      <c r="O723" s="46">
        <f>MAX(0,M723-N723-L723)</f>
        <v/>
      </c>
      <c r="P723" s="46">
        <f>MAX(0,L723-(M723-N723))</f>
        <v/>
      </c>
      <c r="Q723" s="45" t="inlineStr">
        <is>
          <t>30/09/2028</t>
        </is>
      </c>
      <c r="R723" s="45" t="inlineStr">
        <is>
          <t>PT2028-00720</t>
        </is>
      </c>
      <c r="S723" s="45" t="inlineStr"/>
    </row>
    <row r="724">
      <c r="A724" s="45" t="inlineStr">
        <is>
          <t>251230936</t>
        </is>
      </c>
      <c r="B724" s="45" t="inlineStr">
        <is>
          <t>ĐỖ VIỆT NHẬT</t>
        </is>
      </c>
      <c r="C724" s="45" t="inlineStr">
        <is>
          <t>Công nghệ thông tin 3 K66</t>
        </is>
      </c>
      <c r="D724" s="45" t="inlineStr">
        <is>
          <t>Năm 1</t>
        </is>
      </c>
      <c r="E724" s="45" t="inlineStr">
        <is>
          <t>2025_2026</t>
        </is>
      </c>
      <c r="F724" s="45" t="n">
        <v>4</v>
      </c>
      <c r="G724" s="46">
        <f>VLOOKUP(D724,'Cấu Hình Học Phí'!$A$8:$B$11,2,FALSE)</f>
        <v/>
      </c>
      <c r="H724" s="46">
        <f>F724*G724</f>
        <v/>
      </c>
      <c r="I724" s="45" t="n">
        <v>1</v>
      </c>
      <c r="J724" s="46">
        <f>I724*'Cấu Hình Học Phí'!$B$5</f>
        <v/>
      </c>
      <c r="K724" s="46" t="n">
        <v>0</v>
      </c>
      <c r="L724" s="46">
        <f>H724+J724-K724</f>
        <v/>
      </c>
      <c r="M724" s="46" t="n">
        <v>3200000</v>
      </c>
      <c r="N724" s="46" t="n">
        <v>0</v>
      </c>
      <c r="O724" s="46">
        <f>MAX(0,M724-N724-L724)</f>
        <v/>
      </c>
      <c r="P724" s="46">
        <f>MAX(0,L724-(M724-N724))</f>
        <v/>
      </c>
      <c r="Q724" s="45" t="inlineStr">
        <is>
          <t>30/09/2025</t>
        </is>
      </c>
      <c r="R724" s="45" t="inlineStr">
        <is>
          <t>PT2025-00721</t>
        </is>
      </c>
      <c r="S724" s="45" t="inlineStr"/>
    </row>
    <row r="725">
      <c r="A725" s="45" t="inlineStr">
        <is>
          <t>251230936</t>
        </is>
      </c>
      <c r="B725" s="45" t="inlineStr">
        <is>
          <t>ĐỖ VIỆT NHẬT</t>
        </is>
      </c>
      <c r="C725" s="45" t="inlineStr">
        <is>
          <t>Công nghệ thông tin 3 K66</t>
        </is>
      </c>
      <c r="D725" s="45" t="inlineStr">
        <is>
          <t>Năm 2</t>
        </is>
      </c>
      <c r="E725" s="45" t="inlineStr">
        <is>
          <t>2026_2027</t>
        </is>
      </c>
      <c r="F725" s="45" t="n">
        <v>4</v>
      </c>
      <c r="G725" s="46">
        <f>VLOOKUP(D725,'Cấu Hình Học Phí'!$A$8:$B$11,2,FALSE)</f>
        <v/>
      </c>
      <c r="H725" s="46">
        <f>F725*G725</f>
        <v/>
      </c>
      <c r="I725" s="45" t="n">
        <v>1</v>
      </c>
      <c r="J725" s="46">
        <f>I725*'Cấu Hình Học Phí'!$B$5</f>
        <v/>
      </c>
      <c r="K725" s="46" t="n">
        <v>0</v>
      </c>
      <c r="L725" s="46">
        <f>H725+J725-K725</f>
        <v/>
      </c>
      <c r="M725" s="46" t="n">
        <v>2420000</v>
      </c>
      <c r="N725" s="46" t="n">
        <v>0</v>
      </c>
      <c r="O725" s="46">
        <f>MAX(0,M725-N725-L725)</f>
        <v/>
      </c>
      <c r="P725" s="46">
        <f>MAX(0,L725-(M725-N725))</f>
        <v/>
      </c>
      <c r="Q725" s="45" t="inlineStr">
        <is>
          <t>30/09/2026</t>
        </is>
      </c>
      <c r="R725" s="45" t="inlineStr">
        <is>
          <t>PT2026-00722</t>
        </is>
      </c>
      <c r="S725" s="45" t="inlineStr">
        <is>
          <t>Chưa nộp phí phụ đạo 1 môn</t>
        </is>
      </c>
    </row>
    <row r="726">
      <c r="A726" s="45" t="inlineStr">
        <is>
          <t>251230936</t>
        </is>
      </c>
      <c r="B726" s="45" t="inlineStr">
        <is>
          <t>ĐỖ VIỆT NHẬT</t>
        </is>
      </c>
      <c r="C726" s="45" t="inlineStr">
        <is>
          <t>Công nghệ thông tin 3 K66</t>
        </is>
      </c>
      <c r="D726" s="45" t="inlineStr">
        <is>
          <t>Năm 3</t>
        </is>
      </c>
      <c r="E726" s="45" t="inlineStr">
        <is>
          <t>2027_2028</t>
        </is>
      </c>
      <c r="F726" s="45" t="n">
        <v>4</v>
      </c>
      <c r="G726" s="46">
        <f>VLOOKUP(D726,'Cấu Hình Học Phí'!$A$8:$B$11,2,FALSE)</f>
        <v/>
      </c>
      <c r="H726" s="46">
        <f>F726*G726</f>
        <v/>
      </c>
      <c r="I726" s="45" t="n">
        <v>0</v>
      </c>
      <c r="J726" s="46">
        <f>I726*'Cấu Hình Học Phí'!$B$5</f>
        <v/>
      </c>
      <c r="K726" s="46" t="n">
        <v>0</v>
      </c>
      <c r="L726" s="46">
        <f>H726+J726-K726</f>
        <v/>
      </c>
      <c r="M726" s="46" t="n">
        <v>2662000</v>
      </c>
      <c r="N726" s="46" t="n">
        <v>0</v>
      </c>
      <c r="O726" s="46">
        <f>MAX(0,M726-N726-L726)</f>
        <v/>
      </c>
      <c r="P726" s="46">
        <f>MAX(0,L726-(M726-N726))</f>
        <v/>
      </c>
      <c r="Q726" s="45" t="inlineStr">
        <is>
          <t>30/09/2027</t>
        </is>
      </c>
      <c r="R726" s="45" t="inlineStr">
        <is>
          <t>PT2027-00723</t>
        </is>
      </c>
      <c r="S726" s="45" t="inlineStr"/>
    </row>
    <row r="727">
      <c r="A727" s="45" t="inlineStr">
        <is>
          <t>251230936</t>
        </is>
      </c>
      <c r="B727" s="45" t="inlineStr">
        <is>
          <t>ĐỖ VIỆT NHẬT</t>
        </is>
      </c>
      <c r="C727" s="45" t="inlineStr">
        <is>
          <t>Công nghệ thông tin 3 K66</t>
        </is>
      </c>
      <c r="D727" s="45" t="inlineStr">
        <is>
          <t>Năm 4</t>
        </is>
      </c>
      <c r="E727" s="45" t="inlineStr">
        <is>
          <t>2028_2029</t>
        </is>
      </c>
      <c r="F727" s="45" t="n">
        <v>1</v>
      </c>
      <c r="G727" s="46">
        <f>VLOOKUP(D727,'Cấu Hình Học Phí'!$A$8:$B$11,2,FALSE)</f>
        <v/>
      </c>
      <c r="H727" s="46">
        <f>F727*G727</f>
        <v/>
      </c>
      <c r="I727" s="45" t="n">
        <v>0</v>
      </c>
      <c r="J727" s="46">
        <f>I727*'Cấu Hình Học Phí'!$B$5</f>
        <v/>
      </c>
      <c r="K727" s="46" t="n">
        <v>0</v>
      </c>
      <c r="L727" s="46">
        <f>H727+J727-K727</f>
        <v/>
      </c>
      <c r="M727" s="46" t="n">
        <v>732050</v>
      </c>
      <c r="N727" s="46" t="n">
        <v>0</v>
      </c>
      <c r="O727" s="46">
        <f>MAX(0,M727-N727-L727)</f>
        <v/>
      </c>
      <c r="P727" s="46">
        <f>MAX(0,L727-(M727-N727))</f>
        <v/>
      </c>
      <c r="Q727" s="45" t="inlineStr">
        <is>
          <t>30/09/2028</t>
        </is>
      </c>
      <c r="R727" s="45" t="inlineStr">
        <is>
          <t>PT2028-00724</t>
        </is>
      </c>
      <c r="S727" s="45" t="inlineStr"/>
    </row>
    <row r="728">
      <c r="A728" s="45" t="inlineStr">
        <is>
          <t>251230939</t>
        </is>
      </c>
      <c r="B728" s="45" t="inlineStr">
        <is>
          <t>ĐỖ VIẾT PHONG</t>
        </is>
      </c>
      <c r="C728" s="45" t="inlineStr">
        <is>
          <t>Công nghệ thông tin 3 K66</t>
        </is>
      </c>
      <c r="D728" s="45" t="inlineStr">
        <is>
          <t>Năm 1</t>
        </is>
      </c>
      <c r="E728" s="45" t="inlineStr">
        <is>
          <t>2025_2026</t>
        </is>
      </c>
      <c r="F728" s="45" t="n">
        <v>4</v>
      </c>
      <c r="G728" s="46">
        <f>VLOOKUP(D728,'Cấu Hình Học Phí'!$A$8:$B$11,2,FALSE)</f>
        <v/>
      </c>
      <c r="H728" s="46">
        <f>F728*G728</f>
        <v/>
      </c>
      <c r="I728" s="45" t="n">
        <v>0</v>
      </c>
      <c r="J728" s="46">
        <f>I728*'Cấu Hình Học Phí'!$B$5</f>
        <v/>
      </c>
      <c r="K728" s="46" t="n">
        <v>0</v>
      </c>
      <c r="L728" s="46">
        <f>H728+J728-K728</f>
        <v/>
      </c>
      <c r="M728" s="46" t="n">
        <v>2200000</v>
      </c>
      <c r="N728" s="46" t="n">
        <v>0</v>
      </c>
      <c r="O728" s="46">
        <f>MAX(0,M728-N728-L728)</f>
        <v/>
      </c>
      <c r="P728" s="46">
        <f>MAX(0,L728-(M728-N728))</f>
        <v/>
      </c>
      <c r="Q728" s="45" t="inlineStr">
        <is>
          <t>30/09/2025</t>
        </is>
      </c>
      <c r="R728" s="45" t="inlineStr">
        <is>
          <t>PT2025-00725</t>
        </is>
      </c>
      <c r="S728" s="45" t="inlineStr"/>
    </row>
    <row r="729">
      <c r="A729" s="45" t="inlineStr">
        <is>
          <t>251230939</t>
        </is>
      </c>
      <c r="B729" s="45" t="inlineStr">
        <is>
          <t>ĐỖ VIẾT PHONG</t>
        </is>
      </c>
      <c r="C729" s="45" t="inlineStr">
        <is>
          <t>Công nghệ thông tin 3 K66</t>
        </is>
      </c>
      <c r="D729" s="45" t="inlineStr">
        <is>
          <t>Năm 2</t>
        </is>
      </c>
      <c r="E729" s="45" t="inlineStr">
        <is>
          <t>2026_2027</t>
        </is>
      </c>
      <c r="F729" s="45" t="n">
        <v>4</v>
      </c>
      <c r="G729" s="46">
        <f>VLOOKUP(D729,'Cấu Hình Học Phí'!$A$8:$B$11,2,FALSE)</f>
        <v/>
      </c>
      <c r="H729" s="46">
        <f>F729*G729</f>
        <v/>
      </c>
      <c r="I729" s="45" t="n">
        <v>0</v>
      </c>
      <c r="J729" s="46">
        <f>I729*'Cấu Hình Học Phí'!$B$5</f>
        <v/>
      </c>
      <c r="K729" s="46" t="n">
        <v>0</v>
      </c>
      <c r="L729" s="46">
        <f>H729+J729-K729</f>
        <v/>
      </c>
      <c r="M729" s="46" t="n">
        <v>2420000</v>
      </c>
      <c r="N729" s="46" t="n">
        <v>0</v>
      </c>
      <c r="O729" s="46">
        <f>MAX(0,M729-N729-L729)</f>
        <v/>
      </c>
      <c r="P729" s="46">
        <f>MAX(0,L729-(M729-N729))</f>
        <v/>
      </c>
      <c r="Q729" s="45" t="inlineStr">
        <is>
          <t>30/09/2026</t>
        </is>
      </c>
      <c r="R729" s="45" t="inlineStr">
        <is>
          <t>PT2026-00726</t>
        </is>
      </c>
      <c r="S729" s="45" t="inlineStr"/>
    </row>
    <row r="730">
      <c r="A730" s="45" t="inlineStr">
        <is>
          <t>251230939</t>
        </is>
      </c>
      <c r="B730" s="45" t="inlineStr">
        <is>
          <t>ĐỖ VIẾT PHONG</t>
        </is>
      </c>
      <c r="C730" s="45" t="inlineStr">
        <is>
          <t>Công nghệ thông tin 3 K66</t>
        </is>
      </c>
      <c r="D730" s="45" t="inlineStr">
        <is>
          <t>Năm 3</t>
        </is>
      </c>
      <c r="E730" s="45" t="inlineStr">
        <is>
          <t>2027_2028</t>
        </is>
      </c>
      <c r="F730" s="45" t="n">
        <v>4</v>
      </c>
      <c r="G730" s="46">
        <f>VLOOKUP(D730,'Cấu Hình Học Phí'!$A$8:$B$11,2,FALSE)</f>
        <v/>
      </c>
      <c r="H730" s="46">
        <f>F730*G730</f>
        <v/>
      </c>
      <c r="I730" s="45" t="n">
        <v>0</v>
      </c>
      <c r="J730" s="46">
        <f>I730*'Cấu Hình Học Phí'!$B$5</f>
        <v/>
      </c>
      <c r="K730" s="46" t="n">
        <v>0</v>
      </c>
      <c r="L730" s="46">
        <f>H730+J730-K730</f>
        <v/>
      </c>
      <c r="M730" s="46" t="n">
        <v>2662000</v>
      </c>
      <c r="N730" s="46" t="n">
        <v>0</v>
      </c>
      <c r="O730" s="46">
        <f>MAX(0,M730-N730-L730)</f>
        <v/>
      </c>
      <c r="P730" s="46">
        <f>MAX(0,L730-(M730-N730))</f>
        <v/>
      </c>
      <c r="Q730" s="45" t="inlineStr">
        <is>
          <t>30/09/2027</t>
        </is>
      </c>
      <c r="R730" s="45" t="inlineStr">
        <is>
          <t>PT2027-00727</t>
        </is>
      </c>
      <c r="S730" s="45" t="inlineStr"/>
    </row>
    <row r="731">
      <c r="A731" s="45" t="inlineStr">
        <is>
          <t>251230939</t>
        </is>
      </c>
      <c r="B731" s="45" t="inlineStr">
        <is>
          <t>ĐỖ VIẾT PHONG</t>
        </is>
      </c>
      <c r="C731" s="45" t="inlineStr">
        <is>
          <t>Công nghệ thông tin 3 K66</t>
        </is>
      </c>
      <c r="D731" s="45" t="inlineStr">
        <is>
          <t>Năm 4</t>
        </is>
      </c>
      <c r="E731" s="45" t="inlineStr">
        <is>
          <t>2028_2029</t>
        </is>
      </c>
      <c r="F731" s="45" t="n">
        <v>1</v>
      </c>
      <c r="G731" s="46">
        <f>VLOOKUP(D731,'Cấu Hình Học Phí'!$A$8:$B$11,2,FALSE)</f>
        <v/>
      </c>
      <c r="H731" s="46">
        <f>F731*G731</f>
        <v/>
      </c>
      <c r="I731" s="45" t="n">
        <v>0</v>
      </c>
      <c r="J731" s="46">
        <f>I731*'Cấu Hình Học Phí'!$B$5</f>
        <v/>
      </c>
      <c r="K731" s="46" t="n">
        <v>0</v>
      </c>
      <c r="L731" s="46">
        <f>H731+J731-K731</f>
        <v/>
      </c>
      <c r="M731" s="46" t="n">
        <v>732050</v>
      </c>
      <c r="N731" s="46" t="n">
        <v>0</v>
      </c>
      <c r="O731" s="46">
        <f>MAX(0,M731-N731-L731)</f>
        <v/>
      </c>
      <c r="P731" s="46">
        <f>MAX(0,L731-(M731-N731))</f>
        <v/>
      </c>
      <c r="Q731" s="45" t="inlineStr">
        <is>
          <t>30/09/2028</t>
        </is>
      </c>
      <c r="R731" s="45" t="inlineStr">
        <is>
          <t>PT2028-00728</t>
        </is>
      </c>
      <c r="S731" s="45" t="inlineStr"/>
    </row>
    <row r="732">
      <c r="A732" s="45" t="inlineStr">
        <is>
          <t>251210943</t>
        </is>
      </c>
      <c r="B732" s="45" t="inlineStr">
        <is>
          <t>PHAN HỒNG PHÚC</t>
        </is>
      </c>
      <c r="C732" s="45" t="inlineStr">
        <is>
          <t>Công nghệ thông tin 3 K66</t>
        </is>
      </c>
      <c r="D732" s="45" t="inlineStr">
        <is>
          <t>Năm 1</t>
        </is>
      </c>
      <c r="E732" s="45" t="inlineStr">
        <is>
          <t>2025_2026</t>
        </is>
      </c>
      <c r="F732" s="45" t="n">
        <v>4</v>
      </c>
      <c r="G732" s="46">
        <f>VLOOKUP(D732,'Cấu Hình Học Phí'!$A$8:$B$11,2,FALSE)</f>
        <v/>
      </c>
      <c r="H732" s="46">
        <f>F732*G732</f>
        <v/>
      </c>
      <c r="I732" s="45" t="n">
        <v>1</v>
      </c>
      <c r="J732" s="46">
        <f>I732*'Cấu Hình Học Phí'!$B$5</f>
        <v/>
      </c>
      <c r="K732" s="46" t="n">
        <v>0</v>
      </c>
      <c r="L732" s="46">
        <f>H732+J732-K732</f>
        <v/>
      </c>
      <c r="M732" s="46" t="n">
        <v>3200000</v>
      </c>
      <c r="N732" s="46" t="n">
        <v>0</v>
      </c>
      <c r="O732" s="46">
        <f>MAX(0,M732-N732-L732)</f>
        <v/>
      </c>
      <c r="P732" s="46">
        <f>MAX(0,L732-(M732-N732))</f>
        <v/>
      </c>
      <c r="Q732" s="45" t="inlineStr">
        <is>
          <t>30/09/2025</t>
        </is>
      </c>
      <c r="R732" s="45" t="inlineStr">
        <is>
          <t>PT2025-00729</t>
        </is>
      </c>
      <c r="S732" s="45" t="inlineStr"/>
    </row>
    <row r="733">
      <c r="A733" s="45" t="inlineStr">
        <is>
          <t>251210943</t>
        </is>
      </c>
      <c r="B733" s="45" t="inlineStr">
        <is>
          <t>PHAN HỒNG PHÚC</t>
        </is>
      </c>
      <c r="C733" s="45" t="inlineStr">
        <is>
          <t>Công nghệ thông tin 3 K66</t>
        </is>
      </c>
      <c r="D733" s="45" t="inlineStr">
        <is>
          <t>Năm 2</t>
        </is>
      </c>
      <c r="E733" s="45" t="inlineStr">
        <is>
          <t>2026_2027</t>
        </is>
      </c>
      <c r="F733" s="45" t="n">
        <v>4</v>
      </c>
      <c r="G733" s="46">
        <f>VLOOKUP(D733,'Cấu Hình Học Phí'!$A$8:$B$11,2,FALSE)</f>
        <v/>
      </c>
      <c r="H733" s="46">
        <f>F733*G733</f>
        <v/>
      </c>
      <c r="I733" s="45" t="n">
        <v>2</v>
      </c>
      <c r="J733" s="46">
        <f>I733*'Cấu Hình Học Phí'!$B$5</f>
        <v/>
      </c>
      <c r="K733" s="46" t="n">
        <v>0</v>
      </c>
      <c r="L733" s="46">
        <f>H733+J733-K733</f>
        <v/>
      </c>
      <c r="M733" s="46" t="n">
        <v>4420000</v>
      </c>
      <c r="N733" s="46" t="n">
        <v>0</v>
      </c>
      <c r="O733" s="46">
        <f>MAX(0,M733-N733-L733)</f>
        <v/>
      </c>
      <c r="P733" s="46">
        <f>MAX(0,L733-(M733-N733))</f>
        <v/>
      </c>
      <c r="Q733" s="45" t="inlineStr">
        <is>
          <t>30/09/2026</t>
        </is>
      </c>
      <c r="R733" s="45" t="inlineStr">
        <is>
          <t>PT2026-00730</t>
        </is>
      </c>
      <c r="S733" s="45" t="inlineStr"/>
    </row>
    <row r="734">
      <c r="A734" s="45" t="inlineStr">
        <is>
          <t>251210943</t>
        </is>
      </c>
      <c r="B734" s="45" t="inlineStr">
        <is>
          <t>PHAN HỒNG PHÚC</t>
        </is>
      </c>
      <c r="C734" s="45" t="inlineStr">
        <is>
          <t>Công nghệ thông tin 3 K66</t>
        </is>
      </c>
      <c r="D734" s="45" t="inlineStr">
        <is>
          <t>Năm 3</t>
        </is>
      </c>
      <c r="E734" s="45" t="inlineStr">
        <is>
          <t>2027_2028</t>
        </is>
      </c>
      <c r="F734" s="45" t="n">
        <v>4</v>
      </c>
      <c r="G734" s="46">
        <f>VLOOKUP(D734,'Cấu Hình Học Phí'!$A$8:$B$11,2,FALSE)</f>
        <v/>
      </c>
      <c r="H734" s="46">
        <f>F734*G734</f>
        <v/>
      </c>
      <c r="I734" s="45" t="n">
        <v>0</v>
      </c>
      <c r="J734" s="46">
        <f>I734*'Cấu Hình Học Phí'!$B$5</f>
        <v/>
      </c>
      <c r="K734" s="46" t="n">
        <v>0</v>
      </c>
      <c r="L734" s="46">
        <f>H734+J734-K734</f>
        <v/>
      </c>
      <c r="M734" s="46" t="n">
        <v>2662000</v>
      </c>
      <c r="N734" s="46" t="n">
        <v>0</v>
      </c>
      <c r="O734" s="46">
        <f>MAX(0,M734-N734-L734)</f>
        <v/>
      </c>
      <c r="P734" s="46">
        <f>MAX(0,L734-(M734-N734))</f>
        <v/>
      </c>
      <c r="Q734" s="45" t="inlineStr">
        <is>
          <t>30/09/2027</t>
        </is>
      </c>
      <c r="R734" s="45" t="inlineStr">
        <is>
          <t>PT2027-00731</t>
        </is>
      </c>
      <c r="S734" s="45" t="inlineStr"/>
    </row>
    <row r="735">
      <c r="A735" s="45" t="inlineStr">
        <is>
          <t>251210943</t>
        </is>
      </c>
      <c r="B735" s="45" t="inlineStr">
        <is>
          <t>PHAN HỒNG PHÚC</t>
        </is>
      </c>
      <c r="C735" s="45" t="inlineStr">
        <is>
          <t>Công nghệ thông tin 3 K66</t>
        </is>
      </c>
      <c r="D735" s="45" t="inlineStr">
        <is>
          <t>Năm 4</t>
        </is>
      </c>
      <c r="E735" s="45" t="inlineStr">
        <is>
          <t>2028_2029</t>
        </is>
      </c>
      <c r="F735" s="45" t="n">
        <v>1</v>
      </c>
      <c r="G735" s="46">
        <f>VLOOKUP(D735,'Cấu Hình Học Phí'!$A$8:$B$11,2,FALSE)</f>
        <v/>
      </c>
      <c r="H735" s="46">
        <f>F735*G735</f>
        <v/>
      </c>
      <c r="I735" s="45" t="n">
        <v>0</v>
      </c>
      <c r="J735" s="46">
        <f>I735*'Cấu Hình Học Phí'!$B$5</f>
        <v/>
      </c>
      <c r="K735" s="46" t="n">
        <v>0</v>
      </c>
      <c r="L735" s="46">
        <f>H735+J735-K735</f>
        <v/>
      </c>
      <c r="M735" s="46" t="n">
        <v>732050</v>
      </c>
      <c r="N735" s="46" t="n">
        <v>0</v>
      </c>
      <c r="O735" s="46">
        <f>MAX(0,M735-N735-L735)</f>
        <v/>
      </c>
      <c r="P735" s="46">
        <f>MAX(0,L735-(M735-N735))</f>
        <v/>
      </c>
      <c r="Q735" s="45" t="inlineStr">
        <is>
          <t>30/09/2028</t>
        </is>
      </c>
      <c r="R735" s="45" t="inlineStr">
        <is>
          <t>PT2028-00732</t>
        </is>
      </c>
      <c r="S735" s="45" t="inlineStr"/>
    </row>
    <row r="736">
      <c r="A736" s="45" t="inlineStr">
        <is>
          <t>251230944</t>
        </is>
      </c>
      <c r="B736" s="45" t="inlineStr">
        <is>
          <t>BÙI THỊ NGỌC PHƯƠNG</t>
        </is>
      </c>
      <c r="C736" s="45" t="inlineStr">
        <is>
          <t>Công nghệ thông tin 3 K66</t>
        </is>
      </c>
      <c r="D736" s="45" t="inlineStr">
        <is>
          <t>Năm 1</t>
        </is>
      </c>
      <c r="E736" s="45" t="inlineStr">
        <is>
          <t>2025_2026</t>
        </is>
      </c>
      <c r="F736" s="45" t="n">
        <v>4</v>
      </c>
      <c r="G736" s="46">
        <f>VLOOKUP(D736,'Cấu Hình Học Phí'!$A$8:$B$11,2,FALSE)</f>
        <v/>
      </c>
      <c r="H736" s="46">
        <f>F736*G736</f>
        <v/>
      </c>
      <c r="I736" s="45" t="n">
        <v>0</v>
      </c>
      <c r="J736" s="46">
        <f>I736*'Cấu Hình Học Phí'!$B$5</f>
        <v/>
      </c>
      <c r="K736" s="46" t="n">
        <v>0</v>
      </c>
      <c r="L736" s="46">
        <f>H736+J736-K736</f>
        <v/>
      </c>
      <c r="M736" s="46" t="n">
        <v>2200000</v>
      </c>
      <c r="N736" s="46" t="n">
        <v>0</v>
      </c>
      <c r="O736" s="46">
        <f>MAX(0,M736-N736-L736)</f>
        <v/>
      </c>
      <c r="P736" s="46">
        <f>MAX(0,L736-(M736-N736))</f>
        <v/>
      </c>
      <c r="Q736" s="45" t="inlineStr">
        <is>
          <t>30/09/2025</t>
        </is>
      </c>
      <c r="R736" s="45" t="inlineStr">
        <is>
          <t>PT2025-00733</t>
        </is>
      </c>
      <c r="S736" s="45" t="inlineStr"/>
    </row>
    <row r="737">
      <c r="A737" s="45" t="inlineStr">
        <is>
          <t>251230944</t>
        </is>
      </c>
      <c r="B737" s="45" t="inlineStr">
        <is>
          <t>BÙI THỊ NGỌC PHƯƠNG</t>
        </is>
      </c>
      <c r="C737" s="45" t="inlineStr">
        <is>
          <t>Công nghệ thông tin 3 K66</t>
        </is>
      </c>
      <c r="D737" s="45" t="inlineStr">
        <is>
          <t>Năm 2</t>
        </is>
      </c>
      <c r="E737" s="45" t="inlineStr">
        <is>
          <t>2026_2027</t>
        </is>
      </c>
      <c r="F737" s="45" t="n">
        <v>4</v>
      </c>
      <c r="G737" s="46">
        <f>VLOOKUP(D737,'Cấu Hình Học Phí'!$A$8:$B$11,2,FALSE)</f>
        <v/>
      </c>
      <c r="H737" s="46">
        <f>F737*G737</f>
        <v/>
      </c>
      <c r="I737" s="45" t="n">
        <v>0</v>
      </c>
      <c r="J737" s="46">
        <f>I737*'Cấu Hình Học Phí'!$B$5</f>
        <v/>
      </c>
      <c r="K737" s="46" t="n">
        <v>0</v>
      </c>
      <c r="L737" s="46">
        <f>H737+J737-K737</f>
        <v/>
      </c>
      <c r="M737" s="46" t="n">
        <v>2420000</v>
      </c>
      <c r="N737" s="46" t="n">
        <v>0</v>
      </c>
      <c r="O737" s="46">
        <f>MAX(0,M737-N737-L737)</f>
        <v/>
      </c>
      <c r="P737" s="46">
        <f>MAX(0,L737-(M737-N737))</f>
        <v/>
      </c>
      <c r="Q737" s="45" t="inlineStr">
        <is>
          <t>30/09/2026</t>
        </is>
      </c>
      <c r="R737" s="45" t="inlineStr">
        <is>
          <t>PT2026-00734</t>
        </is>
      </c>
      <c r="S737" s="45" t="inlineStr"/>
    </row>
    <row r="738">
      <c r="A738" s="45" t="inlineStr">
        <is>
          <t>251230944</t>
        </is>
      </c>
      <c r="B738" s="45" t="inlineStr">
        <is>
          <t>BÙI THỊ NGỌC PHƯƠNG</t>
        </is>
      </c>
      <c r="C738" s="45" t="inlineStr">
        <is>
          <t>Công nghệ thông tin 3 K66</t>
        </is>
      </c>
      <c r="D738" s="45" t="inlineStr">
        <is>
          <t>Năm 3</t>
        </is>
      </c>
      <c r="E738" s="45" t="inlineStr">
        <is>
          <t>2027_2028</t>
        </is>
      </c>
      <c r="F738" s="45" t="n">
        <v>4</v>
      </c>
      <c r="G738" s="46">
        <f>VLOOKUP(D738,'Cấu Hình Học Phí'!$A$8:$B$11,2,FALSE)</f>
        <v/>
      </c>
      <c r="H738" s="46">
        <f>F738*G738</f>
        <v/>
      </c>
      <c r="I738" s="45" t="n">
        <v>0</v>
      </c>
      <c r="J738" s="46">
        <f>I738*'Cấu Hình Học Phí'!$B$5</f>
        <v/>
      </c>
      <c r="K738" s="46" t="n">
        <v>0</v>
      </c>
      <c r="L738" s="46">
        <f>H738+J738-K738</f>
        <v/>
      </c>
      <c r="M738" s="46" t="n">
        <v>2662000</v>
      </c>
      <c r="N738" s="46" t="n">
        <v>0</v>
      </c>
      <c r="O738" s="46">
        <f>MAX(0,M738-N738-L738)</f>
        <v/>
      </c>
      <c r="P738" s="46">
        <f>MAX(0,L738-(M738-N738))</f>
        <v/>
      </c>
      <c r="Q738" s="45" t="inlineStr">
        <is>
          <t>30/09/2027</t>
        </is>
      </c>
      <c r="R738" s="45" t="inlineStr">
        <is>
          <t>PT2027-00735</t>
        </is>
      </c>
      <c r="S738" s="45" t="inlineStr"/>
    </row>
    <row r="739">
      <c r="A739" s="45" t="inlineStr">
        <is>
          <t>251230944</t>
        </is>
      </c>
      <c r="B739" s="45" t="inlineStr">
        <is>
          <t>BÙI THỊ NGỌC PHƯƠNG</t>
        </is>
      </c>
      <c r="C739" s="45" t="inlineStr">
        <is>
          <t>Công nghệ thông tin 3 K66</t>
        </is>
      </c>
      <c r="D739" s="45" t="inlineStr">
        <is>
          <t>Năm 4</t>
        </is>
      </c>
      <c r="E739" s="45" t="inlineStr">
        <is>
          <t>2028_2029</t>
        </is>
      </c>
      <c r="F739" s="45" t="n">
        <v>1</v>
      </c>
      <c r="G739" s="46">
        <f>VLOOKUP(D739,'Cấu Hình Học Phí'!$A$8:$B$11,2,FALSE)</f>
        <v/>
      </c>
      <c r="H739" s="46">
        <f>F739*G739</f>
        <v/>
      </c>
      <c r="I739" s="45" t="n">
        <v>0</v>
      </c>
      <c r="J739" s="46">
        <f>I739*'Cấu Hình Học Phí'!$B$5</f>
        <v/>
      </c>
      <c r="K739" s="46" t="n">
        <v>0</v>
      </c>
      <c r="L739" s="46">
        <f>H739+J739-K739</f>
        <v/>
      </c>
      <c r="M739" s="46" t="n">
        <v>732050</v>
      </c>
      <c r="N739" s="46" t="n">
        <v>0</v>
      </c>
      <c r="O739" s="46">
        <f>MAX(0,M739-N739-L739)</f>
        <v/>
      </c>
      <c r="P739" s="46">
        <f>MAX(0,L739-(M739-N739))</f>
        <v/>
      </c>
      <c r="Q739" s="45" t="inlineStr">
        <is>
          <t>30/09/2028</t>
        </is>
      </c>
      <c r="R739" s="45" t="inlineStr">
        <is>
          <t>PT2028-00736</t>
        </is>
      </c>
      <c r="S739" s="45" t="inlineStr"/>
    </row>
    <row r="740">
      <c r="A740" s="45" t="inlineStr">
        <is>
          <t>251230950</t>
        </is>
      </c>
      <c r="B740" s="45" t="inlineStr">
        <is>
          <t>BÙI TUẤN MINH QUÂN</t>
        </is>
      </c>
      <c r="C740" s="45" t="inlineStr">
        <is>
          <t>Công nghệ thông tin 3 K66</t>
        </is>
      </c>
      <c r="D740" s="45" t="inlineStr">
        <is>
          <t>Năm 1</t>
        </is>
      </c>
      <c r="E740" s="45" t="inlineStr">
        <is>
          <t>2025_2026</t>
        </is>
      </c>
      <c r="F740" s="45" t="n">
        <v>4</v>
      </c>
      <c r="G740" s="46">
        <f>VLOOKUP(D740,'Cấu Hình Học Phí'!$A$8:$B$11,2,FALSE)</f>
        <v/>
      </c>
      <c r="H740" s="46">
        <f>F740*G740</f>
        <v/>
      </c>
      <c r="I740" s="45" t="n">
        <v>1</v>
      </c>
      <c r="J740" s="46">
        <f>I740*'Cấu Hình Học Phí'!$B$5</f>
        <v/>
      </c>
      <c r="K740" s="46" t="n">
        <v>0</v>
      </c>
      <c r="L740" s="46">
        <f>H740+J740-K740</f>
        <v/>
      </c>
      <c r="M740" s="46" t="n">
        <v>3200000</v>
      </c>
      <c r="N740" s="46" t="n">
        <v>0</v>
      </c>
      <c r="O740" s="46">
        <f>MAX(0,M740-N740-L740)</f>
        <v/>
      </c>
      <c r="P740" s="46">
        <f>MAX(0,L740-(M740-N740))</f>
        <v/>
      </c>
      <c r="Q740" s="45" t="inlineStr">
        <is>
          <t>30/09/2025</t>
        </is>
      </c>
      <c r="R740" s="45" t="inlineStr">
        <is>
          <t>PT2025-00737</t>
        </is>
      </c>
      <c r="S740" s="45" t="inlineStr"/>
    </row>
    <row r="741">
      <c r="A741" s="45" t="inlineStr">
        <is>
          <t>251230950</t>
        </is>
      </c>
      <c r="B741" s="45" t="inlineStr">
        <is>
          <t>BÙI TUẤN MINH QUÂN</t>
        </is>
      </c>
      <c r="C741" s="45" t="inlineStr">
        <is>
          <t>Công nghệ thông tin 3 K66</t>
        </is>
      </c>
      <c r="D741" s="45" t="inlineStr">
        <is>
          <t>Năm 2</t>
        </is>
      </c>
      <c r="E741" s="45" t="inlineStr">
        <is>
          <t>2026_2027</t>
        </is>
      </c>
      <c r="F741" s="45" t="n">
        <v>4</v>
      </c>
      <c r="G741" s="46">
        <f>VLOOKUP(D741,'Cấu Hình Học Phí'!$A$8:$B$11,2,FALSE)</f>
        <v/>
      </c>
      <c r="H741" s="46">
        <f>F741*G741</f>
        <v/>
      </c>
      <c r="I741" s="45" t="n">
        <v>3</v>
      </c>
      <c r="J741" s="46">
        <f>I741*'Cấu Hình Học Phí'!$B$5</f>
        <v/>
      </c>
      <c r="K741" s="46" t="n">
        <v>0</v>
      </c>
      <c r="L741" s="46">
        <f>H741+J741-K741</f>
        <v/>
      </c>
      <c r="M741" s="46" t="n">
        <v>5420000</v>
      </c>
      <c r="N741" s="46" t="n">
        <v>0</v>
      </c>
      <c r="O741" s="46">
        <f>MAX(0,M741-N741-L741)</f>
        <v/>
      </c>
      <c r="P741" s="46">
        <f>MAX(0,L741-(M741-N741))</f>
        <v/>
      </c>
      <c r="Q741" s="45" t="inlineStr">
        <is>
          <t>30/09/2026</t>
        </is>
      </c>
      <c r="R741" s="45" t="inlineStr">
        <is>
          <t>PT2026-00738</t>
        </is>
      </c>
      <c r="S741" s="45" t="inlineStr"/>
    </row>
    <row r="742">
      <c r="A742" s="45" t="inlineStr">
        <is>
          <t>251230950</t>
        </is>
      </c>
      <c r="B742" s="45" t="inlineStr">
        <is>
          <t>BÙI TUẤN MINH QUÂN</t>
        </is>
      </c>
      <c r="C742" s="45" t="inlineStr">
        <is>
          <t>Công nghệ thông tin 3 K66</t>
        </is>
      </c>
      <c r="D742" s="45" t="inlineStr">
        <is>
          <t>Năm 3</t>
        </is>
      </c>
      <c r="E742" s="45" t="inlineStr">
        <is>
          <t>2027_2028</t>
        </is>
      </c>
      <c r="F742" s="45" t="n">
        <v>4</v>
      </c>
      <c r="G742" s="46">
        <f>VLOOKUP(D742,'Cấu Hình Học Phí'!$A$8:$B$11,2,FALSE)</f>
        <v/>
      </c>
      <c r="H742" s="46">
        <f>F742*G742</f>
        <v/>
      </c>
      <c r="I742" s="45" t="n">
        <v>0</v>
      </c>
      <c r="J742" s="46">
        <f>I742*'Cấu Hình Học Phí'!$B$5</f>
        <v/>
      </c>
      <c r="K742" s="46" t="n">
        <v>0</v>
      </c>
      <c r="L742" s="46">
        <f>H742+J742-K742</f>
        <v/>
      </c>
      <c r="M742" s="46" t="n">
        <v>2662000</v>
      </c>
      <c r="N742" s="46" t="n">
        <v>0</v>
      </c>
      <c r="O742" s="46">
        <f>MAX(0,M742-N742-L742)</f>
        <v/>
      </c>
      <c r="P742" s="46">
        <f>MAX(0,L742-(M742-N742))</f>
        <v/>
      </c>
      <c r="Q742" s="45" t="inlineStr">
        <is>
          <t>30/09/2027</t>
        </is>
      </c>
      <c r="R742" s="45" t="inlineStr">
        <is>
          <t>PT2027-00739</t>
        </is>
      </c>
      <c r="S742" s="45" t="inlineStr"/>
    </row>
    <row r="743">
      <c r="A743" s="45" t="inlineStr">
        <is>
          <t>251230950</t>
        </is>
      </c>
      <c r="B743" s="45" t="inlineStr">
        <is>
          <t>BÙI TUẤN MINH QUÂN</t>
        </is>
      </c>
      <c r="C743" s="45" t="inlineStr">
        <is>
          <t>Công nghệ thông tin 3 K66</t>
        </is>
      </c>
      <c r="D743" s="45" t="inlineStr">
        <is>
          <t>Năm 4</t>
        </is>
      </c>
      <c r="E743" s="45" t="inlineStr">
        <is>
          <t>2028_2029</t>
        </is>
      </c>
      <c r="F743" s="45" t="n">
        <v>1</v>
      </c>
      <c r="G743" s="46">
        <f>VLOOKUP(D743,'Cấu Hình Học Phí'!$A$8:$B$11,2,FALSE)</f>
        <v/>
      </c>
      <c r="H743" s="46">
        <f>F743*G743</f>
        <v/>
      </c>
      <c r="I743" s="45" t="n">
        <v>0</v>
      </c>
      <c r="J743" s="46">
        <f>I743*'Cấu Hình Học Phí'!$B$5</f>
        <v/>
      </c>
      <c r="K743" s="46" t="n">
        <v>0</v>
      </c>
      <c r="L743" s="46">
        <f>H743+J743-K743</f>
        <v/>
      </c>
      <c r="M743" s="46" t="n">
        <v>732050</v>
      </c>
      <c r="N743" s="46" t="n">
        <v>0</v>
      </c>
      <c r="O743" s="46">
        <f>MAX(0,M743-N743-L743)</f>
        <v/>
      </c>
      <c r="P743" s="46">
        <f>MAX(0,L743-(M743-N743))</f>
        <v/>
      </c>
      <c r="Q743" s="45" t="inlineStr">
        <is>
          <t>30/09/2028</t>
        </is>
      </c>
      <c r="R743" s="45" t="inlineStr">
        <is>
          <t>PT2028-00740</t>
        </is>
      </c>
      <c r="S743" s="45" t="inlineStr"/>
    </row>
    <row r="744">
      <c r="A744" s="45" t="inlineStr">
        <is>
          <t>251230957</t>
        </is>
      </c>
      <c r="B744" s="45" t="inlineStr">
        <is>
          <t>NGUYỄN ĐÌNH SƠN</t>
        </is>
      </c>
      <c r="C744" s="45" t="inlineStr">
        <is>
          <t>Công nghệ thông tin 3 K66</t>
        </is>
      </c>
      <c r="D744" s="45" t="inlineStr">
        <is>
          <t>Năm 1</t>
        </is>
      </c>
      <c r="E744" s="45" t="inlineStr">
        <is>
          <t>2025_2026</t>
        </is>
      </c>
      <c r="F744" s="45" t="n">
        <v>4</v>
      </c>
      <c r="G744" s="46">
        <f>VLOOKUP(D744,'Cấu Hình Học Phí'!$A$8:$B$11,2,FALSE)</f>
        <v/>
      </c>
      <c r="H744" s="46">
        <f>F744*G744</f>
        <v/>
      </c>
      <c r="I744" s="45" t="n">
        <v>0</v>
      </c>
      <c r="J744" s="46">
        <f>I744*'Cấu Hình Học Phí'!$B$5</f>
        <v/>
      </c>
      <c r="K744" s="46" t="n">
        <v>0</v>
      </c>
      <c r="L744" s="46">
        <f>H744+J744-K744</f>
        <v/>
      </c>
      <c r="M744" s="46" t="n">
        <v>2200000</v>
      </c>
      <c r="N744" s="46" t="n">
        <v>0</v>
      </c>
      <c r="O744" s="46">
        <f>MAX(0,M744-N744-L744)</f>
        <v/>
      </c>
      <c r="P744" s="46">
        <f>MAX(0,L744-(M744-N744))</f>
        <v/>
      </c>
      <c r="Q744" s="45" t="inlineStr">
        <is>
          <t>30/09/2025</t>
        </is>
      </c>
      <c r="R744" s="45" t="inlineStr">
        <is>
          <t>PT2025-00741</t>
        </is>
      </c>
      <c r="S744" s="45" t="inlineStr"/>
    </row>
    <row r="745">
      <c r="A745" s="45" t="inlineStr">
        <is>
          <t>251230957</t>
        </is>
      </c>
      <c r="B745" s="45" t="inlineStr">
        <is>
          <t>NGUYỄN ĐÌNH SƠN</t>
        </is>
      </c>
      <c r="C745" s="45" t="inlineStr">
        <is>
          <t>Công nghệ thông tin 3 K66</t>
        </is>
      </c>
      <c r="D745" s="45" t="inlineStr">
        <is>
          <t>Năm 2</t>
        </is>
      </c>
      <c r="E745" s="45" t="inlineStr">
        <is>
          <t>2026_2027</t>
        </is>
      </c>
      <c r="F745" s="45" t="n">
        <v>4</v>
      </c>
      <c r="G745" s="46">
        <f>VLOOKUP(D745,'Cấu Hình Học Phí'!$A$8:$B$11,2,FALSE)</f>
        <v/>
      </c>
      <c r="H745" s="46">
        <f>F745*G745</f>
        <v/>
      </c>
      <c r="I745" s="45" t="n">
        <v>1</v>
      </c>
      <c r="J745" s="46">
        <f>I745*'Cấu Hình Học Phí'!$B$5</f>
        <v/>
      </c>
      <c r="K745" s="46" t="n">
        <v>0</v>
      </c>
      <c r="L745" s="46">
        <f>H745+J745-K745</f>
        <v/>
      </c>
      <c r="M745" s="46" t="n">
        <v>2420000</v>
      </c>
      <c r="N745" s="46" t="n">
        <v>0</v>
      </c>
      <c r="O745" s="46">
        <f>MAX(0,M745-N745-L745)</f>
        <v/>
      </c>
      <c r="P745" s="46">
        <f>MAX(0,L745-(M745-N745))</f>
        <v/>
      </c>
      <c r="Q745" s="45" t="inlineStr">
        <is>
          <t>30/09/2026</t>
        </is>
      </c>
      <c r="R745" s="45" t="inlineStr">
        <is>
          <t>PT2026-00742</t>
        </is>
      </c>
      <c r="S745" s="45" t="inlineStr">
        <is>
          <t>Chưa nộp phí phụ đạo 1 môn</t>
        </is>
      </c>
    </row>
    <row r="746">
      <c r="A746" s="45" t="inlineStr">
        <is>
          <t>251230957</t>
        </is>
      </c>
      <c r="B746" s="45" t="inlineStr">
        <is>
          <t>NGUYỄN ĐÌNH SƠN</t>
        </is>
      </c>
      <c r="C746" s="45" t="inlineStr">
        <is>
          <t>Công nghệ thông tin 3 K66</t>
        </is>
      </c>
      <c r="D746" s="45" t="inlineStr">
        <is>
          <t>Năm 3</t>
        </is>
      </c>
      <c r="E746" s="45" t="inlineStr">
        <is>
          <t>2027_2028</t>
        </is>
      </c>
      <c r="F746" s="45" t="n">
        <v>4</v>
      </c>
      <c r="G746" s="46">
        <f>VLOOKUP(D746,'Cấu Hình Học Phí'!$A$8:$B$11,2,FALSE)</f>
        <v/>
      </c>
      <c r="H746" s="46">
        <f>F746*G746</f>
        <v/>
      </c>
      <c r="I746" s="45" t="n">
        <v>0</v>
      </c>
      <c r="J746" s="46">
        <f>I746*'Cấu Hình Học Phí'!$B$5</f>
        <v/>
      </c>
      <c r="K746" s="46" t="n">
        <v>0</v>
      </c>
      <c r="L746" s="46">
        <f>H746+J746-K746</f>
        <v/>
      </c>
      <c r="M746" s="46" t="n">
        <v>2662000</v>
      </c>
      <c r="N746" s="46" t="n">
        <v>0</v>
      </c>
      <c r="O746" s="46">
        <f>MAX(0,M746-N746-L746)</f>
        <v/>
      </c>
      <c r="P746" s="46">
        <f>MAX(0,L746-(M746-N746))</f>
        <v/>
      </c>
      <c r="Q746" s="45" t="inlineStr">
        <is>
          <t>30/09/2027</t>
        </is>
      </c>
      <c r="R746" s="45" t="inlineStr">
        <is>
          <t>PT2027-00743</t>
        </is>
      </c>
      <c r="S746" s="45" t="inlineStr"/>
    </row>
    <row r="747">
      <c r="A747" s="45" t="inlineStr">
        <is>
          <t>251230957</t>
        </is>
      </c>
      <c r="B747" s="45" t="inlineStr">
        <is>
          <t>NGUYỄN ĐÌNH SƠN</t>
        </is>
      </c>
      <c r="C747" s="45" t="inlineStr">
        <is>
          <t>Công nghệ thông tin 3 K66</t>
        </is>
      </c>
      <c r="D747" s="45" t="inlineStr">
        <is>
          <t>Năm 4</t>
        </is>
      </c>
      <c r="E747" s="45" t="inlineStr">
        <is>
          <t>2028_2029</t>
        </is>
      </c>
      <c r="F747" s="45" t="n">
        <v>1</v>
      </c>
      <c r="G747" s="46">
        <f>VLOOKUP(D747,'Cấu Hình Học Phí'!$A$8:$B$11,2,FALSE)</f>
        <v/>
      </c>
      <c r="H747" s="46">
        <f>F747*G747</f>
        <v/>
      </c>
      <c r="I747" s="45" t="n">
        <v>0</v>
      </c>
      <c r="J747" s="46">
        <f>I747*'Cấu Hình Học Phí'!$B$5</f>
        <v/>
      </c>
      <c r="K747" s="46" t="n">
        <v>0</v>
      </c>
      <c r="L747" s="46">
        <f>H747+J747-K747</f>
        <v/>
      </c>
      <c r="M747" s="46" t="n">
        <v>732050</v>
      </c>
      <c r="N747" s="46" t="n">
        <v>0</v>
      </c>
      <c r="O747" s="46">
        <f>MAX(0,M747-N747-L747)</f>
        <v/>
      </c>
      <c r="P747" s="46">
        <f>MAX(0,L747-(M747-N747))</f>
        <v/>
      </c>
      <c r="Q747" s="45" t="inlineStr">
        <is>
          <t>30/09/2028</t>
        </is>
      </c>
      <c r="R747" s="45" t="inlineStr">
        <is>
          <t>PT2028-00744</t>
        </is>
      </c>
      <c r="S747" s="45" t="inlineStr"/>
    </row>
    <row r="748">
      <c r="A748" s="45" t="inlineStr">
        <is>
          <t>251230958</t>
        </is>
      </c>
      <c r="B748" s="45" t="inlineStr">
        <is>
          <t>NGUYỄN VĂN SƠN</t>
        </is>
      </c>
      <c r="C748" s="45" t="inlineStr">
        <is>
          <t>Công nghệ thông tin 3 K66</t>
        </is>
      </c>
      <c r="D748" s="45" t="inlineStr">
        <is>
          <t>Năm 1</t>
        </is>
      </c>
      <c r="E748" s="45" t="inlineStr">
        <is>
          <t>2025_2026</t>
        </is>
      </c>
      <c r="F748" s="45" t="n">
        <v>4</v>
      </c>
      <c r="G748" s="46">
        <f>VLOOKUP(D748,'Cấu Hình Học Phí'!$A$8:$B$11,2,FALSE)</f>
        <v/>
      </c>
      <c r="H748" s="46">
        <f>F748*G748</f>
        <v/>
      </c>
      <c r="I748" s="45" t="n">
        <v>1</v>
      </c>
      <c r="J748" s="46">
        <f>I748*'Cấu Hình Học Phí'!$B$5</f>
        <v/>
      </c>
      <c r="K748" s="46" t="n">
        <v>0</v>
      </c>
      <c r="L748" s="46">
        <f>H748+J748-K748</f>
        <v/>
      </c>
      <c r="M748" s="46" t="n">
        <v>2200000</v>
      </c>
      <c r="N748" s="46" t="n">
        <v>0</v>
      </c>
      <c r="O748" s="46">
        <f>MAX(0,M748-N748-L748)</f>
        <v/>
      </c>
      <c r="P748" s="46">
        <f>MAX(0,L748-(M748-N748))</f>
        <v/>
      </c>
      <c r="Q748" s="45" t="inlineStr">
        <is>
          <t>30/09/2025</t>
        </is>
      </c>
      <c r="R748" s="45" t="inlineStr">
        <is>
          <t>PT2025-00745</t>
        </is>
      </c>
      <c r="S748" s="45" t="inlineStr">
        <is>
          <t>Chưa nộp phí phụ đạo 1 môn</t>
        </is>
      </c>
    </row>
    <row r="749">
      <c r="A749" s="45" t="inlineStr">
        <is>
          <t>251230958</t>
        </is>
      </c>
      <c r="B749" s="45" t="inlineStr">
        <is>
          <t>NGUYỄN VĂN SƠN</t>
        </is>
      </c>
      <c r="C749" s="45" t="inlineStr">
        <is>
          <t>Công nghệ thông tin 3 K66</t>
        </is>
      </c>
      <c r="D749" s="45" t="inlineStr">
        <is>
          <t>Năm 2</t>
        </is>
      </c>
      <c r="E749" s="45" t="inlineStr">
        <is>
          <t>2026_2027</t>
        </is>
      </c>
      <c r="F749" s="45" t="n">
        <v>4</v>
      </c>
      <c r="G749" s="46">
        <f>VLOOKUP(D749,'Cấu Hình Học Phí'!$A$8:$B$11,2,FALSE)</f>
        <v/>
      </c>
      <c r="H749" s="46">
        <f>F749*G749</f>
        <v/>
      </c>
      <c r="I749" s="45" t="n">
        <v>0</v>
      </c>
      <c r="J749" s="46">
        <f>I749*'Cấu Hình Học Phí'!$B$5</f>
        <v/>
      </c>
      <c r="K749" s="46" t="n">
        <v>0</v>
      </c>
      <c r="L749" s="46">
        <f>H749+J749-K749</f>
        <v/>
      </c>
      <c r="M749" s="46" t="n">
        <v>2420000</v>
      </c>
      <c r="N749" s="46" t="n">
        <v>0</v>
      </c>
      <c r="O749" s="46">
        <f>MAX(0,M749-N749-L749)</f>
        <v/>
      </c>
      <c r="P749" s="46">
        <f>MAX(0,L749-(M749-N749))</f>
        <v/>
      </c>
      <c r="Q749" s="45" t="inlineStr">
        <is>
          <t>30/09/2026</t>
        </is>
      </c>
      <c r="R749" s="45" t="inlineStr">
        <is>
          <t>PT2026-00746</t>
        </is>
      </c>
      <c r="S749" s="45" t="inlineStr"/>
    </row>
    <row r="750">
      <c r="A750" s="45" t="inlineStr">
        <is>
          <t>251230958</t>
        </is>
      </c>
      <c r="B750" s="45" t="inlineStr">
        <is>
          <t>NGUYỄN VĂN SƠN</t>
        </is>
      </c>
      <c r="C750" s="45" t="inlineStr">
        <is>
          <t>Công nghệ thông tin 3 K66</t>
        </is>
      </c>
      <c r="D750" s="45" t="inlineStr">
        <is>
          <t>Năm 3</t>
        </is>
      </c>
      <c r="E750" s="45" t="inlineStr">
        <is>
          <t>2027_2028</t>
        </is>
      </c>
      <c r="F750" s="45" t="n">
        <v>4</v>
      </c>
      <c r="G750" s="46">
        <f>VLOOKUP(D750,'Cấu Hình Học Phí'!$A$8:$B$11,2,FALSE)</f>
        <v/>
      </c>
      <c r="H750" s="46">
        <f>F750*G750</f>
        <v/>
      </c>
      <c r="I750" s="45" t="n">
        <v>0</v>
      </c>
      <c r="J750" s="46">
        <f>I750*'Cấu Hình Học Phí'!$B$5</f>
        <v/>
      </c>
      <c r="K750" s="46" t="n">
        <v>0</v>
      </c>
      <c r="L750" s="46">
        <f>H750+J750-K750</f>
        <v/>
      </c>
      <c r="M750" s="46" t="n">
        <v>2662000</v>
      </c>
      <c r="N750" s="46" t="n">
        <v>0</v>
      </c>
      <c r="O750" s="46">
        <f>MAX(0,M750-N750-L750)</f>
        <v/>
      </c>
      <c r="P750" s="46">
        <f>MAX(0,L750-(M750-N750))</f>
        <v/>
      </c>
      <c r="Q750" s="45" t="inlineStr">
        <is>
          <t>30/09/2027</t>
        </is>
      </c>
      <c r="R750" s="45" t="inlineStr">
        <is>
          <t>PT2027-00747</t>
        </is>
      </c>
      <c r="S750" s="45" t="inlineStr"/>
    </row>
    <row r="751">
      <c r="A751" s="45" t="inlineStr">
        <is>
          <t>251230958</t>
        </is>
      </c>
      <c r="B751" s="45" t="inlineStr">
        <is>
          <t>NGUYỄN VĂN SƠN</t>
        </is>
      </c>
      <c r="C751" s="45" t="inlineStr">
        <is>
          <t>Công nghệ thông tin 3 K66</t>
        </is>
      </c>
      <c r="D751" s="45" t="inlineStr">
        <is>
          <t>Năm 4</t>
        </is>
      </c>
      <c r="E751" s="45" t="inlineStr">
        <is>
          <t>2028_2029</t>
        </is>
      </c>
      <c r="F751" s="45" t="n">
        <v>1</v>
      </c>
      <c r="G751" s="46">
        <f>VLOOKUP(D751,'Cấu Hình Học Phí'!$A$8:$B$11,2,FALSE)</f>
        <v/>
      </c>
      <c r="H751" s="46">
        <f>F751*G751</f>
        <v/>
      </c>
      <c r="I751" s="45" t="n">
        <v>0</v>
      </c>
      <c r="J751" s="46">
        <f>I751*'Cấu Hình Học Phí'!$B$5</f>
        <v/>
      </c>
      <c r="K751" s="46" t="n">
        <v>0</v>
      </c>
      <c r="L751" s="46">
        <f>H751+J751-K751</f>
        <v/>
      </c>
      <c r="M751" s="46" t="n">
        <v>732050</v>
      </c>
      <c r="N751" s="46" t="n">
        <v>0</v>
      </c>
      <c r="O751" s="46">
        <f>MAX(0,M751-N751-L751)</f>
        <v/>
      </c>
      <c r="P751" s="46">
        <f>MAX(0,L751-(M751-N751))</f>
        <v/>
      </c>
      <c r="Q751" s="45" t="inlineStr">
        <is>
          <t>30/09/2028</t>
        </is>
      </c>
      <c r="R751" s="45" t="inlineStr">
        <is>
          <t>PT2028-00748</t>
        </is>
      </c>
      <c r="S751" s="45" t="inlineStr"/>
    </row>
    <row r="752">
      <c r="A752" s="45" t="inlineStr">
        <is>
          <t>251230959</t>
        </is>
      </c>
      <c r="B752" s="45" t="inlineStr">
        <is>
          <t>TRẦN VĂN SỸ</t>
        </is>
      </c>
      <c r="C752" s="45" t="inlineStr">
        <is>
          <t>Công nghệ thông tin 3 K66</t>
        </is>
      </c>
      <c r="D752" s="45" t="inlineStr">
        <is>
          <t>Năm 1</t>
        </is>
      </c>
      <c r="E752" s="45" t="inlineStr">
        <is>
          <t>2025_2026</t>
        </is>
      </c>
      <c r="F752" s="45" t="n">
        <v>4</v>
      </c>
      <c r="G752" s="46">
        <f>VLOOKUP(D752,'Cấu Hình Học Phí'!$A$8:$B$11,2,FALSE)</f>
        <v/>
      </c>
      <c r="H752" s="46">
        <f>F752*G752</f>
        <v/>
      </c>
      <c r="I752" s="45" t="n">
        <v>1</v>
      </c>
      <c r="J752" s="46">
        <f>I752*'Cấu Hình Học Phí'!$B$5</f>
        <v/>
      </c>
      <c r="K752" s="46" t="n">
        <v>0</v>
      </c>
      <c r="L752" s="46">
        <f>H752+J752-K752</f>
        <v/>
      </c>
      <c r="M752" s="46" t="n">
        <v>3200000</v>
      </c>
      <c r="N752" s="46" t="n">
        <v>0</v>
      </c>
      <c r="O752" s="46">
        <f>MAX(0,M752-N752-L752)</f>
        <v/>
      </c>
      <c r="P752" s="46">
        <f>MAX(0,L752-(M752-N752))</f>
        <v/>
      </c>
      <c r="Q752" s="45" t="inlineStr">
        <is>
          <t>30/09/2025</t>
        </is>
      </c>
      <c r="R752" s="45" t="inlineStr">
        <is>
          <t>PT2025-00749</t>
        </is>
      </c>
      <c r="S752" s="45" t="inlineStr"/>
    </row>
    <row r="753">
      <c r="A753" s="45" t="inlineStr">
        <is>
          <t>251230959</t>
        </is>
      </c>
      <c r="B753" s="45" t="inlineStr">
        <is>
          <t>TRẦN VĂN SỸ</t>
        </is>
      </c>
      <c r="C753" s="45" t="inlineStr">
        <is>
          <t>Công nghệ thông tin 3 K66</t>
        </is>
      </c>
      <c r="D753" s="45" t="inlineStr">
        <is>
          <t>Năm 2</t>
        </is>
      </c>
      <c r="E753" s="45" t="inlineStr">
        <is>
          <t>2026_2027</t>
        </is>
      </c>
      <c r="F753" s="45" t="n">
        <v>4</v>
      </c>
      <c r="G753" s="46">
        <f>VLOOKUP(D753,'Cấu Hình Học Phí'!$A$8:$B$11,2,FALSE)</f>
        <v/>
      </c>
      <c r="H753" s="46">
        <f>F753*G753</f>
        <v/>
      </c>
      <c r="I753" s="45" t="n">
        <v>0</v>
      </c>
      <c r="J753" s="46">
        <f>I753*'Cấu Hình Học Phí'!$B$5</f>
        <v/>
      </c>
      <c r="K753" s="46" t="n">
        <v>0</v>
      </c>
      <c r="L753" s="46">
        <f>H753+J753-K753</f>
        <v/>
      </c>
      <c r="M753" s="46" t="n">
        <v>2420000</v>
      </c>
      <c r="N753" s="46" t="n">
        <v>0</v>
      </c>
      <c r="O753" s="46">
        <f>MAX(0,M753-N753-L753)</f>
        <v/>
      </c>
      <c r="P753" s="46">
        <f>MAX(0,L753-(M753-N753))</f>
        <v/>
      </c>
      <c r="Q753" s="45" t="inlineStr">
        <is>
          <t>30/09/2026</t>
        </is>
      </c>
      <c r="R753" s="45" t="inlineStr">
        <is>
          <t>PT2026-00750</t>
        </is>
      </c>
      <c r="S753" s="45" t="inlineStr"/>
    </row>
    <row r="754">
      <c r="A754" s="45" t="inlineStr">
        <is>
          <t>251230959</t>
        </is>
      </c>
      <c r="B754" s="45" t="inlineStr">
        <is>
          <t>TRẦN VĂN SỸ</t>
        </is>
      </c>
      <c r="C754" s="45" t="inlineStr">
        <is>
          <t>Công nghệ thông tin 3 K66</t>
        </is>
      </c>
      <c r="D754" s="45" t="inlineStr">
        <is>
          <t>Năm 3</t>
        </is>
      </c>
      <c r="E754" s="45" t="inlineStr">
        <is>
          <t>2027_2028</t>
        </is>
      </c>
      <c r="F754" s="45" t="n">
        <v>4</v>
      </c>
      <c r="G754" s="46">
        <f>VLOOKUP(D754,'Cấu Hình Học Phí'!$A$8:$B$11,2,FALSE)</f>
        <v/>
      </c>
      <c r="H754" s="46">
        <f>F754*G754</f>
        <v/>
      </c>
      <c r="I754" s="45" t="n">
        <v>0</v>
      </c>
      <c r="J754" s="46">
        <f>I754*'Cấu Hình Học Phí'!$B$5</f>
        <v/>
      </c>
      <c r="K754" s="46" t="n">
        <v>0</v>
      </c>
      <c r="L754" s="46">
        <f>H754+J754-K754</f>
        <v/>
      </c>
      <c r="M754" s="46" t="n">
        <v>2662000</v>
      </c>
      <c r="N754" s="46" t="n">
        <v>0</v>
      </c>
      <c r="O754" s="46">
        <f>MAX(0,M754-N754-L754)</f>
        <v/>
      </c>
      <c r="P754" s="46">
        <f>MAX(0,L754-(M754-N754))</f>
        <v/>
      </c>
      <c r="Q754" s="45" t="inlineStr">
        <is>
          <t>30/09/2027</t>
        </is>
      </c>
      <c r="R754" s="45" t="inlineStr">
        <is>
          <t>PT2027-00751</t>
        </is>
      </c>
      <c r="S754" s="45" t="inlineStr"/>
    </row>
    <row r="755">
      <c r="A755" s="45" t="inlineStr">
        <is>
          <t>251230959</t>
        </is>
      </c>
      <c r="B755" s="45" t="inlineStr">
        <is>
          <t>TRẦN VĂN SỸ</t>
        </is>
      </c>
      <c r="C755" s="45" t="inlineStr">
        <is>
          <t>Công nghệ thông tin 3 K66</t>
        </is>
      </c>
      <c r="D755" s="45" t="inlineStr">
        <is>
          <t>Năm 4</t>
        </is>
      </c>
      <c r="E755" s="45" t="inlineStr">
        <is>
          <t>2028_2029</t>
        </is>
      </c>
      <c r="F755" s="45" t="n">
        <v>1</v>
      </c>
      <c r="G755" s="46">
        <f>VLOOKUP(D755,'Cấu Hình Học Phí'!$A$8:$B$11,2,FALSE)</f>
        <v/>
      </c>
      <c r="H755" s="46">
        <f>F755*G755</f>
        <v/>
      </c>
      <c r="I755" s="45" t="n">
        <v>0</v>
      </c>
      <c r="J755" s="46">
        <f>I755*'Cấu Hình Học Phí'!$B$5</f>
        <v/>
      </c>
      <c r="K755" s="46" t="n">
        <v>0</v>
      </c>
      <c r="L755" s="46">
        <f>H755+J755-K755</f>
        <v/>
      </c>
      <c r="M755" s="46" t="n">
        <v>732050</v>
      </c>
      <c r="N755" s="46" t="n">
        <v>0</v>
      </c>
      <c r="O755" s="46">
        <f>MAX(0,M755-N755-L755)</f>
        <v/>
      </c>
      <c r="P755" s="46">
        <f>MAX(0,L755-(M755-N755))</f>
        <v/>
      </c>
      <c r="Q755" s="45" t="inlineStr">
        <is>
          <t>30/09/2028</t>
        </is>
      </c>
      <c r="R755" s="45" t="inlineStr">
        <is>
          <t>PT2028-00752</t>
        </is>
      </c>
      <c r="S755" s="45" t="inlineStr"/>
    </row>
    <row r="756">
      <c r="A756" s="45" t="inlineStr">
        <is>
          <t>251230963</t>
        </is>
      </c>
      <c r="B756" s="45" t="inlineStr">
        <is>
          <t>NGUYỄN VIẾT THÁI</t>
        </is>
      </c>
      <c r="C756" s="45" t="inlineStr">
        <is>
          <t>Công nghệ thông tin 3 K66</t>
        </is>
      </c>
      <c r="D756" s="45" t="inlineStr">
        <is>
          <t>Năm 1</t>
        </is>
      </c>
      <c r="E756" s="45" t="inlineStr">
        <is>
          <t>2025_2026</t>
        </is>
      </c>
      <c r="F756" s="45" t="n">
        <v>4</v>
      </c>
      <c r="G756" s="46">
        <f>VLOOKUP(D756,'Cấu Hình Học Phí'!$A$8:$B$11,2,FALSE)</f>
        <v/>
      </c>
      <c r="H756" s="46">
        <f>F756*G756</f>
        <v/>
      </c>
      <c r="I756" s="45" t="n">
        <v>1</v>
      </c>
      <c r="J756" s="46">
        <f>I756*'Cấu Hình Học Phí'!$B$5</f>
        <v/>
      </c>
      <c r="K756" s="46" t="n">
        <v>0</v>
      </c>
      <c r="L756" s="46">
        <f>H756+J756-K756</f>
        <v/>
      </c>
      <c r="M756" s="46" t="n">
        <v>3200000</v>
      </c>
      <c r="N756" s="46" t="n">
        <v>0</v>
      </c>
      <c r="O756" s="46">
        <f>MAX(0,M756-N756-L756)</f>
        <v/>
      </c>
      <c r="P756" s="46">
        <f>MAX(0,L756-(M756-N756))</f>
        <v/>
      </c>
      <c r="Q756" s="45" t="inlineStr">
        <is>
          <t>30/09/2025</t>
        </is>
      </c>
      <c r="R756" s="45" t="inlineStr">
        <is>
          <t>PT2025-00753</t>
        </is>
      </c>
      <c r="S756" s="45" t="inlineStr"/>
    </row>
    <row r="757">
      <c r="A757" s="45" t="inlineStr">
        <is>
          <t>251230963</t>
        </is>
      </c>
      <c r="B757" s="45" t="inlineStr">
        <is>
          <t>NGUYỄN VIẾT THÁI</t>
        </is>
      </c>
      <c r="C757" s="45" t="inlineStr">
        <is>
          <t>Công nghệ thông tin 3 K66</t>
        </is>
      </c>
      <c r="D757" s="45" t="inlineStr">
        <is>
          <t>Năm 2</t>
        </is>
      </c>
      <c r="E757" s="45" t="inlineStr">
        <is>
          <t>2026_2027</t>
        </is>
      </c>
      <c r="F757" s="45" t="n">
        <v>4</v>
      </c>
      <c r="G757" s="46">
        <f>VLOOKUP(D757,'Cấu Hình Học Phí'!$A$8:$B$11,2,FALSE)</f>
        <v/>
      </c>
      <c r="H757" s="46">
        <f>F757*G757</f>
        <v/>
      </c>
      <c r="I757" s="45" t="n">
        <v>0</v>
      </c>
      <c r="J757" s="46">
        <f>I757*'Cấu Hình Học Phí'!$B$5</f>
        <v/>
      </c>
      <c r="K757" s="46" t="n">
        <v>0</v>
      </c>
      <c r="L757" s="46">
        <f>H757+J757-K757</f>
        <v/>
      </c>
      <c r="M757" s="46" t="n">
        <v>2420000</v>
      </c>
      <c r="N757" s="46" t="n">
        <v>0</v>
      </c>
      <c r="O757" s="46">
        <f>MAX(0,M757-N757-L757)</f>
        <v/>
      </c>
      <c r="P757" s="46">
        <f>MAX(0,L757-(M757-N757))</f>
        <v/>
      </c>
      <c r="Q757" s="45" t="inlineStr">
        <is>
          <t>30/09/2026</t>
        </is>
      </c>
      <c r="R757" s="45" t="inlineStr">
        <is>
          <t>PT2026-00754</t>
        </is>
      </c>
      <c r="S757" s="45" t="inlineStr"/>
    </row>
    <row r="758">
      <c r="A758" s="45" t="inlineStr">
        <is>
          <t>251230963</t>
        </is>
      </c>
      <c r="B758" s="45" t="inlineStr">
        <is>
          <t>NGUYỄN VIẾT THÁI</t>
        </is>
      </c>
      <c r="C758" s="45" t="inlineStr">
        <is>
          <t>Công nghệ thông tin 3 K66</t>
        </is>
      </c>
      <c r="D758" s="45" t="inlineStr">
        <is>
          <t>Năm 3</t>
        </is>
      </c>
      <c r="E758" s="45" t="inlineStr">
        <is>
          <t>2027_2028</t>
        </is>
      </c>
      <c r="F758" s="45" t="n">
        <v>4</v>
      </c>
      <c r="G758" s="46">
        <f>VLOOKUP(D758,'Cấu Hình Học Phí'!$A$8:$B$11,2,FALSE)</f>
        <v/>
      </c>
      <c r="H758" s="46">
        <f>F758*G758</f>
        <v/>
      </c>
      <c r="I758" s="45" t="n">
        <v>0</v>
      </c>
      <c r="J758" s="46">
        <f>I758*'Cấu Hình Học Phí'!$B$5</f>
        <v/>
      </c>
      <c r="K758" s="46" t="n">
        <v>0</v>
      </c>
      <c r="L758" s="46">
        <f>H758+J758-K758</f>
        <v/>
      </c>
      <c r="M758" s="46" t="n">
        <v>2662000</v>
      </c>
      <c r="N758" s="46" t="n">
        <v>0</v>
      </c>
      <c r="O758" s="46">
        <f>MAX(0,M758-N758-L758)</f>
        <v/>
      </c>
      <c r="P758" s="46">
        <f>MAX(0,L758-(M758-N758))</f>
        <v/>
      </c>
      <c r="Q758" s="45" t="inlineStr">
        <is>
          <t>30/09/2027</t>
        </is>
      </c>
      <c r="R758" s="45" t="inlineStr">
        <is>
          <t>PT2027-00755</t>
        </is>
      </c>
      <c r="S758" s="45" t="inlineStr"/>
    </row>
    <row r="759">
      <c r="A759" s="45" t="inlineStr">
        <is>
          <t>251230963</t>
        </is>
      </c>
      <c r="B759" s="45" t="inlineStr">
        <is>
          <t>NGUYỄN VIẾT THÁI</t>
        </is>
      </c>
      <c r="C759" s="45" t="inlineStr">
        <is>
          <t>Công nghệ thông tin 3 K66</t>
        </is>
      </c>
      <c r="D759" s="45" t="inlineStr">
        <is>
          <t>Năm 4</t>
        </is>
      </c>
      <c r="E759" s="45" t="inlineStr">
        <is>
          <t>2028_2029</t>
        </is>
      </c>
      <c r="F759" s="45" t="n">
        <v>1</v>
      </c>
      <c r="G759" s="46">
        <f>VLOOKUP(D759,'Cấu Hình Học Phí'!$A$8:$B$11,2,FALSE)</f>
        <v/>
      </c>
      <c r="H759" s="46">
        <f>F759*G759</f>
        <v/>
      </c>
      <c r="I759" s="45" t="n">
        <v>0</v>
      </c>
      <c r="J759" s="46">
        <f>I759*'Cấu Hình Học Phí'!$B$5</f>
        <v/>
      </c>
      <c r="K759" s="46" t="n">
        <v>0</v>
      </c>
      <c r="L759" s="46">
        <f>H759+J759-K759</f>
        <v/>
      </c>
      <c r="M759" s="46" t="n">
        <v>732050</v>
      </c>
      <c r="N759" s="46" t="n">
        <v>0</v>
      </c>
      <c r="O759" s="46">
        <f>MAX(0,M759-N759-L759)</f>
        <v/>
      </c>
      <c r="P759" s="46">
        <f>MAX(0,L759-(M759-N759))</f>
        <v/>
      </c>
      <c r="Q759" s="45" t="inlineStr">
        <is>
          <t>30/09/2028</t>
        </is>
      </c>
      <c r="R759" s="45" t="inlineStr">
        <is>
          <t>PT2028-00756</t>
        </is>
      </c>
      <c r="S759" s="45" t="inlineStr"/>
    </row>
    <row r="760">
      <c r="A760" s="45" t="inlineStr">
        <is>
          <t>251230973</t>
        </is>
      </c>
      <c r="B760" s="45" t="inlineStr">
        <is>
          <t>NGÔ TRẦN HIẾU THĂNG</t>
        </is>
      </c>
      <c r="C760" s="45" t="inlineStr">
        <is>
          <t>Công nghệ thông tin 3 K66</t>
        </is>
      </c>
      <c r="D760" s="45" t="inlineStr">
        <is>
          <t>Năm 1</t>
        </is>
      </c>
      <c r="E760" s="45" t="inlineStr">
        <is>
          <t>2025_2026</t>
        </is>
      </c>
      <c r="F760" s="45" t="n">
        <v>4</v>
      </c>
      <c r="G760" s="46">
        <f>VLOOKUP(D760,'Cấu Hình Học Phí'!$A$8:$B$11,2,FALSE)</f>
        <v/>
      </c>
      <c r="H760" s="46">
        <f>F760*G760</f>
        <v/>
      </c>
      <c r="I760" s="45" t="n">
        <v>0</v>
      </c>
      <c r="J760" s="46">
        <f>I760*'Cấu Hình Học Phí'!$B$5</f>
        <v/>
      </c>
      <c r="K760" s="46" t="n">
        <v>0</v>
      </c>
      <c r="L760" s="46">
        <f>H760+J760-K760</f>
        <v/>
      </c>
      <c r="M760" s="46" t="n">
        <v>2200000</v>
      </c>
      <c r="N760" s="46" t="n">
        <v>0</v>
      </c>
      <c r="O760" s="46">
        <f>MAX(0,M760-N760-L760)</f>
        <v/>
      </c>
      <c r="P760" s="46">
        <f>MAX(0,L760-(M760-N760))</f>
        <v/>
      </c>
      <c r="Q760" s="45" t="inlineStr">
        <is>
          <t>30/09/2025</t>
        </is>
      </c>
      <c r="R760" s="45" t="inlineStr">
        <is>
          <t>PT2025-00757</t>
        </is>
      </c>
      <c r="S760" s="45" t="inlineStr"/>
    </row>
    <row r="761">
      <c r="A761" s="45" t="inlineStr">
        <is>
          <t>251230973</t>
        </is>
      </c>
      <c r="B761" s="45" t="inlineStr">
        <is>
          <t>NGÔ TRẦN HIẾU THĂNG</t>
        </is>
      </c>
      <c r="C761" s="45" t="inlineStr">
        <is>
          <t>Công nghệ thông tin 3 K66</t>
        </is>
      </c>
      <c r="D761" s="45" t="inlineStr">
        <is>
          <t>Năm 2</t>
        </is>
      </c>
      <c r="E761" s="45" t="inlineStr">
        <is>
          <t>2026_2027</t>
        </is>
      </c>
      <c r="F761" s="45" t="n">
        <v>4</v>
      </c>
      <c r="G761" s="46">
        <f>VLOOKUP(D761,'Cấu Hình Học Phí'!$A$8:$B$11,2,FALSE)</f>
        <v/>
      </c>
      <c r="H761" s="46">
        <f>F761*G761</f>
        <v/>
      </c>
      <c r="I761" s="45" t="n">
        <v>0</v>
      </c>
      <c r="J761" s="46">
        <f>I761*'Cấu Hình Học Phí'!$B$5</f>
        <v/>
      </c>
      <c r="K761" s="46" t="n">
        <v>0</v>
      </c>
      <c r="L761" s="46">
        <f>H761+J761-K761</f>
        <v/>
      </c>
      <c r="M761" s="46" t="n">
        <v>2420000</v>
      </c>
      <c r="N761" s="46" t="n">
        <v>0</v>
      </c>
      <c r="O761" s="46">
        <f>MAX(0,M761-N761-L761)</f>
        <v/>
      </c>
      <c r="P761" s="46">
        <f>MAX(0,L761-(M761-N761))</f>
        <v/>
      </c>
      <c r="Q761" s="45" t="inlineStr">
        <is>
          <t>30/09/2026</t>
        </is>
      </c>
      <c r="R761" s="45" t="inlineStr">
        <is>
          <t>PT2026-00758</t>
        </is>
      </c>
      <c r="S761" s="45" t="inlineStr"/>
    </row>
    <row r="762">
      <c r="A762" s="45" t="inlineStr">
        <is>
          <t>251230973</t>
        </is>
      </c>
      <c r="B762" s="45" t="inlineStr">
        <is>
          <t>NGÔ TRẦN HIẾU THĂNG</t>
        </is>
      </c>
      <c r="C762" s="45" t="inlineStr">
        <is>
          <t>Công nghệ thông tin 3 K66</t>
        </is>
      </c>
      <c r="D762" s="45" t="inlineStr">
        <is>
          <t>Năm 3</t>
        </is>
      </c>
      <c r="E762" s="45" t="inlineStr">
        <is>
          <t>2027_2028</t>
        </is>
      </c>
      <c r="F762" s="45" t="n">
        <v>4</v>
      </c>
      <c r="G762" s="46">
        <f>VLOOKUP(D762,'Cấu Hình Học Phí'!$A$8:$B$11,2,FALSE)</f>
        <v/>
      </c>
      <c r="H762" s="46">
        <f>F762*G762</f>
        <v/>
      </c>
      <c r="I762" s="45" t="n">
        <v>1</v>
      </c>
      <c r="J762" s="46">
        <f>I762*'Cấu Hình Học Phí'!$B$5</f>
        <v/>
      </c>
      <c r="K762" s="46" t="n">
        <v>0</v>
      </c>
      <c r="L762" s="46">
        <f>H762+J762-K762</f>
        <v/>
      </c>
      <c r="M762" s="46" t="n">
        <v>3662000</v>
      </c>
      <c r="N762" s="46" t="n">
        <v>0</v>
      </c>
      <c r="O762" s="46">
        <f>MAX(0,M762-N762-L762)</f>
        <v/>
      </c>
      <c r="P762" s="46">
        <f>MAX(0,L762-(M762-N762))</f>
        <v/>
      </c>
      <c r="Q762" s="45" t="inlineStr">
        <is>
          <t>30/09/2027</t>
        </is>
      </c>
      <c r="R762" s="45" t="inlineStr">
        <is>
          <t>PT2027-00759</t>
        </is>
      </c>
      <c r="S762" s="45" t="inlineStr"/>
    </row>
    <row r="763">
      <c r="A763" s="45" t="inlineStr">
        <is>
          <t>251230973</t>
        </is>
      </c>
      <c r="B763" s="45" t="inlineStr">
        <is>
          <t>NGÔ TRẦN HIẾU THĂNG</t>
        </is>
      </c>
      <c r="C763" s="45" t="inlineStr">
        <is>
          <t>Công nghệ thông tin 3 K66</t>
        </is>
      </c>
      <c r="D763" s="45" t="inlineStr">
        <is>
          <t>Năm 4</t>
        </is>
      </c>
      <c r="E763" s="45" t="inlineStr">
        <is>
          <t>2028_2029</t>
        </is>
      </c>
      <c r="F763" s="45" t="n">
        <v>1</v>
      </c>
      <c r="G763" s="46">
        <f>VLOOKUP(D763,'Cấu Hình Học Phí'!$A$8:$B$11,2,FALSE)</f>
        <v/>
      </c>
      <c r="H763" s="46">
        <f>F763*G763</f>
        <v/>
      </c>
      <c r="I763" s="45" t="n">
        <v>1</v>
      </c>
      <c r="J763" s="46">
        <f>I763*'Cấu Hình Học Phí'!$B$5</f>
        <v/>
      </c>
      <c r="K763" s="46" t="n">
        <v>0</v>
      </c>
      <c r="L763" s="46">
        <f>H763+J763-K763</f>
        <v/>
      </c>
      <c r="M763" s="46" t="n">
        <v>1732050</v>
      </c>
      <c r="N763" s="46" t="n">
        <v>0</v>
      </c>
      <c r="O763" s="46">
        <f>MAX(0,M763-N763-L763)</f>
        <v/>
      </c>
      <c r="P763" s="46">
        <f>MAX(0,L763-(M763-N763))</f>
        <v/>
      </c>
      <c r="Q763" s="45" t="inlineStr">
        <is>
          <t>30/09/2028</t>
        </is>
      </c>
      <c r="R763" s="45" t="inlineStr">
        <is>
          <t>PT2028-00760</t>
        </is>
      </c>
      <c r="S763" s="45" t="inlineStr"/>
    </row>
    <row r="764">
      <c r="A764" s="45" t="inlineStr">
        <is>
          <t>251230974</t>
        </is>
      </c>
      <c r="B764" s="45" t="inlineStr">
        <is>
          <t>PHAN ĐỨC THẮNG</t>
        </is>
      </c>
      <c r="C764" s="45" t="inlineStr">
        <is>
          <t>Công nghệ thông tin 3 K66</t>
        </is>
      </c>
      <c r="D764" s="45" t="inlineStr">
        <is>
          <t>Năm 1</t>
        </is>
      </c>
      <c r="E764" s="45" t="inlineStr">
        <is>
          <t>2025_2026</t>
        </is>
      </c>
      <c r="F764" s="45" t="n">
        <v>4</v>
      </c>
      <c r="G764" s="46">
        <f>VLOOKUP(D764,'Cấu Hình Học Phí'!$A$8:$B$11,2,FALSE)</f>
        <v/>
      </c>
      <c r="H764" s="46">
        <f>F764*G764</f>
        <v/>
      </c>
      <c r="I764" s="45" t="n">
        <v>1</v>
      </c>
      <c r="J764" s="46">
        <f>I764*'Cấu Hình Học Phí'!$B$5</f>
        <v/>
      </c>
      <c r="K764" s="46" t="n">
        <v>0</v>
      </c>
      <c r="L764" s="46">
        <f>H764+J764-K764</f>
        <v/>
      </c>
      <c r="M764" s="46" t="n">
        <v>3200000</v>
      </c>
      <c r="N764" s="46" t="n">
        <v>0</v>
      </c>
      <c r="O764" s="46">
        <f>MAX(0,M764-N764-L764)</f>
        <v/>
      </c>
      <c r="P764" s="46">
        <f>MAX(0,L764-(M764-N764))</f>
        <v/>
      </c>
      <c r="Q764" s="45" t="inlineStr">
        <is>
          <t>30/09/2025</t>
        </is>
      </c>
      <c r="R764" s="45" t="inlineStr">
        <is>
          <t>PT2025-00761</t>
        </is>
      </c>
      <c r="S764" s="45" t="inlineStr"/>
    </row>
    <row r="765">
      <c r="A765" s="45" t="inlineStr">
        <is>
          <t>251230974</t>
        </is>
      </c>
      <c r="B765" s="45" t="inlineStr">
        <is>
          <t>PHAN ĐỨC THẮNG</t>
        </is>
      </c>
      <c r="C765" s="45" t="inlineStr">
        <is>
          <t>Công nghệ thông tin 3 K66</t>
        </is>
      </c>
      <c r="D765" s="45" t="inlineStr">
        <is>
          <t>Năm 2</t>
        </is>
      </c>
      <c r="E765" s="45" t="inlineStr">
        <is>
          <t>2026_2027</t>
        </is>
      </c>
      <c r="F765" s="45" t="n">
        <v>4</v>
      </c>
      <c r="G765" s="46">
        <f>VLOOKUP(D765,'Cấu Hình Học Phí'!$A$8:$B$11,2,FALSE)</f>
        <v/>
      </c>
      <c r="H765" s="46">
        <f>F765*G765</f>
        <v/>
      </c>
      <c r="I765" s="45" t="n">
        <v>1</v>
      </c>
      <c r="J765" s="46">
        <f>I765*'Cấu Hình Học Phí'!$B$5</f>
        <v/>
      </c>
      <c r="K765" s="46" t="n">
        <v>0</v>
      </c>
      <c r="L765" s="46">
        <f>H765+J765-K765</f>
        <v/>
      </c>
      <c r="M765" s="46" t="n">
        <v>3420000</v>
      </c>
      <c r="N765" s="46" t="n">
        <v>0</v>
      </c>
      <c r="O765" s="46">
        <f>MAX(0,M765-N765-L765)</f>
        <v/>
      </c>
      <c r="P765" s="46">
        <f>MAX(0,L765-(M765-N765))</f>
        <v/>
      </c>
      <c r="Q765" s="45" t="inlineStr">
        <is>
          <t>30/09/2026</t>
        </is>
      </c>
      <c r="R765" s="45" t="inlineStr">
        <is>
          <t>PT2026-00762</t>
        </is>
      </c>
      <c r="S765" s="45" t="inlineStr"/>
    </row>
    <row r="766">
      <c r="A766" s="45" t="inlineStr">
        <is>
          <t>251230974</t>
        </is>
      </c>
      <c r="B766" s="45" t="inlineStr">
        <is>
          <t>PHAN ĐỨC THẮNG</t>
        </is>
      </c>
      <c r="C766" s="45" t="inlineStr">
        <is>
          <t>Công nghệ thông tin 3 K66</t>
        </is>
      </c>
      <c r="D766" s="45" t="inlineStr">
        <is>
          <t>Năm 3</t>
        </is>
      </c>
      <c r="E766" s="45" t="inlineStr">
        <is>
          <t>2027_2028</t>
        </is>
      </c>
      <c r="F766" s="45" t="n">
        <v>4</v>
      </c>
      <c r="G766" s="46">
        <f>VLOOKUP(D766,'Cấu Hình Học Phí'!$A$8:$B$11,2,FALSE)</f>
        <v/>
      </c>
      <c r="H766" s="46">
        <f>F766*G766</f>
        <v/>
      </c>
      <c r="I766" s="45" t="n">
        <v>0</v>
      </c>
      <c r="J766" s="46">
        <f>I766*'Cấu Hình Học Phí'!$B$5</f>
        <v/>
      </c>
      <c r="K766" s="46" t="n">
        <v>0</v>
      </c>
      <c r="L766" s="46">
        <f>H766+J766-K766</f>
        <v/>
      </c>
      <c r="M766" s="46" t="n">
        <v>2662000</v>
      </c>
      <c r="N766" s="46" t="n">
        <v>0</v>
      </c>
      <c r="O766" s="46">
        <f>MAX(0,M766-N766-L766)</f>
        <v/>
      </c>
      <c r="P766" s="46">
        <f>MAX(0,L766-(M766-N766))</f>
        <v/>
      </c>
      <c r="Q766" s="45" t="inlineStr">
        <is>
          <t>30/09/2027</t>
        </is>
      </c>
      <c r="R766" s="45" t="inlineStr">
        <is>
          <t>PT2027-00763</t>
        </is>
      </c>
      <c r="S766" s="45" t="inlineStr"/>
    </row>
    <row r="767">
      <c r="A767" s="45" t="inlineStr">
        <is>
          <t>251230974</t>
        </is>
      </c>
      <c r="B767" s="45" t="inlineStr">
        <is>
          <t>PHAN ĐỨC THẮNG</t>
        </is>
      </c>
      <c r="C767" s="45" t="inlineStr">
        <is>
          <t>Công nghệ thông tin 3 K66</t>
        </is>
      </c>
      <c r="D767" s="45" t="inlineStr">
        <is>
          <t>Năm 4</t>
        </is>
      </c>
      <c r="E767" s="45" t="inlineStr">
        <is>
          <t>2028_2029</t>
        </is>
      </c>
      <c r="F767" s="45" t="n">
        <v>1</v>
      </c>
      <c r="G767" s="46">
        <f>VLOOKUP(D767,'Cấu Hình Học Phí'!$A$8:$B$11,2,FALSE)</f>
        <v/>
      </c>
      <c r="H767" s="46">
        <f>F767*G767</f>
        <v/>
      </c>
      <c r="I767" s="45" t="n">
        <v>0</v>
      </c>
      <c r="J767" s="46">
        <f>I767*'Cấu Hình Học Phí'!$B$5</f>
        <v/>
      </c>
      <c r="K767" s="46" t="n">
        <v>0</v>
      </c>
      <c r="L767" s="46">
        <f>H767+J767-K767</f>
        <v/>
      </c>
      <c r="M767" s="46" t="n">
        <v>732050</v>
      </c>
      <c r="N767" s="46" t="n">
        <v>0</v>
      </c>
      <c r="O767" s="46">
        <f>MAX(0,M767-N767-L767)</f>
        <v/>
      </c>
      <c r="P767" s="46">
        <f>MAX(0,L767-(M767-N767))</f>
        <v/>
      </c>
      <c r="Q767" s="45" t="inlineStr">
        <is>
          <t>30/09/2028</t>
        </is>
      </c>
      <c r="R767" s="45" t="inlineStr">
        <is>
          <t>PT2028-00764</t>
        </is>
      </c>
      <c r="S767" s="45" t="inlineStr"/>
    </row>
    <row r="768">
      <c r="A768" s="45" t="inlineStr">
        <is>
          <t>251230966</t>
        </is>
      </c>
      <c r="B768" s="45" t="inlineStr">
        <is>
          <t>LÂM TIẾN THÀNH</t>
        </is>
      </c>
      <c r="C768" s="45" t="inlineStr">
        <is>
          <t>Công nghệ thông tin 3 K66</t>
        </is>
      </c>
      <c r="D768" s="45" t="inlineStr">
        <is>
          <t>Năm 1</t>
        </is>
      </c>
      <c r="E768" s="45" t="inlineStr">
        <is>
          <t>2025_2026</t>
        </is>
      </c>
      <c r="F768" s="45" t="n">
        <v>4</v>
      </c>
      <c r="G768" s="46">
        <f>VLOOKUP(D768,'Cấu Hình Học Phí'!$A$8:$B$11,2,FALSE)</f>
        <v/>
      </c>
      <c r="H768" s="46">
        <f>F768*G768</f>
        <v/>
      </c>
      <c r="I768" s="45" t="n">
        <v>0</v>
      </c>
      <c r="J768" s="46">
        <f>I768*'Cấu Hình Học Phí'!$B$5</f>
        <v/>
      </c>
      <c r="K768" s="46" t="n">
        <v>0</v>
      </c>
      <c r="L768" s="46">
        <f>H768+J768-K768</f>
        <v/>
      </c>
      <c r="M768" s="46" t="n">
        <v>2200000</v>
      </c>
      <c r="N768" s="46" t="n">
        <v>0</v>
      </c>
      <c r="O768" s="46">
        <f>MAX(0,M768-N768-L768)</f>
        <v/>
      </c>
      <c r="P768" s="46">
        <f>MAX(0,L768-(M768-N768))</f>
        <v/>
      </c>
      <c r="Q768" s="45" t="inlineStr">
        <is>
          <t>30/09/2025</t>
        </is>
      </c>
      <c r="R768" s="45" t="inlineStr">
        <is>
          <t>PT2025-00765</t>
        </is>
      </c>
      <c r="S768" s="45" t="inlineStr"/>
    </row>
    <row r="769">
      <c r="A769" s="45" t="inlineStr">
        <is>
          <t>251230966</t>
        </is>
      </c>
      <c r="B769" s="45" t="inlineStr">
        <is>
          <t>LÂM TIẾN THÀNH</t>
        </is>
      </c>
      <c r="C769" s="45" t="inlineStr">
        <is>
          <t>Công nghệ thông tin 3 K66</t>
        </is>
      </c>
      <c r="D769" s="45" t="inlineStr">
        <is>
          <t>Năm 2</t>
        </is>
      </c>
      <c r="E769" s="45" t="inlineStr">
        <is>
          <t>2026_2027</t>
        </is>
      </c>
      <c r="F769" s="45" t="n">
        <v>4</v>
      </c>
      <c r="G769" s="46">
        <f>VLOOKUP(D769,'Cấu Hình Học Phí'!$A$8:$B$11,2,FALSE)</f>
        <v/>
      </c>
      <c r="H769" s="46">
        <f>F769*G769</f>
        <v/>
      </c>
      <c r="I769" s="45" t="n">
        <v>0</v>
      </c>
      <c r="J769" s="46">
        <f>I769*'Cấu Hình Học Phí'!$B$5</f>
        <v/>
      </c>
      <c r="K769" s="46" t="n">
        <v>0</v>
      </c>
      <c r="L769" s="46">
        <f>H769+J769-K769</f>
        <v/>
      </c>
      <c r="M769" s="46" t="n">
        <v>2420000</v>
      </c>
      <c r="N769" s="46" t="n">
        <v>0</v>
      </c>
      <c r="O769" s="46">
        <f>MAX(0,M769-N769-L769)</f>
        <v/>
      </c>
      <c r="P769" s="46">
        <f>MAX(0,L769-(M769-N769))</f>
        <v/>
      </c>
      <c r="Q769" s="45" t="inlineStr">
        <is>
          <t>30/09/2026</t>
        </is>
      </c>
      <c r="R769" s="45" t="inlineStr">
        <is>
          <t>PT2026-00766</t>
        </is>
      </c>
      <c r="S769" s="45" t="inlineStr"/>
    </row>
    <row r="770">
      <c r="A770" s="45" t="inlineStr">
        <is>
          <t>251230966</t>
        </is>
      </c>
      <c r="B770" s="45" t="inlineStr">
        <is>
          <t>LÂM TIẾN THÀNH</t>
        </is>
      </c>
      <c r="C770" s="45" t="inlineStr">
        <is>
          <t>Công nghệ thông tin 3 K66</t>
        </is>
      </c>
      <c r="D770" s="45" t="inlineStr">
        <is>
          <t>Năm 3</t>
        </is>
      </c>
      <c r="E770" s="45" t="inlineStr">
        <is>
          <t>2027_2028</t>
        </is>
      </c>
      <c r="F770" s="45" t="n">
        <v>4</v>
      </c>
      <c r="G770" s="46">
        <f>VLOOKUP(D770,'Cấu Hình Học Phí'!$A$8:$B$11,2,FALSE)</f>
        <v/>
      </c>
      <c r="H770" s="46">
        <f>F770*G770</f>
        <v/>
      </c>
      <c r="I770" s="45" t="n">
        <v>1</v>
      </c>
      <c r="J770" s="46">
        <f>I770*'Cấu Hình Học Phí'!$B$5</f>
        <v/>
      </c>
      <c r="K770" s="46" t="n">
        <v>0</v>
      </c>
      <c r="L770" s="46">
        <f>H770+J770-K770</f>
        <v/>
      </c>
      <c r="M770" s="46" t="n">
        <v>2662000</v>
      </c>
      <c r="N770" s="46" t="n">
        <v>0</v>
      </c>
      <c r="O770" s="46">
        <f>MAX(0,M770-N770-L770)</f>
        <v/>
      </c>
      <c r="P770" s="46">
        <f>MAX(0,L770-(M770-N770))</f>
        <v/>
      </c>
      <c r="Q770" s="45" t="inlineStr">
        <is>
          <t>30/09/2027</t>
        </is>
      </c>
      <c r="R770" s="45" t="inlineStr">
        <is>
          <t>PT2027-00767</t>
        </is>
      </c>
      <c r="S770" s="45" t="inlineStr">
        <is>
          <t>Chưa nộp phí phụ đạo 1 môn</t>
        </is>
      </c>
    </row>
    <row r="771">
      <c r="A771" s="45" t="inlineStr">
        <is>
          <t>251230966</t>
        </is>
      </c>
      <c r="B771" s="45" t="inlineStr">
        <is>
          <t>LÂM TIẾN THÀNH</t>
        </is>
      </c>
      <c r="C771" s="45" t="inlineStr">
        <is>
          <t>Công nghệ thông tin 3 K66</t>
        </is>
      </c>
      <c r="D771" s="45" t="inlineStr">
        <is>
          <t>Năm 4</t>
        </is>
      </c>
      <c r="E771" s="45" t="inlineStr">
        <is>
          <t>2028_2029</t>
        </is>
      </c>
      <c r="F771" s="45" t="n">
        <v>1</v>
      </c>
      <c r="G771" s="46">
        <f>VLOOKUP(D771,'Cấu Hình Học Phí'!$A$8:$B$11,2,FALSE)</f>
        <v/>
      </c>
      <c r="H771" s="46">
        <f>F771*G771</f>
        <v/>
      </c>
      <c r="I771" s="45" t="n">
        <v>0</v>
      </c>
      <c r="J771" s="46">
        <f>I771*'Cấu Hình Học Phí'!$B$5</f>
        <v/>
      </c>
      <c r="K771" s="46" t="n">
        <v>0</v>
      </c>
      <c r="L771" s="46">
        <f>H771+J771-K771</f>
        <v/>
      </c>
      <c r="M771" s="46" t="n">
        <v>732050</v>
      </c>
      <c r="N771" s="46" t="n">
        <v>0</v>
      </c>
      <c r="O771" s="46">
        <f>MAX(0,M771-N771-L771)</f>
        <v/>
      </c>
      <c r="P771" s="46">
        <f>MAX(0,L771-(M771-N771))</f>
        <v/>
      </c>
      <c r="Q771" s="45" t="inlineStr">
        <is>
          <t>30/09/2028</t>
        </is>
      </c>
      <c r="R771" s="45" t="inlineStr">
        <is>
          <t>PT2028-00768</t>
        </is>
      </c>
      <c r="S771" s="45" t="inlineStr"/>
    </row>
    <row r="772">
      <c r="A772" s="45" t="inlineStr">
        <is>
          <t>251230976</t>
        </is>
      </c>
      <c r="B772" s="45" t="inlineStr">
        <is>
          <t>NGUYỄN DUY THIỆN</t>
        </is>
      </c>
      <c r="C772" s="45" t="inlineStr">
        <is>
          <t>Công nghệ thông tin 3 K66</t>
        </is>
      </c>
      <c r="D772" s="45" t="inlineStr">
        <is>
          <t>Năm 1</t>
        </is>
      </c>
      <c r="E772" s="45" t="inlineStr">
        <is>
          <t>2025_2026</t>
        </is>
      </c>
      <c r="F772" s="45" t="n">
        <v>4</v>
      </c>
      <c r="G772" s="46">
        <f>VLOOKUP(D772,'Cấu Hình Học Phí'!$A$8:$B$11,2,FALSE)</f>
        <v/>
      </c>
      <c r="H772" s="46">
        <f>F772*G772</f>
        <v/>
      </c>
      <c r="I772" s="45" t="n">
        <v>0</v>
      </c>
      <c r="J772" s="46">
        <f>I772*'Cấu Hình Học Phí'!$B$5</f>
        <v/>
      </c>
      <c r="K772" s="46" t="n">
        <v>0</v>
      </c>
      <c r="L772" s="46">
        <f>H772+J772-K772</f>
        <v/>
      </c>
      <c r="M772" s="46" t="n">
        <v>2200000</v>
      </c>
      <c r="N772" s="46" t="n">
        <v>0</v>
      </c>
      <c r="O772" s="46">
        <f>MAX(0,M772-N772-L772)</f>
        <v/>
      </c>
      <c r="P772" s="46">
        <f>MAX(0,L772-(M772-N772))</f>
        <v/>
      </c>
      <c r="Q772" s="45" t="inlineStr">
        <is>
          <t>30/09/2025</t>
        </is>
      </c>
      <c r="R772" s="45" t="inlineStr">
        <is>
          <t>PT2025-00769</t>
        </is>
      </c>
      <c r="S772" s="45" t="inlineStr"/>
    </row>
    <row r="773">
      <c r="A773" s="45" t="inlineStr">
        <is>
          <t>251230976</t>
        </is>
      </c>
      <c r="B773" s="45" t="inlineStr">
        <is>
          <t>NGUYỄN DUY THIỆN</t>
        </is>
      </c>
      <c r="C773" s="45" t="inlineStr">
        <is>
          <t>Công nghệ thông tin 3 K66</t>
        </is>
      </c>
      <c r="D773" s="45" t="inlineStr">
        <is>
          <t>Năm 2</t>
        </is>
      </c>
      <c r="E773" s="45" t="inlineStr">
        <is>
          <t>2026_2027</t>
        </is>
      </c>
      <c r="F773" s="45" t="n">
        <v>4</v>
      </c>
      <c r="G773" s="46">
        <f>VLOOKUP(D773,'Cấu Hình Học Phí'!$A$8:$B$11,2,FALSE)</f>
        <v/>
      </c>
      <c r="H773" s="46">
        <f>F773*G773</f>
        <v/>
      </c>
      <c r="I773" s="45" t="n">
        <v>1</v>
      </c>
      <c r="J773" s="46">
        <f>I773*'Cấu Hình Học Phí'!$B$5</f>
        <v/>
      </c>
      <c r="K773" s="46" t="n">
        <v>0</v>
      </c>
      <c r="L773" s="46">
        <f>H773+J773-K773</f>
        <v/>
      </c>
      <c r="M773" s="46" t="n">
        <v>3420000</v>
      </c>
      <c r="N773" s="46" t="n">
        <v>0</v>
      </c>
      <c r="O773" s="46">
        <f>MAX(0,M773-N773-L773)</f>
        <v/>
      </c>
      <c r="P773" s="46">
        <f>MAX(0,L773-(M773-N773))</f>
        <v/>
      </c>
      <c r="Q773" s="45" t="inlineStr">
        <is>
          <t>30/09/2026</t>
        </is>
      </c>
      <c r="R773" s="45" t="inlineStr">
        <is>
          <t>PT2026-00770</t>
        </is>
      </c>
      <c r="S773" s="45" t="inlineStr"/>
    </row>
    <row r="774">
      <c r="A774" s="45" t="inlineStr">
        <is>
          <t>251230976</t>
        </is>
      </c>
      <c r="B774" s="45" t="inlineStr">
        <is>
          <t>NGUYỄN DUY THIỆN</t>
        </is>
      </c>
      <c r="C774" s="45" t="inlineStr">
        <is>
          <t>Công nghệ thông tin 3 K66</t>
        </is>
      </c>
      <c r="D774" s="45" t="inlineStr">
        <is>
          <t>Năm 3</t>
        </is>
      </c>
      <c r="E774" s="45" t="inlineStr">
        <is>
          <t>2027_2028</t>
        </is>
      </c>
      <c r="F774" s="45" t="n">
        <v>4</v>
      </c>
      <c r="G774" s="46">
        <f>VLOOKUP(D774,'Cấu Hình Học Phí'!$A$8:$B$11,2,FALSE)</f>
        <v/>
      </c>
      <c r="H774" s="46">
        <f>F774*G774</f>
        <v/>
      </c>
      <c r="I774" s="45" t="n">
        <v>0</v>
      </c>
      <c r="J774" s="46">
        <f>I774*'Cấu Hình Học Phí'!$B$5</f>
        <v/>
      </c>
      <c r="K774" s="46" t="n">
        <v>0</v>
      </c>
      <c r="L774" s="46">
        <f>H774+J774-K774</f>
        <v/>
      </c>
      <c r="M774" s="46" t="n">
        <v>2662000</v>
      </c>
      <c r="N774" s="46" t="n">
        <v>0</v>
      </c>
      <c r="O774" s="46">
        <f>MAX(0,M774-N774-L774)</f>
        <v/>
      </c>
      <c r="P774" s="46">
        <f>MAX(0,L774-(M774-N774))</f>
        <v/>
      </c>
      <c r="Q774" s="45" t="inlineStr">
        <is>
          <t>30/09/2027</t>
        </is>
      </c>
      <c r="R774" s="45" t="inlineStr">
        <is>
          <t>PT2027-00771</t>
        </is>
      </c>
      <c r="S774" s="45" t="inlineStr"/>
    </row>
    <row r="775">
      <c r="A775" s="45" t="inlineStr">
        <is>
          <t>251230976</t>
        </is>
      </c>
      <c r="B775" s="45" t="inlineStr">
        <is>
          <t>NGUYỄN DUY THIỆN</t>
        </is>
      </c>
      <c r="C775" s="45" t="inlineStr">
        <is>
          <t>Công nghệ thông tin 3 K66</t>
        </is>
      </c>
      <c r="D775" s="45" t="inlineStr">
        <is>
          <t>Năm 4</t>
        </is>
      </c>
      <c r="E775" s="45" t="inlineStr">
        <is>
          <t>2028_2029</t>
        </is>
      </c>
      <c r="F775" s="45" t="n">
        <v>1</v>
      </c>
      <c r="G775" s="46">
        <f>VLOOKUP(D775,'Cấu Hình Học Phí'!$A$8:$B$11,2,FALSE)</f>
        <v/>
      </c>
      <c r="H775" s="46">
        <f>F775*G775</f>
        <v/>
      </c>
      <c r="I775" s="45" t="n">
        <v>0</v>
      </c>
      <c r="J775" s="46">
        <f>I775*'Cấu Hình Học Phí'!$B$5</f>
        <v/>
      </c>
      <c r="K775" s="46" t="n">
        <v>0</v>
      </c>
      <c r="L775" s="46">
        <f>H775+J775-K775</f>
        <v/>
      </c>
      <c r="M775" s="46" t="n">
        <v>732050</v>
      </c>
      <c r="N775" s="46" t="n">
        <v>0</v>
      </c>
      <c r="O775" s="46">
        <f>MAX(0,M775-N775-L775)</f>
        <v/>
      </c>
      <c r="P775" s="46">
        <f>MAX(0,L775-(M775-N775))</f>
        <v/>
      </c>
      <c r="Q775" s="45" t="inlineStr">
        <is>
          <t>30/09/2028</t>
        </is>
      </c>
      <c r="R775" s="45" t="inlineStr">
        <is>
          <t>PT2028-00772</t>
        </is>
      </c>
      <c r="S775" s="45" t="inlineStr"/>
    </row>
    <row r="776">
      <c r="A776" s="45" t="inlineStr">
        <is>
          <t>251210987</t>
        </is>
      </c>
      <c r="B776" s="45" t="inlineStr">
        <is>
          <t>DƯƠNG ĐỨC TRUNG</t>
        </is>
      </c>
      <c r="C776" s="45" t="inlineStr">
        <is>
          <t>Công nghệ thông tin 3 K66</t>
        </is>
      </c>
      <c r="D776" s="45" t="inlineStr">
        <is>
          <t>Năm 1</t>
        </is>
      </c>
      <c r="E776" s="45" t="inlineStr">
        <is>
          <t>2025_2026</t>
        </is>
      </c>
      <c r="F776" s="45" t="n">
        <v>4</v>
      </c>
      <c r="G776" s="46">
        <f>VLOOKUP(D776,'Cấu Hình Học Phí'!$A$8:$B$11,2,FALSE)</f>
        <v/>
      </c>
      <c r="H776" s="46">
        <f>F776*G776</f>
        <v/>
      </c>
      <c r="I776" s="45" t="n">
        <v>1</v>
      </c>
      <c r="J776" s="46">
        <f>I776*'Cấu Hình Học Phí'!$B$5</f>
        <v/>
      </c>
      <c r="K776" s="46" t="n">
        <v>0</v>
      </c>
      <c r="L776" s="46">
        <f>H776+J776-K776</f>
        <v/>
      </c>
      <c r="M776" s="46" t="n">
        <v>3200000</v>
      </c>
      <c r="N776" s="46" t="n">
        <v>0</v>
      </c>
      <c r="O776" s="46">
        <f>MAX(0,M776-N776-L776)</f>
        <v/>
      </c>
      <c r="P776" s="46">
        <f>MAX(0,L776-(M776-N776))</f>
        <v/>
      </c>
      <c r="Q776" s="45" t="inlineStr">
        <is>
          <t>30/09/2025</t>
        </is>
      </c>
      <c r="R776" s="45" t="inlineStr">
        <is>
          <t>PT2025-00773</t>
        </is>
      </c>
      <c r="S776" s="45" t="inlineStr"/>
    </row>
    <row r="777">
      <c r="A777" s="45" t="inlineStr">
        <is>
          <t>251210987</t>
        </is>
      </c>
      <c r="B777" s="45" t="inlineStr">
        <is>
          <t>DƯƠNG ĐỨC TRUNG</t>
        </is>
      </c>
      <c r="C777" s="45" t="inlineStr">
        <is>
          <t>Công nghệ thông tin 3 K66</t>
        </is>
      </c>
      <c r="D777" s="45" t="inlineStr">
        <is>
          <t>Năm 2</t>
        </is>
      </c>
      <c r="E777" s="45" t="inlineStr">
        <is>
          <t>2026_2027</t>
        </is>
      </c>
      <c r="F777" s="45" t="n">
        <v>4</v>
      </c>
      <c r="G777" s="46">
        <f>VLOOKUP(D777,'Cấu Hình Học Phí'!$A$8:$B$11,2,FALSE)</f>
        <v/>
      </c>
      <c r="H777" s="46">
        <f>F777*G777</f>
        <v/>
      </c>
      <c r="I777" s="45" t="n">
        <v>0</v>
      </c>
      <c r="J777" s="46">
        <f>I777*'Cấu Hình Học Phí'!$B$5</f>
        <v/>
      </c>
      <c r="K777" s="46" t="n">
        <v>0</v>
      </c>
      <c r="L777" s="46">
        <f>H777+J777-K777</f>
        <v/>
      </c>
      <c r="M777" s="46" t="n">
        <v>2420000</v>
      </c>
      <c r="N777" s="46" t="n">
        <v>0</v>
      </c>
      <c r="O777" s="46">
        <f>MAX(0,M777-N777-L777)</f>
        <v/>
      </c>
      <c r="P777" s="46">
        <f>MAX(0,L777-(M777-N777))</f>
        <v/>
      </c>
      <c r="Q777" s="45" t="inlineStr">
        <is>
          <t>30/09/2026</t>
        </is>
      </c>
      <c r="R777" s="45" t="inlineStr">
        <is>
          <t>PT2026-00774</t>
        </is>
      </c>
      <c r="S777" s="45" t="inlineStr"/>
    </row>
    <row r="778">
      <c r="A778" s="45" t="inlineStr">
        <is>
          <t>251210987</t>
        </is>
      </c>
      <c r="B778" s="45" t="inlineStr">
        <is>
          <t>DƯƠNG ĐỨC TRUNG</t>
        </is>
      </c>
      <c r="C778" s="45" t="inlineStr">
        <is>
          <t>Công nghệ thông tin 3 K66</t>
        </is>
      </c>
      <c r="D778" s="45" t="inlineStr">
        <is>
          <t>Năm 3</t>
        </is>
      </c>
      <c r="E778" s="45" t="inlineStr">
        <is>
          <t>2027_2028</t>
        </is>
      </c>
      <c r="F778" s="45" t="n">
        <v>4</v>
      </c>
      <c r="G778" s="46">
        <f>VLOOKUP(D778,'Cấu Hình Học Phí'!$A$8:$B$11,2,FALSE)</f>
        <v/>
      </c>
      <c r="H778" s="46">
        <f>F778*G778</f>
        <v/>
      </c>
      <c r="I778" s="45" t="n">
        <v>0</v>
      </c>
      <c r="J778" s="46">
        <f>I778*'Cấu Hình Học Phí'!$B$5</f>
        <v/>
      </c>
      <c r="K778" s="46" t="n">
        <v>0</v>
      </c>
      <c r="L778" s="46">
        <f>H778+J778-K778</f>
        <v/>
      </c>
      <c r="M778" s="46" t="n">
        <v>2662000</v>
      </c>
      <c r="N778" s="46" t="n">
        <v>0</v>
      </c>
      <c r="O778" s="46">
        <f>MAX(0,M778-N778-L778)</f>
        <v/>
      </c>
      <c r="P778" s="46">
        <f>MAX(0,L778-(M778-N778))</f>
        <v/>
      </c>
      <c r="Q778" s="45" t="inlineStr">
        <is>
          <t>30/09/2027</t>
        </is>
      </c>
      <c r="R778" s="45" t="inlineStr">
        <is>
          <t>PT2027-00775</t>
        </is>
      </c>
      <c r="S778" s="45" t="inlineStr"/>
    </row>
    <row r="779">
      <c r="A779" s="45" t="inlineStr">
        <is>
          <t>251210987</t>
        </is>
      </c>
      <c r="B779" s="45" t="inlineStr">
        <is>
          <t>DƯƠNG ĐỨC TRUNG</t>
        </is>
      </c>
      <c r="C779" s="45" t="inlineStr">
        <is>
          <t>Công nghệ thông tin 3 K66</t>
        </is>
      </c>
      <c r="D779" s="45" t="inlineStr">
        <is>
          <t>Năm 4</t>
        </is>
      </c>
      <c r="E779" s="45" t="inlineStr">
        <is>
          <t>2028_2029</t>
        </is>
      </c>
      <c r="F779" s="45" t="n">
        <v>1</v>
      </c>
      <c r="G779" s="46">
        <f>VLOOKUP(D779,'Cấu Hình Học Phí'!$A$8:$B$11,2,FALSE)</f>
        <v/>
      </c>
      <c r="H779" s="46">
        <f>F779*G779</f>
        <v/>
      </c>
      <c r="I779" s="45" t="n">
        <v>0</v>
      </c>
      <c r="J779" s="46">
        <f>I779*'Cấu Hình Học Phí'!$B$5</f>
        <v/>
      </c>
      <c r="K779" s="46" t="n">
        <v>0</v>
      </c>
      <c r="L779" s="46">
        <f>H779+J779-K779</f>
        <v/>
      </c>
      <c r="M779" s="46" t="n">
        <v>732050</v>
      </c>
      <c r="N779" s="46" t="n">
        <v>0</v>
      </c>
      <c r="O779" s="46">
        <f>MAX(0,M779-N779-L779)</f>
        <v/>
      </c>
      <c r="P779" s="46">
        <f>MAX(0,L779-(M779-N779))</f>
        <v/>
      </c>
      <c r="Q779" s="45" t="inlineStr">
        <is>
          <t>30/09/2028</t>
        </is>
      </c>
      <c r="R779" s="45" t="inlineStr">
        <is>
          <t>PT2028-00776</t>
        </is>
      </c>
      <c r="S779" s="45" t="inlineStr"/>
    </row>
    <row r="780">
      <c r="A780" s="45" t="inlineStr">
        <is>
          <t>251230990</t>
        </is>
      </c>
      <c r="B780" s="45" t="inlineStr">
        <is>
          <t>LÊ QUANG TÚ</t>
        </is>
      </c>
      <c r="C780" s="45" t="inlineStr">
        <is>
          <t>Công nghệ thông tin 3 K66</t>
        </is>
      </c>
      <c r="D780" s="45" t="inlineStr">
        <is>
          <t>Năm 1</t>
        </is>
      </c>
      <c r="E780" s="45" t="inlineStr">
        <is>
          <t>2025_2026</t>
        </is>
      </c>
      <c r="F780" s="45" t="n">
        <v>4</v>
      </c>
      <c r="G780" s="46">
        <f>VLOOKUP(D780,'Cấu Hình Học Phí'!$A$8:$B$11,2,FALSE)</f>
        <v/>
      </c>
      <c r="H780" s="46">
        <f>F780*G780</f>
        <v/>
      </c>
      <c r="I780" s="45" t="n">
        <v>0</v>
      </c>
      <c r="J780" s="46">
        <f>I780*'Cấu Hình Học Phí'!$B$5</f>
        <v/>
      </c>
      <c r="K780" s="46" t="n">
        <v>0</v>
      </c>
      <c r="L780" s="46">
        <f>H780+J780-K780</f>
        <v/>
      </c>
      <c r="M780" s="46" t="n">
        <v>2200000</v>
      </c>
      <c r="N780" s="46" t="n">
        <v>0</v>
      </c>
      <c r="O780" s="46">
        <f>MAX(0,M780-N780-L780)</f>
        <v/>
      </c>
      <c r="P780" s="46">
        <f>MAX(0,L780-(M780-N780))</f>
        <v/>
      </c>
      <c r="Q780" s="45" t="inlineStr">
        <is>
          <t>30/09/2025</t>
        </is>
      </c>
      <c r="R780" s="45" t="inlineStr">
        <is>
          <t>PT2025-00777</t>
        </is>
      </c>
      <c r="S780" s="45" t="inlineStr"/>
    </row>
    <row r="781">
      <c r="A781" s="45" t="inlineStr">
        <is>
          <t>251230990</t>
        </is>
      </c>
      <c r="B781" s="45" t="inlineStr">
        <is>
          <t>LÊ QUANG TÚ</t>
        </is>
      </c>
      <c r="C781" s="45" t="inlineStr">
        <is>
          <t>Công nghệ thông tin 3 K66</t>
        </is>
      </c>
      <c r="D781" s="45" t="inlineStr">
        <is>
          <t>Năm 2</t>
        </is>
      </c>
      <c r="E781" s="45" t="inlineStr">
        <is>
          <t>2026_2027</t>
        </is>
      </c>
      <c r="F781" s="45" t="n">
        <v>4</v>
      </c>
      <c r="G781" s="46">
        <f>VLOOKUP(D781,'Cấu Hình Học Phí'!$A$8:$B$11,2,FALSE)</f>
        <v/>
      </c>
      <c r="H781" s="46">
        <f>F781*G781</f>
        <v/>
      </c>
      <c r="I781" s="45" t="n">
        <v>1</v>
      </c>
      <c r="J781" s="46">
        <f>I781*'Cấu Hình Học Phí'!$B$5</f>
        <v/>
      </c>
      <c r="K781" s="46" t="n">
        <v>0</v>
      </c>
      <c r="L781" s="46">
        <f>H781+J781-K781</f>
        <v/>
      </c>
      <c r="M781" s="46" t="n">
        <v>3420000</v>
      </c>
      <c r="N781" s="46" t="n">
        <v>0</v>
      </c>
      <c r="O781" s="46">
        <f>MAX(0,M781-N781-L781)</f>
        <v/>
      </c>
      <c r="P781" s="46">
        <f>MAX(0,L781-(M781-N781))</f>
        <v/>
      </c>
      <c r="Q781" s="45" t="inlineStr">
        <is>
          <t>30/09/2026</t>
        </is>
      </c>
      <c r="R781" s="45" t="inlineStr">
        <is>
          <t>PT2026-00778</t>
        </is>
      </c>
      <c r="S781" s="45" t="inlineStr"/>
    </row>
    <row r="782">
      <c r="A782" s="45" t="inlineStr">
        <is>
          <t>251230990</t>
        </is>
      </c>
      <c r="B782" s="45" t="inlineStr">
        <is>
          <t>LÊ QUANG TÚ</t>
        </is>
      </c>
      <c r="C782" s="45" t="inlineStr">
        <is>
          <t>Công nghệ thông tin 3 K66</t>
        </is>
      </c>
      <c r="D782" s="45" t="inlineStr">
        <is>
          <t>Năm 3</t>
        </is>
      </c>
      <c r="E782" s="45" t="inlineStr">
        <is>
          <t>2027_2028</t>
        </is>
      </c>
      <c r="F782" s="45" t="n">
        <v>4</v>
      </c>
      <c r="G782" s="46">
        <f>VLOOKUP(D782,'Cấu Hình Học Phí'!$A$8:$B$11,2,FALSE)</f>
        <v/>
      </c>
      <c r="H782" s="46">
        <f>F782*G782</f>
        <v/>
      </c>
      <c r="I782" s="45" t="n">
        <v>1</v>
      </c>
      <c r="J782" s="46">
        <f>I782*'Cấu Hình Học Phí'!$B$5</f>
        <v/>
      </c>
      <c r="K782" s="46" t="n">
        <v>0</v>
      </c>
      <c r="L782" s="46">
        <f>H782+J782-K782</f>
        <v/>
      </c>
      <c r="M782" s="46" t="n">
        <v>3662000</v>
      </c>
      <c r="N782" s="46" t="n">
        <v>0</v>
      </c>
      <c r="O782" s="46">
        <f>MAX(0,M782-N782-L782)</f>
        <v/>
      </c>
      <c r="P782" s="46">
        <f>MAX(0,L782-(M782-N782))</f>
        <v/>
      </c>
      <c r="Q782" s="45" t="inlineStr">
        <is>
          <t>30/09/2027</t>
        </is>
      </c>
      <c r="R782" s="45" t="inlineStr">
        <is>
          <t>PT2027-00779</t>
        </is>
      </c>
      <c r="S782" s="45" t="inlineStr"/>
    </row>
    <row r="783">
      <c r="A783" s="45" t="inlineStr">
        <is>
          <t>251230990</t>
        </is>
      </c>
      <c r="B783" s="45" t="inlineStr">
        <is>
          <t>LÊ QUANG TÚ</t>
        </is>
      </c>
      <c r="C783" s="45" t="inlineStr">
        <is>
          <t>Công nghệ thông tin 3 K66</t>
        </is>
      </c>
      <c r="D783" s="45" t="inlineStr">
        <is>
          <t>Năm 4</t>
        </is>
      </c>
      <c r="E783" s="45" t="inlineStr">
        <is>
          <t>2028_2029</t>
        </is>
      </c>
      <c r="F783" s="45" t="n">
        <v>1</v>
      </c>
      <c r="G783" s="46">
        <f>VLOOKUP(D783,'Cấu Hình Học Phí'!$A$8:$B$11,2,FALSE)</f>
        <v/>
      </c>
      <c r="H783" s="46">
        <f>F783*G783</f>
        <v/>
      </c>
      <c r="I783" s="45" t="n">
        <v>0</v>
      </c>
      <c r="J783" s="46">
        <f>I783*'Cấu Hình Học Phí'!$B$5</f>
        <v/>
      </c>
      <c r="K783" s="46" t="n">
        <v>0</v>
      </c>
      <c r="L783" s="46">
        <f>H783+J783-K783</f>
        <v/>
      </c>
      <c r="M783" s="46" t="n">
        <v>732050</v>
      </c>
      <c r="N783" s="46" t="n">
        <v>0</v>
      </c>
      <c r="O783" s="46">
        <f>MAX(0,M783-N783-L783)</f>
        <v/>
      </c>
      <c r="P783" s="46">
        <f>MAX(0,L783-(M783-N783))</f>
        <v/>
      </c>
      <c r="Q783" s="45" t="inlineStr">
        <is>
          <t>30/09/2028</t>
        </is>
      </c>
      <c r="R783" s="45" t="inlineStr">
        <is>
          <t>PT2028-00780</t>
        </is>
      </c>
      <c r="S783" s="45" t="inlineStr"/>
    </row>
    <row r="784">
      <c r="A784" s="45" t="inlineStr">
        <is>
          <t>251210991</t>
        </is>
      </c>
      <c r="B784" s="45" t="inlineStr">
        <is>
          <t>LÊ TUẤN TÚ</t>
        </is>
      </c>
      <c r="C784" s="45" t="inlineStr">
        <is>
          <t>Công nghệ thông tin 3 K66</t>
        </is>
      </c>
      <c r="D784" s="45" t="inlineStr">
        <is>
          <t>Năm 1</t>
        </is>
      </c>
      <c r="E784" s="45" t="inlineStr">
        <is>
          <t>2025_2026</t>
        </is>
      </c>
      <c r="F784" s="45" t="n">
        <v>4</v>
      </c>
      <c r="G784" s="46">
        <f>VLOOKUP(D784,'Cấu Hình Học Phí'!$A$8:$B$11,2,FALSE)</f>
        <v/>
      </c>
      <c r="H784" s="46">
        <f>F784*G784</f>
        <v/>
      </c>
      <c r="I784" s="45" t="n">
        <v>0</v>
      </c>
      <c r="J784" s="46">
        <f>I784*'Cấu Hình Học Phí'!$B$5</f>
        <v/>
      </c>
      <c r="K784" s="46" t="n">
        <v>0</v>
      </c>
      <c r="L784" s="46">
        <f>H784+J784-K784</f>
        <v/>
      </c>
      <c r="M784" s="46" t="n">
        <v>2200000</v>
      </c>
      <c r="N784" s="46" t="n">
        <v>0</v>
      </c>
      <c r="O784" s="46">
        <f>MAX(0,M784-N784-L784)</f>
        <v/>
      </c>
      <c r="P784" s="46">
        <f>MAX(0,L784-(M784-N784))</f>
        <v/>
      </c>
      <c r="Q784" s="45" t="inlineStr">
        <is>
          <t>30/09/2025</t>
        </is>
      </c>
      <c r="R784" s="45" t="inlineStr">
        <is>
          <t>PT2025-00781</t>
        </is>
      </c>
      <c r="S784" s="45" t="inlineStr"/>
    </row>
    <row r="785">
      <c r="A785" s="45" t="inlineStr">
        <is>
          <t>251210991</t>
        </is>
      </c>
      <c r="B785" s="45" t="inlineStr">
        <is>
          <t>LÊ TUẤN TÚ</t>
        </is>
      </c>
      <c r="C785" s="45" t="inlineStr">
        <is>
          <t>Công nghệ thông tin 3 K66</t>
        </is>
      </c>
      <c r="D785" s="45" t="inlineStr">
        <is>
          <t>Năm 2</t>
        </is>
      </c>
      <c r="E785" s="45" t="inlineStr">
        <is>
          <t>2026_2027</t>
        </is>
      </c>
      <c r="F785" s="45" t="n">
        <v>4</v>
      </c>
      <c r="G785" s="46">
        <f>VLOOKUP(D785,'Cấu Hình Học Phí'!$A$8:$B$11,2,FALSE)</f>
        <v/>
      </c>
      <c r="H785" s="46">
        <f>F785*G785</f>
        <v/>
      </c>
      <c r="I785" s="45" t="n">
        <v>1</v>
      </c>
      <c r="J785" s="46">
        <f>I785*'Cấu Hình Học Phí'!$B$5</f>
        <v/>
      </c>
      <c r="K785" s="46" t="n">
        <v>0</v>
      </c>
      <c r="L785" s="46">
        <f>H785+J785-K785</f>
        <v/>
      </c>
      <c r="M785" s="46" t="n">
        <v>2420000</v>
      </c>
      <c r="N785" s="46" t="n">
        <v>0</v>
      </c>
      <c r="O785" s="46">
        <f>MAX(0,M785-N785-L785)</f>
        <v/>
      </c>
      <c r="P785" s="46">
        <f>MAX(0,L785-(M785-N785))</f>
        <v/>
      </c>
      <c r="Q785" s="45" t="inlineStr">
        <is>
          <t>30/09/2026</t>
        </is>
      </c>
      <c r="R785" s="45" t="inlineStr">
        <is>
          <t>PT2026-00782</t>
        </is>
      </c>
      <c r="S785" s="45" t="inlineStr">
        <is>
          <t>Chưa nộp phí phụ đạo 1 môn</t>
        </is>
      </c>
    </row>
    <row r="786">
      <c r="A786" s="45" t="inlineStr">
        <is>
          <t>251210991</t>
        </is>
      </c>
      <c r="B786" s="45" t="inlineStr">
        <is>
          <t>LÊ TUẤN TÚ</t>
        </is>
      </c>
      <c r="C786" s="45" t="inlineStr">
        <is>
          <t>Công nghệ thông tin 3 K66</t>
        </is>
      </c>
      <c r="D786" s="45" t="inlineStr">
        <is>
          <t>Năm 3</t>
        </is>
      </c>
      <c r="E786" s="45" t="inlineStr">
        <is>
          <t>2027_2028</t>
        </is>
      </c>
      <c r="F786" s="45" t="n">
        <v>4</v>
      </c>
      <c r="G786" s="46">
        <f>VLOOKUP(D786,'Cấu Hình Học Phí'!$A$8:$B$11,2,FALSE)</f>
        <v/>
      </c>
      <c r="H786" s="46">
        <f>F786*G786</f>
        <v/>
      </c>
      <c r="I786" s="45" t="n">
        <v>0</v>
      </c>
      <c r="J786" s="46">
        <f>I786*'Cấu Hình Học Phí'!$B$5</f>
        <v/>
      </c>
      <c r="K786" s="46" t="n">
        <v>0</v>
      </c>
      <c r="L786" s="46">
        <f>H786+J786-K786</f>
        <v/>
      </c>
      <c r="M786" s="46" t="n">
        <v>2662000</v>
      </c>
      <c r="N786" s="46" t="n">
        <v>0</v>
      </c>
      <c r="O786" s="46">
        <f>MAX(0,M786-N786-L786)</f>
        <v/>
      </c>
      <c r="P786" s="46">
        <f>MAX(0,L786-(M786-N786))</f>
        <v/>
      </c>
      <c r="Q786" s="45" t="inlineStr">
        <is>
          <t>30/09/2027</t>
        </is>
      </c>
      <c r="R786" s="45" t="inlineStr">
        <is>
          <t>PT2027-00783</t>
        </is>
      </c>
      <c r="S786" s="45" t="inlineStr"/>
    </row>
    <row r="787">
      <c r="A787" s="45" t="inlineStr">
        <is>
          <t>251210991</t>
        </is>
      </c>
      <c r="B787" s="45" t="inlineStr">
        <is>
          <t>LÊ TUẤN TÚ</t>
        </is>
      </c>
      <c r="C787" s="45" t="inlineStr">
        <is>
          <t>Công nghệ thông tin 3 K66</t>
        </is>
      </c>
      <c r="D787" s="45" t="inlineStr">
        <is>
          <t>Năm 4</t>
        </is>
      </c>
      <c r="E787" s="45" t="inlineStr">
        <is>
          <t>2028_2029</t>
        </is>
      </c>
      <c r="F787" s="45" t="n">
        <v>1</v>
      </c>
      <c r="G787" s="46">
        <f>VLOOKUP(D787,'Cấu Hình Học Phí'!$A$8:$B$11,2,FALSE)</f>
        <v/>
      </c>
      <c r="H787" s="46">
        <f>F787*G787</f>
        <v/>
      </c>
      <c r="I787" s="45" t="n">
        <v>0</v>
      </c>
      <c r="J787" s="46">
        <f>I787*'Cấu Hình Học Phí'!$B$5</f>
        <v/>
      </c>
      <c r="K787" s="46" t="n">
        <v>0</v>
      </c>
      <c r="L787" s="46">
        <f>H787+J787-K787</f>
        <v/>
      </c>
      <c r="M787" s="46" t="n">
        <v>732050</v>
      </c>
      <c r="N787" s="46" t="n">
        <v>0</v>
      </c>
      <c r="O787" s="46">
        <f>MAX(0,M787-N787-L787)</f>
        <v/>
      </c>
      <c r="P787" s="46">
        <f>MAX(0,L787-(M787-N787))</f>
        <v/>
      </c>
      <c r="Q787" s="45" t="inlineStr">
        <is>
          <t>30/09/2028</t>
        </is>
      </c>
      <c r="R787" s="45" t="inlineStr">
        <is>
          <t>PT2028-00784</t>
        </is>
      </c>
      <c r="S787" s="45" t="inlineStr"/>
    </row>
    <row r="788">
      <c r="A788" s="45" t="inlineStr">
        <is>
          <t>251210998</t>
        </is>
      </c>
      <c r="B788" s="45" t="inlineStr">
        <is>
          <t>NGUYỄN HỒNG LONG VIỆT</t>
        </is>
      </c>
      <c r="C788" s="45" t="inlineStr">
        <is>
          <t>Công nghệ thông tin 3 K66</t>
        </is>
      </c>
      <c r="D788" s="45" t="inlineStr">
        <is>
          <t>Năm 1</t>
        </is>
      </c>
      <c r="E788" s="45" t="inlineStr">
        <is>
          <t>2025_2026</t>
        </is>
      </c>
      <c r="F788" s="45" t="n">
        <v>4</v>
      </c>
      <c r="G788" s="46">
        <f>VLOOKUP(D788,'Cấu Hình Học Phí'!$A$8:$B$11,2,FALSE)</f>
        <v/>
      </c>
      <c r="H788" s="46">
        <f>F788*G788</f>
        <v/>
      </c>
      <c r="I788" s="45" t="n">
        <v>1</v>
      </c>
      <c r="J788" s="46">
        <f>I788*'Cấu Hình Học Phí'!$B$5</f>
        <v/>
      </c>
      <c r="K788" s="46" t="n">
        <v>0</v>
      </c>
      <c r="L788" s="46">
        <f>H788+J788-K788</f>
        <v/>
      </c>
      <c r="M788" s="46" t="n">
        <v>2200000</v>
      </c>
      <c r="N788" s="46" t="n">
        <v>0</v>
      </c>
      <c r="O788" s="46">
        <f>MAX(0,M788-N788-L788)</f>
        <v/>
      </c>
      <c r="P788" s="46">
        <f>MAX(0,L788-(M788-N788))</f>
        <v/>
      </c>
      <c r="Q788" s="45" t="inlineStr">
        <is>
          <t>30/09/2025</t>
        </is>
      </c>
      <c r="R788" s="45" t="inlineStr">
        <is>
          <t>PT2025-00785</t>
        </is>
      </c>
      <c r="S788" s="45" t="inlineStr">
        <is>
          <t>Chưa nộp phí phụ đạo 1 môn</t>
        </is>
      </c>
    </row>
    <row r="789">
      <c r="A789" s="45" t="inlineStr">
        <is>
          <t>251210998</t>
        </is>
      </c>
      <c r="B789" s="45" t="inlineStr">
        <is>
          <t>NGUYỄN HỒNG LONG VIỆT</t>
        </is>
      </c>
      <c r="C789" s="45" t="inlineStr">
        <is>
          <t>Công nghệ thông tin 3 K66</t>
        </is>
      </c>
      <c r="D789" s="45" t="inlineStr">
        <is>
          <t>Năm 2</t>
        </is>
      </c>
      <c r="E789" s="45" t="inlineStr">
        <is>
          <t>2026_2027</t>
        </is>
      </c>
      <c r="F789" s="45" t="n">
        <v>4</v>
      </c>
      <c r="G789" s="46">
        <f>VLOOKUP(D789,'Cấu Hình Học Phí'!$A$8:$B$11,2,FALSE)</f>
        <v/>
      </c>
      <c r="H789" s="46">
        <f>F789*G789</f>
        <v/>
      </c>
      <c r="I789" s="45" t="n">
        <v>0</v>
      </c>
      <c r="J789" s="46">
        <f>I789*'Cấu Hình Học Phí'!$B$5</f>
        <v/>
      </c>
      <c r="K789" s="46" t="n">
        <v>0</v>
      </c>
      <c r="L789" s="46">
        <f>H789+J789-K789</f>
        <v/>
      </c>
      <c r="M789" s="46" t="n">
        <v>2420000</v>
      </c>
      <c r="N789" s="46" t="n">
        <v>0</v>
      </c>
      <c r="O789" s="46">
        <f>MAX(0,M789-N789-L789)</f>
        <v/>
      </c>
      <c r="P789" s="46">
        <f>MAX(0,L789-(M789-N789))</f>
        <v/>
      </c>
      <c r="Q789" s="45" t="inlineStr">
        <is>
          <t>30/09/2026</t>
        </is>
      </c>
      <c r="R789" s="45" t="inlineStr">
        <is>
          <t>PT2026-00786</t>
        </is>
      </c>
      <c r="S789" s="45" t="inlineStr"/>
    </row>
    <row r="790">
      <c r="A790" s="45" t="inlineStr">
        <is>
          <t>251210998</t>
        </is>
      </c>
      <c r="B790" s="45" t="inlineStr">
        <is>
          <t>NGUYỄN HỒNG LONG VIỆT</t>
        </is>
      </c>
      <c r="C790" s="45" t="inlineStr">
        <is>
          <t>Công nghệ thông tin 3 K66</t>
        </is>
      </c>
      <c r="D790" s="45" t="inlineStr">
        <is>
          <t>Năm 3</t>
        </is>
      </c>
      <c r="E790" s="45" t="inlineStr">
        <is>
          <t>2027_2028</t>
        </is>
      </c>
      <c r="F790" s="45" t="n">
        <v>4</v>
      </c>
      <c r="G790" s="46">
        <f>VLOOKUP(D790,'Cấu Hình Học Phí'!$A$8:$B$11,2,FALSE)</f>
        <v/>
      </c>
      <c r="H790" s="46">
        <f>F790*G790</f>
        <v/>
      </c>
      <c r="I790" s="45" t="n">
        <v>0</v>
      </c>
      <c r="J790" s="46">
        <f>I790*'Cấu Hình Học Phí'!$B$5</f>
        <v/>
      </c>
      <c r="K790" s="46" t="n">
        <v>0</v>
      </c>
      <c r="L790" s="46">
        <f>H790+J790-K790</f>
        <v/>
      </c>
      <c r="M790" s="46" t="n">
        <v>2662000</v>
      </c>
      <c r="N790" s="46" t="n">
        <v>0</v>
      </c>
      <c r="O790" s="46">
        <f>MAX(0,M790-N790-L790)</f>
        <v/>
      </c>
      <c r="P790" s="46">
        <f>MAX(0,L790-(M790-N790))</f>
        <v/>
      </c>
      <c r="Q790" s="45" t="inlineStr">
        <is>
          <t>30/09/2027</t>
        </is>
      </c>
      <c r="R790" s="45" t="inlineStr">
        <is>
          <t>PT2027-00787</t>
        </is>
      </c>
      <c r="S790" s="45" t="inlineStr"/>
    </row>
    <row r="791">
      <c r="A791" s="45" t="inlineStr">
        <is>
          <t>251210998</t>
        </is>
      </c>
      <c r="B791" s="45" t="inlineStr">
        <is>
          <t>NGUYỄN HỒNG LONG VIỆT</t>
        </is>
      </c>
      <c r="C791" s="45" t="inlineStr">
        <is>
          <t>Công nghệ thông tin 3 K66</t>
        </is>
      </c>
      <c r="D791" s="45" t="inlineStr">
        <is>
          <t>Năm 4</t>
        </is>
      </c>
      <c r="E791" s="45" t="inlineStr">
        <is>
          <t>2028_2029</t>
        </is>
      </c>
      <c r="F791" s="45" t="n">
        <v>1</v>
      </c>
      <c r="G791" s="46">
        <f>VLOOKUP(D791,'Cấu Hình Học Phí'!$A$8:$B$11,2,FALSE)</f>
        <v/>
      </c>
      <c r="H791" s="46">
        <f>F791*G791</f>
        <v/>
      </c>
      <c r="I791" s="45" t="n">
        <v>0</v>
      </c>
      <c r="J791" s="46">
        <f>I791*'Cấu Hình Học Phí'!$B$5</f>
        <v/>
      </c>
      <c r="K791" s="46" t="n">
        <v>0</v>
      </c>
      <c r="L791" s="46">
        <f>H791+J791-K791</f>
        <v/>
      </c>
      <c r="M791" s="46" t="n">
        <v>732050</v>
      </c>
      <c r="N791" s="46" t="n">
        <v>0</v>
      </c>
      <c r="O791" s="46">
        <f>MAX(0,M791-N791-L791)</f>
        <v/>
      </c>
      <c r="P791" s="46">
        <f>MAX(0,L791-(M791-N791))</f>
        <v/>
      </c>
      <c r="Q791" s="45" t="inlineStr">
        <is>
          <t>30/09/2028</t>
        </is>
      </c>
      <c r="R791" s="45" t="inlineStr">
        <is>
          <t>PT2028-00788</t>
        </is>
      </c>
      <c r="S791" s="45" t="inlineStr"/>
    </row>
    <row r="792">
      <c r="A792" s="45" t="inlineStr">
        <is>
          <t>251211000</t>
        </is>
      </c>
      <c r="B792" s="45" t="inlineStr">
        <is>
          <t>HOÀNG KHÁNH VINH</t>
        </is>
      </c>
      <c r="C792" s="45" t="inlineStr">
        <is>
          <t>Công nghệ thông tin 3 K66</t>
        </is>
      </c>
      <c r="D792" s="45" t="inlineStr">
        <is>
          <t>Năm 1</t>
        </is>
      </c>
      <c r="E792" s="45" t="inlineStr">
        <is>
          <t>2025_2026</t>
        </is>
      </c>
      <c r="F792" s="45" t="n">
        <v>4</v>
      </c>
      <c r="G792" s="46">
        <f>VLOOKUP(D792,'Cấu Hình Học Phí'!$A$8:$B$11,2,FALSE)</f>
        <v/>
      </c>
      <c r="H792" s="46">
        <f>F792*G792</f>
        <v/>
      </c>
      <c r="I792" s="45" t="n">
        <v>0</v>
      </c>
      <c r="J792" s="46">
        <f>I792*'Cấu Hình Học Phí'!$B$5</f>
        <v/>
      </c>
      <c r="K792" s="46" t="n">
        <v>0</v>
      </c>
      <c r="L792" s="46">
        <f>H792+J792-K792</f>
        <v/>
      </c>
      <c r="M792" s="46" t="n">
        <v>2200000</v>
      </c>
      <c r="N792" s="46" t="n">
        <v>0</v>
      </c>
      <c r="O792" s="46">
        <f>MAX(0,M792-N792-L792)</f>
        <v/>
      </c>
      <c r="P792" s="46">
        <f>MAX(0,L792-(M792-N792))</f>
        <v/>
      </c>
      <c r="Q792" s="45" t="inlineStr">
        <is>
          <t>30/09/2025</t>
        </is>
      </c>
      <c r="R792" s="45" t="inlineStr">
        <is>
          <t>PT2025-00789</t>
        </is>
      </c>
      <c r="S792" s="45" t="inlineStr"/>
    </row>
    <row r="793">
      <c r="A793" s="45" t="inlineStr">
        <is>
          <t>251211000</t>
        </is>
      </c>
      <c r="B793" s="45" t="inlineStr">
        <is>
          <t>HOÀNG KHÁNH VINH</t>
        </is>
      </c>
      <c r="C793" s="45" t="inlineStr">
        <is>
          <t>Công nghệ thông tin 3 K66</t>
        </is>
      </c>
      <c r="D793" s="45" t="inlineStr">
        <is>
          <t>Năm 2</t>
        </is>
      </c>
      <c r="E793" s="45" t="inlineStr">
        <is>
          <t>2026_2027</t>
        </is>
      </c>
      <c r="F793" s="45" t="n">
        <v>4</v>
      </c>
      <c r="G793" s="46">
        <f>VLOOKUP(D793,'Cấu Hình Học Phí'!$A$8:$B$11,2,FALSE)</f>
        <v/>
      </c>
      <c r="H793" s="46">
        <f>F793*G793</f>
        <v/>
      </c>
      <c r="I793" s="45" t="n">
        <v>0</v>
      </c>
      <c r="J793" s="46">
        <f>I793*'Cấu Hình Học Phí'!$B$5</f>
        <v/>
      </c>
      <c r="K793" s="46" t="n">
        <v>0</v>
      </c>
      <c r="L793" s="46">
        <f>H793+J793-K793</f>
        <v/>
      </c>
      <c r="M793" s="46" t="n">
        <v>2420000</v>
      </c>
      <c r="N793" s="46" t="n">
        <v>0</v>
      </c>
      <c r="O793" s="46">
        <f>MAX(0,M793-N793-L793)</f>
        <v/>
      </c>
      <c r="P793" s="46">
        <f>MAX(0,L793-(M793-N793))</f>
        <v/>
      </c>
      <c r="Q793" s="45" t="inlineStr">
        <is>
          <t>30/09/2026</t>
        </is>
      </c>
      <c r="R793" s="45" t="inlineStr">
        <is>
          <t>PT2026-00790</t>
        </is>
      </c>
      <c r="S793" s="45" t="inlineStr"/>
    </row>
    <row r="794">
      <c r="A794" s="45" t="inlineStr">
        <is>
          <t>251211000</t>
        </is>
      </c>
      <c r="B794" s="45" t="inlineStr">
        <is>
          <t>HOÀNG KHÁNH VINH</t>
        </is>
      </c>
      <c r="C794" s="45" t="inlineStr">
        <is>
          <t>Công nghệ thông tin 3 K66</t>
        </is>
      </c>
      <c r="D794" s="45" t="inlineStr">
        <is>
          <t>Năm 3</t>
        </is>
      </c>
      <c r="E794" s="45" t="inlineStr">
        <is>
          <t>2027_2028</t>
        </is>
      </c>
      <c r="F794" s="45" t="n">
        <v>4</v>
      </c>
      <c r="G794" s="46">
        <f>VLOOKUP(D794,'Cấu Hình Học Phí'!$A$8:$B$11,2,FALSE)</f>
        <v/>
      </c>
      <c r="H794" s="46">
        <f>F794*G794</f>
        <v/>
      </c>
      <c r="I794" s="45" t="n">
        <v>0</v>
      </c>
      <c r="J794" s="46">
        <f>I794*'Cấu Hình Học Phí'!$B$5</f>
        <v/>
      </c>
      <c r="K794" s="46" t="n">
        <v>0</v>
      </c>
      <c r="L794" s="46">
        <f>H794+J794-K794</f>
        <v/>
      </c>
      <c r="M794" s="46" t="n">
        <v>2662000</v>
      </c>
      <c r="N794" s="46" t="n">
        <v>0</v>
      </c>
      <c r="O794" s="46">
        <f>MAX(0,M794-N794-L794)</f>
        <v/>
      </c>
      <c r="P794" s="46">
        <f>MAX(0,L794-(M794-N794))</f>
        <v/>
      </c>
      <c r="Q794" s="45" t="inlineStr">
        <is>
          <t>30/09/2027</t>
        </is>
      </c>
      <c r="R794" s="45" t="inlineStr">
        <is>
          <t>PT2027-00791</t>
        </is>
      </c>
      <c r="S794" s="45" t="inlineStr"/>
    </row>
    <row r="795">
      <c r="A795" s="45" t="inlineStr">
        <is>
          <t>251211000</t>
        </is>
      </c>
      <c r="B795" s="45" t="inlineStr">
        <is>
          <t>HOÀNG KHÁNH VINH</t>
        </is>
      </c>
      <c r="C795" s="45" t="inlineStr">
        <is>
          <t>Công nghệ thông tin 3 K66</t>
        </is>
      </c>
      <c r="D795" s="45" t="inlineStr">
        <is>
          <t>Năm 4</t>
        </is>
      </c>
      <c r="E795" s="45" t="inlineStr">
        <is>
          <t>2028_2029</t>
        </is>
      </c>
      <c r="F795" s="45" t="n">
        <v>1</v>
      </c>
      <c r="G795" s="46">
        <f>VLOOKUP(D795,'Cấu Hình Học Phí'!$A$8:$B$11,2,FALSE)</f>
        <v/>
      </c>
      <c r="H795" s="46">
        <f>F795*G795</f>
        <v/>
      </c>
      <c r="I795" s="45" t="n">
        <v>0</v>
      </c>
      <c r="J795" s="46">
        <f>I795*'Cấu Hình Học Phí'!$B$5</f>
        <v/>
      </c>
      <c r="K795" s="46" t="n">
        <v>0</v>
      </c>
      <c r="L795" s="46">
        <f>H795+J795-K795</f>
        <v/>
      </c>
      <c r="M795" s="46" t="n">
        <v>732050</v>
      </c>
      <c r="N795" s="46" t="n">
        <v>0</v>
      </c>
      <c r="O795" s="46">
        <f>MAX(0,M795-N795-L795)</f>
        <v/>
      </c>
      <c r="P795" s="46">
        <f>MAX(0,L795-(M795-N795))</f>
        <v/>
      </c>
      <c r="Q795" s="45" t="inlineStr">
        <is>
          <t>30/09/2028</t>
        </is>
      </c>
      <c r="R795" s="45" t="inlineStr">
        <is>
          <t>PT2028-00792</t>
        </is>
      </c>
      <c r="S795" s="45" t="inlineStr"/>
    </row>
    <row r="796">
      <c r="A796" s="45" t="inlineStr">
        <is>
          <t>253610642</t>
        </is>
      </c>
      <c r="B796" s="45" t="inlineStr">
        <is>
          <t>NGUYỄN ĐỨC AN</t>
        </is>
      </c>
      <c r="C796" s="45" t="inlineStr">
        <is>
          <t>Khoa học máy tính K66</t>
        </is>
      </c>
      <c r="D796" s="45" t="inlineStr">
        <is>
          <t>Năm 1</t>
        </is>
      </c>
      <c r="E796" s="45" t="inlineStr">
        <is>
          <t>2025_2026</t>
        </is>
      </c>
      <c r="F796" s="45" t="n">
        <v>4</v>
      </c>
      <c r="G796" s="46">
        <f>VLOOKUP(D796,'Cấu Hình Học Phí'!$A$8:$B$11,2,FALSE)</f>
        <v/>
      </c>
      <c r="H796" s="46">
        <f>F796*G796</f>
        <v/>
      </c>
      <c r="I796" s="45" t="n">
        <v>1</v>
      </c>
      <c r="J796" s="46">
        <f>I796*'Cấu Hình Học Phí'!$B$5</f>
        <v/>
      </c>
      <c r="K796" s="46" t="n">
        <v>0</v>
      </c>
      <c r="L796" s="46">
        <f>H796+J796-K796</f>
        <v/>
      </c>
      <c r="M796" s="46" t="n">
        <v>2200000</v>
      </c>
      <c r="N796" s="46" t="n">
        <v>0</v>
      </c>
      <c r="O796" s="46">
        <f>MAX(0,M796-N796-L796)</f>
        <v/>
      </c>
      <c r="P796" s="46">
        <f>MAX(0,L796-(M796-N796))</f>
        <v/>
      </c>
      <c r="Q796" s="45" t="inlineStr">
        <is>
          <t>30/09/2025</t>
        </is>
      </c>
      <c r="R796" s="45" t="inlineStr">
        <is>
          <t>PT2025-00793</t>
        </is>
      </c>
      <c r="S796" s="45" t="inlineStr">
        <is>
          <t>Chưa nộp phí phụ đạo 1 môn</t>
        </is>
      </c>
    </row>
    <row r="797">
      <c r="A797" s="45" t="inlineStr">
        <is>
          <t>253610642</t>
        </is>
      </c>
      <c r="B797" s="45" t="inlineStr">
        <is>
          <t>NGUYỄN ĐỨC AN</t>
        </is>
      </c>
      <c r="C797" s="45" t="inlineStr">
        <is>
          <t>Khoa học máy tính K66</t>
        </is>
      </c>
      <c r="D797" s="45" t="inlineStr">
        <is>
          <t>Năm 2</t>
        </is>
      </c>
      <c r="E797" s="45" t="inlineStr">
        <is>
          <t>2026_2027</t>
        </is>
      </c>
      <c r="F797" s="45" t="n">
        <v>4</v>
      </c>
      <c r="G797" s="46">
        <f>VLOOKUP(D797,'Cấu Hình Học Phí'!$A$8:$B$11,2,FALSE)</f>
        <v/>
      </c>
      <c r="H797" s="46">
        <f>F797*G797</f>
        <v/>
      </c>
      <c r="I797" s="45" t="n">
        <v>0</v>
      </c>
      <c r="J797" s="46">
        <f>I797*'Cấu Hình Học Phí'!$B$5</f>
        <v/>
      </c>
      <c r="K797" s="46" t="n">
        <v>0</v>
      </c>
      <c r="L797" s="46">
        <f>H797+J797-K797</f>
        <v/>
      </c>
      <c r="M797" s="46" t="n">
        <v>2420000</v>
      </c>
      <c r="N797" s="46" t="n">
        <v>0</v>
      </c>
      <c r="O797" s="46">
        <f>MAX(0,M797-N797-L797)</f>
        <v/>
      </c>
      <c r="P797" s="46">
        <f>MAX(0,L797-(M797-N797))</f>
        <v/>
      </c>
      <c r="Q797" s="45" t="inlineStr">
        <is>
          <t>30/09/2026</t>
        </is>
      </c>
      <c r="R797" s="45" t="inlineStr">
        <is>
          <t>PT2026-00794</t>
        </is>
      </c>
      <c r="S797" s="45" t="inlineStr"/>
    </row>
    <row r="798">
      <c r="A798" s="45" t="inlineStr">
        <is>
          <t>253610642</t>
        </is>
      </c>
      <c r="B798" s="45" t="inlineStr">
        <is>
          <t>NGUYỄN ĐỨC AN</t>
        </is>
      </c>
      <c r="C798" s="45" t="inlineStr">
        <is>
          <t>Khoa học máy tính K66</t>
        </is>
      </c>
      <c r="D798" s="45" t="inlineStr">
        <is>
          <t>Năm 3</t>
        </is>
      </c>
      <c r="E798" s="45" t="inlineStr">
        <is>
          <t>2027_2028</t>
        </is>
      </c>
      <c r="F798" s="45" t="n">
        <v>4</v>
      </c>
      <c r="G798" s="46">
        <f>VLOOKUP(D798,'Cấu Hình Học Phí'!$A$8:$B$11,2,FALSE)</f>
        <v/>
      </c>
      <c r="H798" s="46">
        <f>F798*G798</f>
        <v/>
      </c>
      <c r="I798" s="45" t="n">
        <v>0</v>
      </c>
      <c r="J798" s="46">
        <f>I798*'Cấu Hình Học Phí'!$B$5</f>
        <v/>
      </c>
      <c r="K798" s="46" t="n">
        <v>0</v>
      </c>
      <c r="L798" s="46">
        <f>H798+J798-K798</f>
        <v/>
      </c>
      <c r="M798" s="46" t="n">
        <v>2662000</v>
      </c>
      <c r="N798" s="46" t="n">
        <v>0</v>
      </c>
      <c r="O798" s="46">
        <f>MAX(0,M798-N798-L798)</f>
        <v/>
      </c>
      <c r="P798" s="46">
        <f>MAX(0,L798-(M798-N798))</f>
        <v/>
      </c>
      <c r="Q798" s="45" t="inlineStr">
        <is>
          <t>30/09/2027</t>
        </is>
      </c>
      <c r="R798" s="45" t="inlineStr">
        <is>
          <t>PT2027-00795</t>
        </is>
      </c>
      <c r="S798" s="45" t="inlineStr"/>
    </row>
    <row r="799">
      <c r="A799" s="45" t="inlineStr">
        <is>
          <t>253610642</t>
        </is>
      </c>
      <c r="B799" s="45" t="inlineStr">
        <is>
          <t>NGUYỄN ĐỨC AN</t>
        </is>
      </c>
      <c r="C799" s="45" t="inlineStr">
        <is>
          <t>Khoa học máy tính K66</t>
        </is>
      </c>
      <c r="D799" s="45" t="inlineStr">
        <is>
          <t>Năm 4</t>
        </is>
      </c>
      <c r="E799" s="45" t="inlineStr">
        <is>
          <t>2028_2029</t>
        </is>
      </c>
      <c r="F799" s="45" t="n">
        <v>1</v>
      </c>
      <c r="G799" s="46">
        <f>VLOOKUP(D799,'Cấu Hình Học Phí'!$A$8:$B$11,2,FALSE)</f>
        <v/>
      </c>
      <c r="H799" s="46">
        <f>F799*G799</f>
        <v/>
      </c>
      <c r="I799" s="45" t="n">
        <v>0</v>
      </c>
      <c r="J799" s="46">
        <f>I799*'Cấu Hình Học Phí'!$B$5</f>
        <v/>
      </c>
      <c r="K799" s="46" t="n">
        <v>0</v>
      </c>
      <c r="L799" s="46">
        <f>H799+J799-K799</f>
        <v/>
      </c>
      <c r="M799" s="46" t="n">
        <v>732050</v>
      </c>
      <c r="N799" s="46" t="n">
        <v>0</v>
      </c>
      <c r="O799" s="46">
        <f>MAX(0,M799-N799-L799)</f>
        <v/>
      </c>
      <c r="P799" s="46">
        <f>MAX(0,L799-(M799-N799))</f>
        <v/>
      </c>
      <c r="Q799" s="45" t="inlineStr">
        <is>
          <t>30/09/2028</t>
        </is>
      </c>
      <c r="R799" s="45" t="inlineStr">
        <is>
          <t>PT2028-00796</t>
        </is>
      </c>
      <c r="S799" s="45" t="inlineStr"/>
    </row>
    <row r="800">
      <c r="A800" s="45" t="inlineStr">
        <is>
          <t>243630565</t>
        </is>
      </c>
      <c r="B800" s="45" t="inlineStr">
        <is>
          <t>Nguyễn Hồng An</t>
        </is>
      </c>
      <c r="C800" s="45" t="inlineStr">
        <is>
          <t>Khoa học máy tính K66</t>
        </is>
      </c>
      <c r="D800" s="45" t="inlineStr">
        <is>
          <t>Năm 1</t>
        </is>
      </c>
      <c r="E800" s="45" t="inlineStr">
        <is>
          <t>2025_2026</t>
        </is>
      </c>
      <c r="F800" s="45" t="n">
        <v>4</v>
      </c>
      <c r="G800" s="46">
        <f>VLOOKUP(D800,'Cấu Hình Học Phí'!$A$8:$B$11,2,FALSE)</f>
        <v/>
      </c>
      <c r="H800" s="46">
        <f>F800*G800</f>
        <v/>
      </c>
      <c r="I800" s="45" t="n">
        <v>1</v>
      </c>
      <c r="J800" s="46">
        <f>I800*'Cấu Hình Học Phí'!$B$5</f>
        <v/>
      </c>
      <c r="K800" s="46" t="n">
        <v>0</v>
      </c>
      <c r="L800" s="46">
        <f>H800+J800-K800</f>
        <v/>
      </c>
      <c r="M800" s="46" t="n">
        <v>2200000</v>
      </c>
      <c r="N800" s="46" t="n">
        <v>0</v>
      </c>
      <c r="O800" s="46">
        <f>MAX(0,M800-N800-L800)</f>
        <v/>
      </c>
      <c r="P800" s="46">
        <f>MAX(0,L800-(M800-N800))</f>
        <v/>
      </c>
      <c r="Q800" s="45" t="inlineStr">
        <is>
          <t>30/09/2025</t>
        </is>
      </c>
      <c r="R800" s="45" t="inlineStr">
        <is>
          <t>PT2025-00797</t>
        </is>
      </c>
      <c r="S800" s="45" t="inlineStr">
        <is>
          <t>Chưa nộp phí phụ đạo 1 môn</t>
        </is>
      </c>
    </row>
    <row r="801">
      <c r="A801" s="45" t="inlineStr">
        <is>
          <t>243630565</t>
        </is>
      </c>
      <c r="B801" s="45" t="inlineStr">
        <is>
          <t>Nguyễn Hồng An</t>
        </is>
      </c>
      <c r="C801" s="45" t="inlineStr">
        <is>
          <t>Khoa học máy tính K66</t>
        </is>
      </c>
      <c r="D801" s="45" t="inlineStr">
        <is>
          <t>Năm 2</t>
        </is>
      </c>
      <c r="E801" s="45" t="inlineStr">
        <is>
          <t>2026_2027</t>
        </is>
      </c>
      <c r="F801" s="45" t="n">
        <v>4</v>
      </c>
      <c r="G801" s="46">
        <f>VLOOKUP(D801,'Cấu Hình Học Phí'!$A$8:$B$11,2,FALSE)</f>
        <v/>
      </c>
      <c r="H801" s="46">
        <f>F801*G801</f>
        <v/>
      </c>
      <c r="I801" s="45" t="n">
        <v>0</v>
      </c>
      <c r="J801" s="46">
        <f>I801*'Cấu Hình Học Phí'!$B$5</f>
        <v/>
      </c>
      <c r="K801" s="46" t="n">
        <v>0</v>
      </c>
      <c r="L801" s="46">
        <f>H801+J801-K801</f>
        <v/>
      </c>
      <c r="M801" s="46" t="n">
        <v>2420000</v>
      </c>
      <c r="N801" s="46" t="n">
        <v>0</v>
      </c>
      <c r="O801" s="46">
        <f>MAX(0,M801-N801-L801)</f>
        <v/>
      </c>
      <c r="P801" s="46">
        <f>MAX(0,L801-(M801-N801))</f>
        <v/>
      </c>
      <c r="Q801" s="45" t="inlineStr">
        <is>
          <t>30/09/2026</t>
        </is>
      </c>
      <c r="R801" s="45" t="inlineStr">
        <is>
          <t>PT2026-00798</t>
        </is>
      </c>
      <c r="S801" s="45" t="inlineStr"/>
    </row>
    <row r="802">
      <c r="A802" s="45" t="inlineStr">
        <is>
          <t>243630565</t>
        </is>
      </c>
      <c r="B802" s="45" t="inlineStr">
        <is>
          <t>Nguyễn Hồng An</t>
        </is>
      </c>
      <c r="C802" s="45" t="inlineStr">
        <is>
          <t>Khoa học máy tính K66</t>
        </is>
      </c>
      <c r="D802" s="45" t="inlineStr">
        <is>
          <t>Năm 3</t>
        </is>
      </c>
      <c r="E802" s="45" t="inlineStr">
        <is>
          <t>2027_2028</t>
        </is>
      </c>
      <c r="F802" s="45" t="n">
        <v>4</v>
      </c>
      <c r="G802" s="46">
        <f>VLOOKUP(D802,'Cấu Hình Học Phí'!$A$8:$B$11,2,FALSE)</f>
        <v/>
      </c>
      <c r="H802" s="46">
        <f>F802*G802</f>
        <v/>
      </c>
      <c r="I802" s="45" t="n">
        <v>0</v>
      </c>
      <c r="J802" s="46">
        <f>I802*'Cấu Hình Học Phí'!$B$5</f>
        <v/>
      </c>
      <c r="K802" s="46" t="n">
        <v>0</v>
      </c>
      <c r="L802" s="46">
        <f>H802+J802-K802</f>
        <v/>
      </c>
      <c r="M802" s="46" t="n">
        <v>2662000</v>
      </c>
      <c r="N802" s="46" t="n">
        <v>0</v>
      </c>
      <c r="O802" s="46">
        <f>MAX(0,M802-N802-L802)</f>
        <v/>
      </c>
      <c r="P802" s="46">
        <f>MAX(0,L802-(M802-N802))</f>
        <v/>
      </c>
      <c r="Q802" s="45" t="inlineStr">
        <is>
          <t>30/09/2027</t>
        </is>
      </c>
      <c r="R802" s="45" t="inlineStr">
        <is>
          <t>PT2027-00799</t>
        </is>
      </c>
      <c r="S802" s="45" t="inlineStr"/>
    </row>
    <row r="803">
      <c r="A803" s="45" t="inlineStr">
        <is>
          <t>243630565</t>
        </is>
      </c>
      <c r="B803" s="45" t="inlineStr">
        <is>
          <t>Nguyễn Hồng An</t>
        </is>
      </c>
      <c r="C803" s="45" t="inlineStr">
        <is>
          <t>Khoa học máy tính K66</t>
        </is>
      </c>
      <c r="D803" s="45" t="inlineStr">
        <is>
          <t>Năm 4</t>
        </is>
      </c>
      <c r="E803" s="45" t="inlineStr">
        <is>
          <t>2028_2029</t>
        </is>
      </c>
      <c r="F803" s="45" t="n">
        <v>1</v>
      </c>
      <c r="G803" s="46">
        <f>VLOOKUP(D803,'Cấu Hình Học Phí'!$A$8:$B$11,2,FALSE)</f>
        <v/>
      </c>
      <c r="H803" s="46">
        <f>F803*G803</f>
        <v/>
      </c>
      <c r="I803" s="45" t="n">
        <v>0</v>
      </c>
      <c r="J803" s="46">
        <f>I803*'Cấu Hình Học Phí'!$B$5</f>
        <v/>
      </c>
      <c r="K803" s="46" t="n">
        <v>0</v>
      </c>
      <c r="L803" s="46">
        <f>H803+J803-K803</f>
        <v/>
      </c>
      <c r="M803" s="46" t="n">
        <v>732050</v>
      </c>
      <c r="N803" s="46" t="n">
        <v>0</v>
      </c>
      <c r="O803" s="46">
        <f>MAX(0,M803-N803-L803)</f>
        <v/>
      </c>
      <c r="P803" s="46">
        <f>MAX(0,L803-(M803-N803))</f>
        <v/>
      </c>
      <c r="Q803" s="45" t="inlineStr">
        <is>
          <t>30/09/2028</t>
        </is>
      </c>
      <c r="R803" s="45" t="inlineStr">
        <is>
          <t>PT2028-00800</t>
        </is>
      </c>
      <c r="S803" s="45" t="inlineStr"/>
    </row>
    <row r="804">
      <c r="A804" s="45" t="inlineStr">
        <is>
          <t>253610643</t>
        </is>
      </c>
      <c r="B804" s="45" t="inlineStr">
        <is>
          <t>CAO HOÀNG ANH</t>
        </is>
      </c>
      <c r="C804" s="45" t="inlineStr">
        <is>
          <t>Khoa học máy tính K66</t>
        </is>
      </c>
      <c r="D804" s="45" t="inlineStr">
        <is>
          <t>Năm 1</t>
        </is>
      </c>
      <c r="E804" s="45" t="inlineStr">
        <is>
          <t>2025_2026</t>
        </is>
      </c>
      <c r="F804" s="45" t="n">
        <v>4</v>
      </c>
      <c r="G804" s="46">
        <f>VLOOKUP(D804,'Cấu Hình Học Phí'!$A$8:$B$11,2,FALSE)</f>
        <v/>
      </c>
      <c r="H804" s="46">
        <f>F804*G804</f>
        <v/>
      </c>
      <c r="I804" s="45" t="n">
        <v>1</v>
      </c>
      <c r="J804" s="46">
        <f>I804*'Cấu Hình Học Phí'!$B$5</f>
        <v/>
      </c>
      <c r="K804" s="46" t="n">
        <v>0</v>
      </c>
      <c r="L804" s="46">
        <f>H804+J804-K804</f>
        <v/>
      </c>
      <c r="M804" s="46" t="n">
        <v>3200000</v>
      </c>
      <c r="N804" s="46" t="n">
        <v>0</v>
      </c>
      <c r="O804" s="46">
        <f>MAX(0,M804-N804-L804)</f>
        <v/>
      </c>
      <c r="P804" s="46">
        <f>MAX(0,L804-(M804-N804))</f>
        <v/>
      </c>
      <c r="Q804" s="45" t="inlineStr">
        <is>
          <t>30/09/2025</t>
        </is>
      </c>
      <c r="R804" s="45" t="inlineStr">
        <is>
          <t>PT2025-00801</t>
        </is>
      </c>
      <c r="S804" s="45" t="inlineStr"/>
    </row>
    <row r="805">
      <c r="A805" s="45" t="inlineStr">
        <is>
          <t>253610643</t>
        </is>
      </c>
      <c r="B805" s="45" t="inlineStr">
        <is>
          <t>CAO HOÀNG ANH</t>
        </is>
      </c>
      <c r="C805" s="45" t="inlineStr">
        <is>
          <t>Khoa học máy tính K66</t>
        </is>
      </c>
      <c r="D805" s="45" t="inlineStr">
        <is>
          <t>Năm 2</t>
        </is>
      </c>
      <c r="E805" s="45" t="inlineStr">
        <is>
          <t>2026_2027</t>
        </is>
      </c>
      <c r="F805" s="45" t="n">
        <v>4</v>
      </c>
      <c r="G805" s="46">
        <f>VLOOKUP(D805,'Cấu Hình Học Phí'!$A$8:$B$11,2,FALSE)</f>
        <v/>
      </c>
      <c r="H805" s="46">
        <f>F805*G805</f>
        <v/>
      </c>
      <c r="I805" s="45" t="n">
        <v>0</v>
      </c>
      <c r="J805" s="46">
        <f>I805*'Cấu Hình Học Phí'!$B$5</f>
        <v/>
      </c>
      <c r="K805" s="46" t="n">
        <v>0</v>
      </c>
      <c r="L805" s="46">
        <f>H805+J805-K805</f>
        <v/>
      </c>
      <c r="M805" s="46" t="n">
        <v>2420000</v>
      </c>
      <c r="N805" s="46" t="n">
        <v>0</v>
      </c>
      <c r="O805" s="46">
        <f>MAX(0,M805-N805-L805)</f>
        <v/>
      </c>
      <c r="P805" s="46">
        <f>MAX(0,L805-(M805-N805))</f>
        <v/>
      </c>
      <c r="Q805" s="45" t="inlineStr">
        <is>
          <t>30/09/2026</t>
        </is>
      </c>
      <c r="R805" s="45" t="inlineStr">
        <is>
          <t>PT2026-00802</t>
        </is>
      </c>
      <c r="S805" s="45" t="inlineStr"/>
    </row>
    <row r="806">
      <c r="A806" s="45" t="inlineStr">
        <is>
          <t>253610643</t>
        </is>
      </c>
      <c r="B806" s="45" t="inlineStr">
        <is>
          <t>CAO HOÀNG ANH</t>
        </is>
      </c>
      <c r="C806" s="45" t="inlineStr">
        <is>
          <t>Khoa học máy tính K66</t>
        </is>
      </c>
      <c r="D806" s="45" t="inlineStr">
        <is>
          <t>Năm 3</t>
        </is>
      </c>
      <c r="E806" s="45" t="inlineStr">
        <is>
          <t>2027_2028</t>
        </is>
      </c>
      <c r="F806" s="45" t="n">
        <v>4</v>
      </c>
      <c r="G806" s="46">
        <f>VLOOKUP(D806,'Cấu Hình Học Phí'!$A$8:$B$11,2,FALSE)</f>
        <v/>
      </c>
      <c r="H806" s="46">
        <f>F806*G806</f>
        <v/>
      </c>
      <c r="I806" s="45" t="n">
        <v>0</v>
      </c>
      <c r="J806" s="46">
        <f>I806*'Cấu Hình Học Phí'!$B$5</f>
        <v/>
      </c>
      <c r="K806" s="46" t="n">
        <v>0</v>
      </c>
      <c r="L806" s="46">
        <f>H806+J806-K806</f>
        <v/>
      </c>
      <c r="M806" s="46" t="n">
        <v>2662000</v>
      </c>
      <c r="N806" s="46" t="n">
        <v>0</v>
      </c>
      <c r="O806" s="46">
        <f>MAX(0,M806-N806-L806)</f>
        <v/>
      </c>
      <c r="P806" s="46">
        <f>MAX(0,L806-(M806-N806))</f>
        <v/>
      </c>
      <c r="Q806" s="45" t="inlineStr">
        <is>
          <t>30/09/2027</t>
        </is>
      </c>
      <c r="R806" s="45" t="inlineStr">
        <is>
          <t>PT2027-00803</t>
        </is>
      </c>
      <c r="S806" s="45" t="inlineStr"/>
    </row>
    <row r="807">
      <c r="A807" s="45" t="inlineStr">
        <is>
          <t>253610643</t>
        </is>
      </c>
      <c r="B807" s="45" t="inlineStr">
        <is>
          <t>CAO HOÀNG ANH</t>
        </is>
      </c>
      <c r="C807" s="45" t="inlineStr">
        <is>
          <t>Khoa học máy tính K66</t>
        </is>
      </c>
      <c r="D807" s="45" t="inlineStr">
        <is>
          <t>Năm 4</t>
        </is>
      </c>
      <c r="E807" s="45" t="inlineStr">
        <is>
          <t>2028_2029</t>
        </is>
      </c>
      <c r="F807" s="45" t="n">
        <v>1</v>
      </c>
      <c r="G807" s="46">
        <f>VLOOKUP(D807,'Cấu Hình Học Phí'!$A$8:$B$11,2,FALSE)</f>
        <v/>
      </c>
      <c r="H807" s="46">
        <f>F807*G807</f>
        <v/>
      </c>
      <c r="I807" s="45" t="n">
        <v>0</v>
      </c>
      <c r="J807" s="46">
        <f>I807*'Cấu Hình Học Phí'!$B$5</f>
        <v/>
      </c>
      <c r="K807" s="46" t="n">
        <v>0</v>
      </c>
      <c r="L807" s="46">
        <f>H807+J807-K807</f>
        <v/>
      </c>
      <c r="M807" s="46" t="n">
        <v>732050</v>
      </c>
      <c r="N807" s="46" t="n">
        <v>0</v>
      </c>
      <c r="O807" s="46">
        <f>MAX(0,M807-N807-L807)</f>
        <v/>
      </c>
      <c r="P807" s="46">
        <f>MAX(0,L807-(M807-N807))</f>
        <v/>
      </c>
      <c r="Q807" s="45" t="inlineStr">
        <is>
          <t>30/09/2028</t>
        </is>
      </c>
      <c r="R807" s="45" t="inlineStr">
        <is>
          <t>PT2028-00804</t>
        </is>
      </c>
      <c r="S807" s="45" t="inlineStr"/>
    </row>
    <row r="808">
      <c r="A808" s="45" t="inlineStr">
        <is>
          <t>253610644</t>
        </is>
      </c>
      <c r="B808" s="45" t="inlineStr">
        <is>
          <t>MAI NGỌC HÙNG ANH</t>
        </is>
      </c>
      <c r="C808" s="45" t="inlineStr">
        <is>
          <t>Khoa học máy tính K66</t>
        </is>
      </c>
      <c r="D808" s="45" t="inlineStr">
        <is>
          <t>Năm 1</t>
        </is>
      </c>
      <c r="E808" s="45" t="inlineStr">
        <is>
          <t>2025_2026</t>
        </is>
      </c>
      <c r="F808" s="45" t="n">
        <v>4</v>
      </c>
      <c r="G808" s="46">
        <f>VLOOKUP(D808,'Cấu Hình Học Phí'!$A$8:$B$11,2,FALSE)</f>
        <v/>
      </c>
      <c r="H808" s="46">
        <f>F808*G808</f>
        <v/>
      </c>
      <c r="I808" s="45" t="n">
        <v>1</v>
      </c>
      <c r="J808" s="46">
        <f>I808*'Cấu Hình Học Phí'!$B$5</f>
        <v/>
      </c>
      <c r="K808" s="46" t="n">
        <v>0</v>
      </c>
      <c r="L808" s="46">
        <f>H808+J808-K808</f>
        <v/>
      </c>
      <c r="M808" s="46" t="n">
        <v>3200000</v>
      </c>
      <c r="N808" s="46" t="n">
        <v>0</v>
      </c>
      <c r="O808" s="46">
        <f>MAX(0,M808-N808-L808)</f>
        <v/>
      </c>
      <c r="P808" s="46">
        <f>MAX(0,L808-(M808-N808))</f>
        <v/>
      </c>
      <c r="Q808" s="45" t="inlineStr">
        <is>
          <t>30/09/2025</t>
        </is>
      </c>
      <c r="R808" s="45" t="inlineStr">
        <is>
          <t>PT2025-00805</t>
        </is>
      </c>
      <c r="S808" s="45" t="inlineStr"/>
    </row>
    <row r="809">
      <c r="A809" s="45" t="inlineStr">
        <is>
          <t>253610644</t>
        </is>
      </c>
      <c r="B809" s="45" t="inlineStr">
        <is>
          <t>MAI NGỌC HÙNG ANH</t>
        </is>
      </c>
      <c r="C809" s="45" t="inlineStr">
        <is>
          <t>Khoa học máy tính K66</t>
        </is>
      </c>
      <c r="D809" s="45" t="inlineStr">
        <is>
          <t>Năm 2</t>
        </is>
      </c>
      <c r="E809" s="45" t="inlineStr">
        <is>
          <t>2026_2027</t>
        </is>
      </c>
      <c r="F809" s="45" t="n">
        <v>4</v>
      </c>
      <c r="G809" s="46">
        <f>VLOOKUP(D809,'Cấu Hình Học Phí'!$A$8:$B$11,2,FALSE)</f>
        <v/>
      </c>
      <c r="H809" s="46">
        <f>F809*G809</f>
        <v/>
      </c>
      <c r="I809" s="45" t="n">
        <v>0</v>
      </c>
      <c r="J809" s="46">
        <f>I809*'Cấu Hình Học Phí'!$B$5</f>
        <v/>
      </c>
      <c r="K809" s="46" t="n">
        <v>0</v>
      </c>
      <c r="L809" s="46">
        <f>H809+J809-K809</f>
        <v/>
      </c>
      <c r="M809" s="46" t="n">
        <v>2420000</v>
      </c>
      <c r="N809" s="46" t="n">
        <v>0</v>
      </c>
      <c r="O809" s="46">
        <f>MAX(0,M809-N809-L809)</f>
        <v/>
      </c>
      <c r="P809" s="46">
        <f>MAX(0,L809-(M809-N809))</f>
        <v/>
      </c>
      <c r="Q809" s="45" t="inlineStr">
        <is>
          <t>30/09/2026</t>
        </is>
      </c>
      <c r="R809" s="45" t="inlineStr">
        <is>
          <t>PT2026-00806</t>
        </is>
      </c>
      <c r="S809" s="45" t="inlineStr"/>
    </row>
    <row r="810">
      <c r="A810" s="45" t="inlineStr">
        <is>
          <t>253610644</t>
        </is>
      </c>
      <c r="B810" s="45" t="inlineStr">
        <is>
          <t>MAI NGỌC HÙNG ANH</t>
        </is>
      </c>
      <c r="C810" s="45" t="inlineStr">
        <is>
          <t>Khoa học máy tính K66</t>
        </is>
      </c>
      <c r="D810" s="45" t="inlineStr">
        <is>
          <t>Năm 3</t>
        </is>
      </c>
      <c r="E810" s="45" t="inlineStr">
        <is>
          <t>2027_2028</t>
        </is>
      </c>
      <c r="F810" s="45" t="n">
        <v>4</v>
      </c>
      <c r="G810" s="46">
        <f>VLOOKUP(D810,'Cấu Hình Học Phí'!$A$8:$B$11,2,FALSE)</f>
        <v/>
      </c>
      <c r="H810" s="46">
        <f>F810*G810</f>
        <v/>
      </c>
      <c r="I810" s="45" t="n">
        <v>1</v>
      </c>
      <c r="J810" s="46">
        <f>I810*'Cấu Hình Học Phí'!$B$5</f>
        <v/>
      </c>
      <c r="K810" s="46" t="n">
        <v>0</v>
      </c>
      <c r="L810" s="46">
        <f>H810+J810-K810</f>
        <v/>
      </c>
      <c r="M810" s="46" t="n">
        <v>3662000</v>
      </c>
      <c r="N810" s="46" t="n">
        <v>0</v>
      </c>
      <c r="O810" s="46">
        <f>MAX(0,M810-N810-L810)</f>
        <v/>
      </c>
      <c r="P810" s="46">
        <f>MAX(0,L810-(M810-N810))</f>
        <v/>
      </c>
      <c r="Q810" s="45" t="inlineStr">
        <is>
          <t>30/09/2027</t>
        </is>
      </c>
      <c r="R810" s="45" t="inlineStr">
        <is>
          <t>PT2027-00807</t>
        </is>
      </c>
      <c r="S810" s="45" t="inlineStr"/>
    </row>
    <row r="811">
      <c r="A811" s="45" t="inlineStr">
        <is>
          <t>253610644</t>
        </is>
      </c>
      <c r="B811" s="45" t="inlineStr">
        <is>
          <t>MAI NGỌC HÙNG ANH</t>
        </is>
      </c>
      <c r="C811" s="45" t="inlineStr">
        <is>
          <t>Khoa học máy tính K66</t>
        </is>
      </c>
      <c r="D811" s="45" t="inlineStr">
        <is>
          <t>Năm 4</t>
        </is>
      </c>
      <c r="E811" s="45" t="inlineStr">
        <is>
          <t>2028_2029</t>
        </is>
      </c>
      <c r="F811" s="45" t="n">
        <v>1</v>
      </c>
      <c r="G811" s="46">
        <f>VLOOKUP(D811,'Cấu Hình Học Phí'!$A$8:$B$11,2,FALSE)</f>
        <v/>
      </c>
      <c r="H811" s="46">
        <f>F811*G811</f>
        <v/>
      </c>
      <c r="I811" s="45" t="n">
        <v>0</v>
      </c>
      <c r="J811" s="46">
        <f>I811*'Cấu Hình Học Phí'!$B$5</f>
        <v/>
      </c>
      <c r="K811" s="46" t="n">
        <v>0</v>
      </c>
      <c r="L811" s="46">
        <f>H811+J811-K811</f>
        <v/>
      </c>
      <c r="M811" s="46" t="n">
        <v>732050</v>
      </c>
      <c r="N811" s="46" t="n">
        <v>0</v>
      </c>
      <c r="O811" s="46">
        <f>MAX(0,M811-N811-L811)</f>
        <v/>
      </c>
      <c r="P811" s="46">
        <f>MAX(0,L811-(M811-N811))</f>
        <v/>
      </c>
      <c r="Q811" s="45" t="inlineStr">
        <is>
          <t>30/09/2028</t>
        </is>
      </c>
      <c r="R811" s="45" t="inlineStr">
        <is>
          <t>PT2028-00808</t>
        </is>
      </c>
      <c r="S811" s="45" t="inlineStr"/>
    </row>
    <row r="812">
      <c r="A812" s="45" t="inlineStr">
        <is>
          <t>253630646</t>
        </is>
      </c>
      <c r="B812" s="45" t="inlineStr">
        <is>
          <t>NGUYỄN VIỆT ANH</t>
        </is>
      </c>
      <c r="C812" s="45" t="inlineStr">
        <is>
          <t>Khoa học máy tính K66</t>
        </is>
      </c>
      <c r="D812" s="45" t="inlineStr">
        <is>
          <t>Năm 1</t>
        </is>
      </c>
      <c r="E812" s="45" t="inlineStr">
        <is>
          <t>2025_2026</t>
        </is>
      </c>
      <c r="F812" s="45" t="n">
        <v>4</v>
      </c>
      <c r="G812" s="46">
        <f>VLOOKUP(D812,'Cấu Hình Học Phí'!$A$8:$B$11,2,FALSE)</f>
        <v/>
      </c>
      <c r="H812" s="46">
        <f>F812*G812</f>
        <v/>
      </c>
      <c r="I812" s="45" t="n">
        <v>1</v>
      </c>
      <c r="J812" s="46">
        <f>I812*'Cấu Hình Học Phí'!$B$5</f>
        <v/>
      </c>
      <c r="K812" s="46" t="n">
        <v>0</v>
      </c>
      <c r="L812" s="46">
        <f>H812+J812-K812</f>
        <v/>
      </c>
      <c r="M812" s="46" t="n">
        <v>3200000</v>
      </c>
      <c r="N812" s="46" t="n">
        <v>0</v>
      </c>
      <c r="O812" s="46">
        <f>MAX(0,M812-N812-L812)</f>
        <v/>
      </c>
      <c r="P812" s="46">
        <f>MAX(0,L812-(M812-N812))</f>
        <v/>
      </c>
      <c r="Q812" s="45" t="inlineStr">
        <is>
          <t>30/09/2025</t>
        </is>
      </c>
      <c r="R812" s="45" t="inlineStr">
        <is>
          <t>PT2025-00809</t>
        </is>
      </c>
      <c r="S812" s="45" t="inlineStr"/>
    </row>
    <row r="813">
      <c r="A813" s="45" t="inlineStr">
        <is>
          <t>253630646</t>
        </is>
      </c>
      <c r="B813" s="45" t="inlineStr">
        <is>
          <t>NGUYỄN VIỆT ANH</t>
        </is>
      </c>
      <c r="C813" s="45" t="inlineStr">
        <is>
          <t>Khoa học máy tính K66</t>
        </is>
      </c>
      <c r="D813" s="45" t="inlineStr">
        <is>
          <t>Năm 2</t>
        </is>
      </c>
      <c r="E813" s="45" t="inlineStr">
        <is>
          <t>2026_2027</t>
        </is>
      </c>
      <c r="F813" s="45" t="n">
        <v>4</v>
      </c>
      <c r="G813" s="46">
        <f>VLOOKUP(D813,'Cấu Hình Học Phí'!$A$8:$B$11,2,FALSE)</f>
        <v/>
      </c>
      <c r="H813" s="46">
        <f>F813*G813</f>
        <v/>
      </c>
      <c r="I813" s="45" t="n">
        <v>1</v>
      </c>
      <c r="J813" s="46">
        <f>I813*'Cấu Hình Học Phí'!$B$5</f>
        <v/>
      </c>
      <c r="K813" s="46" t="n">
        <v>0</v>
      </c>
      <c r="L813" s="46">
        <f>H813+J813-K813</f>
        <v/>
      </c>
      <c r="M813" s="46" t="n">
        <v>3420000</v>
      </c>
      <c r="N813" s="46" t="n">
        <v>0</v>
      </c>
      <c r="O813" s="46">
        <f>MAX(0,M813-N813-L813)</f>
        <v/>
      </c>
      <c r="P813" s="46">
        <f>MAX(0,L813-(M813-N813))</f>
        <v/>
      </c>
      <c r="Q813" s="45" t="inlineStr">
        <is>
          <t>30/09/2026</t>
        </is>
      </c>
      <c r="R813" s="45" t="inlineStr">
        <is>
          <t>PT2026-00810</t>
        </is>
      </c>
      <c r="S813" s="45" t="inlineStr"/>
    </row>
    <row r="814">
      <c r="A814" s="45" t="inlineStr">
        <is>
          <t>253630646</t>
        </is>
      </c>
      <c r="B814" s="45" t="inlineStr">
        <is>
          <t>NGUYỄN VIỆT ANH</t>
        </is>
      </c>
      <c r="C814" s="45" t="inlineStr">
        <is>
          <t>Khoa học máy tính K66</t>
        </is>
      </c>
      <c r="D814" s="45" t="inlineStr">
        <is>
          <t>Năm 3</t>
        </is>
      </c>
      <c r="E814" s="45" t="inlineStr">
        <is>
          <t>2027_2028</t>
        </is>
      </c>
      <c r="F814" s="45" t="n">
        <v>4</v>
      </c>
      <c r="G814" s="46">
        <f>VLOOKUP(D814,'Cấu Hình Học Phí'!$A$8:$B$11,2,FALSE)</f>
        <v/>
      </c>
      <c r="H814" s="46">
        <f>F814*G814</f>
        <v/>
      </c>
      <c r="I814" s="45" t="n">
        <v>0</v>
      </c>
      <c r="J814" s="46">
        <f>I814*'Cấu Hình Học Phí'!$B$5</f>
        <v/>
      </c>
      <c r="K814" s="46" t="n">
        <v>0</v>
      </c>
      <c r="L814" s="46">
        <f>H814+J814-K814</f>
        <v/>
      </c>
      <c r="M814" s="46" t="n">
        <v>2662000</v>
      </c>
      <c r="N814" s="46" t="n">
        <v>0</v>
      </c>
      <c r="O814" s="46">
        <f>MAX(0,M814-N814-L814)</f>
        <v/>
      </c>
      <c r="P814" s="46">
        <f>MAX(0,L814-(M814-N814))</f>
        <v/>
      </c>
      <c r="Q814" s="45" t="inlineStr">
        <is>
          <t>30/09/2027</t>
        </is>
      </c>
      <c r="R814" s="45" t="inlineStr">
        <is>
          <t>PT2027-00811</t>
        </is>
      </c>
      <c r="S814" s="45" t="inlineStr"/>
    </row>
    <row r="815">
      <c r="A815" s="45" t="inlineStr">
        <is>
          <t>253630646</t>
        </is>
      </c>
      <c r="B815" s="45" t="inlineStr">
        <is>
          <t>NGUYỄN VIỆT ANH</t>
        </is>
      </c>
      <c r="C815" s="45" t="inlineStr">
        <is>
          <t>Khoa học máy tính K66</t>
        </is>
      </c>
      <c r="D815" s="45" t="inlineStr">
        <is>
          <t>Năm 4</t>
        </is>
      </c>
      <c r="E815" s="45" t="inlineStr">
        <is>
          <t>2028_2029</t>
        </is>
      </c>
      <c r="F815" s="45" t="n">
        <v>1</v>
      </c>
      <c r="G815" s="46">
        <f>VLOOKUP(D815,'Cấu Hình Học Phí'!$A$8:$B$11,2,FALSE)</f>
        <v/>
      </c>
      <c r="H815" s="46">
        <f>F815*G815</f>
        <v/>
      </c>
      <c r="I815" s="45" t="n">
        <v>0</v>
      </c>
      <c r="J815" s="46">
        <f>I815*'Cấu Hình Học Phí'!$B$5</f>
        <v/>
      </c>
      <c r="K815" s="46" t="n">
        <v>0</v>
      </c>
      <c r="L815" s="46">
        <f>H815+J815-K815</f>
        <v/>
      </c>
      <c r="M815" s="46" t="n">
        <v>732050</v>
      </c>
      <c r="N815" s="46" t="n">
        <v>0</v>
      </c>
      <c r="O815" s="46">
        <f>MAX(0,M815-N815-L815)</f>
        <v/>
      </c>
      <c r="P815" s="46">
        <f>MAX(0,L815-(M815-N815))</f>
        <v/>
      </c>
      <c r="Q815" s="45" t="inlineStr">
        <is>
          <t>30/09/2028</t>
        </is>
      </c>
      <c r="R815" s="45" t="inlineStr">
        <is>
          <t>PT2028-00812</t>
        </is>
      </c>
      <c r="S815" s="45" t="inlineStr"/>
    </row>
    <row r="816">
      <c r="A816" s="45" t="inlineStr">
        <is>
          <t>253610647</t>
        </is>
      </c>
      <c r="B816" s="45" t="inlineStr">
        <is>
          <t>TĂNG XUÂN ANH</t>
        </is>
      </c>
      <c r="C816" s="45" t="inlineStr">
        <is>
          <t>Khoa học máy tính K66</t>
        </is>
      </c>
      <c r="D816" s="45" t="inlineStr">
        <is>
          <t>Năm 1</t>
        </is>
      </c>
      <c r="E816" s="45" t="inlineStr">
        <is>
          <t>2025_2026</t>
        </is>
      </c>
      <c r="F816" s="45" t="n">
        <v>4</v>
      </c>
      <c r="G816" s="46">
        <f>VLOOKUP(D816,'Cấu Hình Học Phí'!$A$8:$B$11,2,FALSE)</f>
        <v/>
      </c>
      <c r="H816" s="46">
        <f>F816*G816</f>
        <v/>
      </c>
      <c r="I816" s="45" t="n">
        <v>2</v>
      </c>
      <c r="J816" s="46">
        <f>I816*'Cấu Hình Học Phí'!$B$5</f>
        <v/>
      </c>
      <c r="K816" s="46" t="n">
        <v>0</v>
      </c>
      <c r="L816" s="46">
        <f>H816+J816-K816</f>
        <v/>
      </c>
      <c r="M816" s="46" t="n">
        <v>3200000</v>
      </c>
      <c r="N816" s="46" t="n">
        <v>0</v>
      </c>
      <c r="O816" s="46">
        <f>MAX(0,M816-N816-L816)</f>
        <v/>
      </c>
      <c r="P816" s="46">
        <f>MAX(0,L816-(M816-N816))</f>
        <v/>
      </c>
      <c r="Q816" s="45" t="inlineStr">
        <is>
          <t>30/09/2025</t>
        </is>
      </c>
      <c r="R816" s="45" t="inlineStr">
        <is>
          <t>PT2025-00813</t>
        </is>
      </c>
      <c r="S816" s="45" t="inlineStr">
        <is>
          <t>Chưa nộp phí phụ đạo 1 môn</t>
        </is>
      </c>
    </row>
    <row r="817">
      <c r="A817" s="45" t="inlineStr">
        <is>
          <t>253610647</t>
        </is>
      </c>
      <c r="B817" s="45" t="inlineStr">
        <is>
          <t>TĂNG XUÂN ANH</t>
        </is>
      </c>
      <c r="C817" s="45" t="inlineStr">
        <is>
          <t>Khoa học máy tính K66</t>
        </is>
      </c>
      <c r="D817" s="45" t="inlineStr">
        <is>
          <t>Năm 2</t>
        </is>
      </c>
      <c r="E817" s="45" t="inlineStr">
        <is>
          <t>2026_2027</t>
        </is>
      </c>
      <c r="F817" s="45" t="n">
        <v>4</v>
      </c>
      <c r="G817" s="46">
        <f>VLOOKUP(D817,'Cấu Hình Học Phí'!$A$8:$B$11,2,FALSE)</f>
        <v/>
      </c>
      <c r="H817" s="46">
        <f>F817*G817</f>
        <v/>
      </c>
      <c r="I817" s="45" t="n">
        <v>0</v>
      </c>
      <c r="J817" s="46">
        <f>I817*'Cấu Hình Học Phí'!$B$5</f>
        <v/>
      </c>
      <c r="K817" s="46" t="n">
        <v>0</v>
      </c>
      <c r="L817" s="46">
        <f>H817+J817-K817</f>
        <v/>
      </c>
      <c r="M817" s="46" t="n">
        <v>2420000</v>
      </c>
      <c r="N817" s="46" t="n">
        <v>0</v>
      </c>
      <c r="O817" s="46">
        <f>MAX(0,M817-N817-L817)</f>
        <v/>
      </c>
      <c r="P817" s="46">
        <f>MAX(0,L817-(M817-N817))</f>
        <v/>
      </c>
      <c r="Q817" s="45" t="inlineStr">
        <is>
          <t>30/09/2026</t>
        </is>
      </c>
      <c r="R817" s="45" t="inlineStr">
        <is>
          <t>PT2026-00814</t>
        </is>
      </c>
      <c r="S817" s="45" t="inlineStr"/>
    </row>
    <row r="818">
      <c r="A818" s="45" t="inlineStr">
        <is>
          <t>253610647</t>
        </is>
      </c>
      <c r="B818" s="45" t="inlineStr">
        <is>
          <t>TĂNG XUÂN ANH</t>
        </is>
      </c>
      <c r="C818" s="45" t="inlineStr">
        <is>
          <t>Khoa học máy tính K66</t>
        </is>
      </c>
      <c r="D818" s="45" t="inlineStr">
        <is>
          <t>Năm 3</t>
        </is>
      </c>
      <c r="E818" s="45" t="inlineStr">
        <is>
          <t>2027_2028</t>
        </is>
      </c>
      <c r="F818" s="45" t="n">
        <v>4</v>
      </c>
      <c r="G818" s="46">
        <f>VLOOKUP(D818,'Cấu Hình Học Phí'!$A$8:$B$11,2,FALSE)</f>
        <v/>
      </c>
      <c r="H818" s="46">
        <f>F818*G818</f>
        <v/>
      </c>
      <c r="I818" s="45" t="n">
        <v>0</v>
      </c>
      <c r="J818" s="46">
        <f>I818*'Cấu Hình Học Phí'!$B$5</f>
        <v/>
      </c>
      <c r="K818" s="46" t="n">
        <v>0</v>
      </c>
      <c r="L818" s="46">
        <f>H818+J818-K818</f>
        <v/>
      </c>
      <c r="M818" s="46" t="n">
        <v>2662000</v>
      </c>
      <c r="N818" s="46" t="n">
        <v>0</v>
      </c>
      <c r="O818" s="46">
        <f>MAX(0,M818-N818-L818)</f>
        <v/>
      </c>
      <c r="P818" s="46">
        <f>MAX(0,L818-(M818-N818))</f>
        <v/>
      </c>
      <c r="Q818" s="45" t="inlineStr">
        <is>
          <t>30/09/2027</t>
        </is>
      </c>
      <c r="R818" s="45" t="inlineStr">
        <is>
          <t>PT2027-00815</t>
        </is>
      </c>
      <c r="S818" s="45" t="inlineStr"/>
    </row>
    <row r="819">
      <c r="A819" s="45" t="inlineStr">
        <is>
          <t>253610647</t>
        </is>
      </c>
      <c r="B819" s="45" t="inlineStr">
        <is>
          <t>TĂNG XUÂN ANH</t>
        </is>
      </c>
      <c r="C819" s="45" t="inlineStr">
        <is>
          <t>Khoa học máy tính K66</t>
        </is>
      </c>
      <c r="D819" s="45" t="inlineStr">
        <is>
          <t>Năm 4</t>
        </is>
      </c>
      <c r="E819" s="45" t="inlineStr">
        <is>
          <t>2028_2029</t>
        </is>
      </c>
      <c r="F819" s="45" t="n">
        <v>1</v>
      </c>
      <c r="G819" s="46">
        <f>VLOOKUP(D819,'Cấu Hình Học Phí'!$A$8:$B$11,2,FALSE)</f>
        <v/>
      </c>
      <c r="H819" s="46">
        <f>F819*G819</f>
        <v/>
      </c>
      <c r="I819" s="45" t="n">
        <v>0</v>
      </c>
      <c r="J819" s="46">
        <f>I819*'Cấu Hình Học Phí'!$B$5</f>
        <v/>
      </c>
      <c r="K819" s="46" t="n">
        <v>0</v>
      </c>
      <c r="L819" s="46">
        <f>H819+J819-K819</f>
        <v/>
      </c>
      <c r="M819" s="46" t="n">
        <v>732050</v>
      </c>
      <c r="N819" s="46" t="n">
        <v>0</v>
      </c>
      <c r="O819" s="46">
        <f>MAX(0,M819-N819-L819)</f>
        <v/>
      </c>
      <c r="P819" s="46">
        <f>MAX(0,L819-(M819-N819))</f>
        <v/>
      </c>
      <c r="Q819" s="45" t="inlineStr">
        <is>
          <t>30/09/2028</t>
        </is>
      </c>
      <c r="R819" s="45" t="inlineStr">
        <is>
          <t>PT2028-00816</t>
        </is>
      </c>
      <c r="S819" s="45" t="inlineStr"/>
    </row>
    <row r="820">
      <c r="A820" s="45" t="inlineStr">
        <is>
          <t>253610648</t>
        </is>
      </c>
      <c r="B820" s="45" t="inlineStr">
        <is>
          <t>VŨ MAI ANH</t>
        </is>
      </c>
      <c r="C820" s="45" t="inlineStr">
        <is>
          <t>Khoa học máy tính K66</t>
        </is>
      </c>
      <c r="D820" s="45" t="inlineStr">
        <is>
          <t>Năm 1</t>
        </is>
      </c>
      <c r="E820" s="45" t="inlineStr">
        <is>
          <t>2025_2026</t>
        </is>
      </c>
      <c r="F820" s="45" t="n">
        <v>4</v>
      </c>
      <c r="G820" s="46">
        <f>VLOOKUP(D820,'Cấu Hình Học Phí'!$A$8:$B$11,2,FALSE)</f>
        <v/>
      </c>
      <c r="H820" s="46">
        <f>F820*G820</f>
        <v/>
      </c>
      <c r="I820" s="45" t="n">
        <v>1</v>
      </c>
      <c r="J820" s="46">
        <f>I820*'Cấu Hình Học Phí'!$B$5</f>
        <v/>
      </c>
      <c r="K820" s="46" t="n">
        <v>0</v>
      </c>
      <c r="L820" s="46">
        <f>H820+J820-K820</f>
        <v/>
      </c>
      <c r="M820" s="46" t="n">
        <v>2200000</v>
      </c>
      <c r="N820" s="46" t="n">
        <v>0</v>
      </c>
      <c r="O820" s="46">
        <f>MAX(0,M820-N820-L820)</f>
        <v/>
      </c>
      <c r="P820" s="46">
        <f>MAX(0,L820-(M820-N820))</f>
        <v/>
      </c>
      <c r="Q820" s="45" t="inlineStr">
        <is>
          <t>30/09/2025</t>
        </is>
      </c>
      <c r="R820" s="45" t="inlineStr">
        <is>
          <t>PT2025-00817</t>
        </is>
      </c>
      <c r="S820" s="45" t="inlineStr">
        <is>
          <t>Chưa nộp phí phụ đạo 1 môn</t>
        </is>
      </c>
    </row>
    <row r="821">
      <c r="A821" s="45" t="inlineStr">
        <is>
          <t>253610648</t>
        </is>
      </c>
      <c r="B821" s="45" t="inlineStr">
        <is>
          <t>VŨ MAI ANH</t>
        </is>
      </c>
      <c r="C821" s="45" t="inlineStr">
        <is>
          <t>Khoa học máy tính K66</t>
        </is>
      </c>
      <c r="D821" s="45" t="inlineStr">
        <is>
          <t>Năm 2</t>
        </is>
      </c>
      <c r="E821" s="45" t="inlineStr">
        <is>
          <t>2026_2027</t>
        </is>
      </c>
      <c r="F821" s="45" t="n">
        <v>4</v>
      </c>
      <c r="G821" s="46">
        <f>VLOOKUP(D821,'Cấu Hình Học Phí'!$A$8:$B$11,2,FALSE)</f>
        <v/>
      </c>
      <c r="H821" s="46">
        <f>F821*G821</f>
        <v/>
      </c>
      <c r="I821" s="45" t="n">
        <v>0</v>
      </c>
      <c r="J821" s="46">
        <f>I821*'Cấu Hình Học Phí'!$B$5</f>
        <v/>
      </c>
      <c r="K821" s="46" t="n">
        <v>0</v>
      </c>
      <c r="L821" s="46">
        <f>H821+J821-K821</f>
        <v/>
      </c>
      <c r="M821" s="46" t="n">
        <v>2420000</v>
      </c>
      <c r="N821" s="46" t="n">
        <v>0</v>
      </c>
      <c r="O821" s="46">
        <f>MAX(0,M821-N821-L821)</f>
        <v/>
      </c>
      <c r="P821" s="46">
        <f>MAX(0,L821-(M821-N821))</f>
        <v/>
      </c>
      <c r="Q821" s="45" t="inlineStr">
        <is>
          <t>30/09/2026</t>
        </is>
      </c>
      <c r="R821" s="45" t="inlineStr">
        <is>
          <t>PT2026-00818</t>
        </is>
      </c>
      <c r="S821" s="45" t="inlineStr"/>
    </row>
    <row r="822">
      <c r="A822" s="45" t="inlineStr">
        <is>
          <t>253610648</t>
        </is>
      </c>
      <c r="B822" s="45" t="inlineStr">
        <is>
          <t>VŨ MAI ANH</t>
        </is>
      </c>
      <c r="C822" s="45" t="inlineStr">
        <is>
          <t>Khoa học máy tính K66</t>
        </is>
      </c>
      <c r="D822" s="45" t="inlineStr">
        <is>
          <t>Năm 3</t>
        </is>
      </c>
      <c r="E822" s="45" t="inlineStr">
        <is>
          <t>2027_2028</t>
        </is>
      </c>
      <c r="F822" s="45" t="n">
        <v>4</v>
      </c>
      <c r="G822" s="46">
        <f>VLOOKUP(D822,'Cấu Hình Học Phí'!$A$8:$B$11,2,FALSE)</f>
        <v/>
      </c>
      <c r="H822" s="46">
        <f>F822*G822</f>
        <v/>
      </c>
      <c r="I822" s="45" t="n">
        <v>0</v>
      </c>
      <c r="J822" s="46">
        <f>I822*'Cấu Hình Học Phí'!$B$5</f>
        <v/>
      </c>
      <c r="K822" s="46" t="n">
        <v>0</v>
      </c>
      <c r="L822" s="46">
        <f>H822+J822-K822</f>
        <v/>
      </c>
      <c r="M822" s="46" t="n">
        <v>2662000</v>
      </c>
      <c r="N822" s="46" t="n">
        <v>0</v>
      </c>
      <c r="O822" s="46">
        <f>MAX(0,M822-N822-L822)</f>
        <v/>
      </c>
      <c r="P822" s="46">
        <f>MAX(0,L822-(M822-N822))</f>
        <v/>
      </c>
      <c r="Q822" s="45" t="inlineStr">
        <is>
          <t>30/09/2027</t>
        </is>
      </c>
      <c r="R822" s="45" t="inlineStr">
        <is>
          <t>PT2027-00819</t>
        </is>
      </c>
      <c r="S822" s="45" t="inlineStr"/>
    </row>
    <row r="823">
      <c r="A823" s="45" t="inlineStr">
        <is>
          <t>253610648</t>
        </is>
      </c>
      <c r="B823" s="45" t="inlineStr">
        <is>
          <t>VŨ MAI ANH</t>
        </is>
      </c>
      <c r="C823" s="45" t="inlineStr">
        <is>
          <t>Khoa học máy tính K66</t>
        </is>
      </c>
      <c r="D823" s="45" t="inlineStr">
        <is>
          <t>Năm 4</t>
        </is>
      </c>
      <c r="E823" s="45" t="inlineStr">
        <is>
          <t>2028_2029</t>
        </is>
      </c>
      <c r="F823" s="45" t="n">
        <v>1</v>
      </c>
      <c r="G823" s="46">
        <f>VLOOKUP(D823,'Cấu Hình Học Phí'!$A$8:$B$11,2,FALSE)</f>
        <v/>
      </c>
      <c r="H823" s="46">
        <f>F823*G823</f>
        <v/>
      </c>
      <c r="I823" s="45" t="n">
        <v>0</v>
      </c>
      <c r="J823" s="46">
        <f>I823*'Cấu Hình Học Phí'!$B$5</f>
        <v/>
      </c>
      <c r="K823" s="46" t="n">
        <v>0</v>
      </c>
      <c r="L823" s="46">
        <f>H823+J823-K823</f>
        <v/>
      </c>
      <c r="M823" s="46" t="n">
        <v>732050</v>
      </c>
      <c r="N823" s="46" t="n">
        <v>0</v>
      </c>
      <c r="O823" s="46">
        <f>MAX(0,M823-N823-L823)</f>
        <v/>
      </c>
      <c r="P823" s="46">
        <f>MAX(0,L823-(M823-N823))</f>
        <v/>
      </c>
      <c r="Q823" s="45" t="inlineStr">
        <is>
          <t>30/09/2028</t>
        </is>
      </c>
      <c r="R823" s="45" t="inlineStr">
        <is>
          <t>PT2028-00820</t>
        </is>
      </c>
      <c r="S823" s="45" t="inlineStr"/>
    </row>
    <row r="824">
      <c r="A824" s="45" t="inlineStr">
        <is>
          <t>253630650</t>
        </is>
      </c>
      <c r="B824" s="45" t="inlineStr">
        <is>
          <t>NGUYỄN LÊ BẢO CHÂU</t>
        </is>
      </c>
      <c r="C824" s="45" t="inlineStr">
        <is>
          <t>Khoa học máy tính K66</t>
        </is>
      </c>
      <c r="D824" s="45" t="inlineStr">
        <is>
          <t>Năm 1</t>
        </is>
      </c>
      <c r="E824" s="45" t="inlineStr">
        <is>
          <t>2025_2026</t>
        </is>
      </c>
      <c r="F824" s="45" t="n">
        <v>4</v>
      </c>
      <c r="G824" s="46">
        <f>VLOOKUP(D824,'Cấu Hình Học Phí'!$A$8:$B$11,2,FALSE)</f>
        <v/>
      </c>
      <c r="H824" s="46">
        <f>F824*G824</f>
        <v/>
      </c>
      <c r="I824" s="45" t="n">
        <v>1</v>
      </c>
      <c r="J824" s="46">
        <f>I824*'Cấu Hình Học Phí'!$B$5</f>
        <v/>
      </c>
      <c r="K824" s="46" t="n">
        <v>0</v>
      </c>
      <c r="L824" s="46">
        <f>H824+J824-K824</f>
        <v/>
      </c>
      <c r="M824" s="46" t="n">
        <v>2200000</v>
      </c>
      <c r="N824" s="46" t="n">
        <v>0</v>
      </c>
      <c r="O824" s="46">
        <f>MAX(0,M824-N824-L824)</f>
        <v/>
      </c>
      <c r="P824" s="46">
        <f>MAX(0,L824-(M824-N824))</f>
        <v/>
      </c>
      <c r="Q824" s="45" t="inlineStr">
        <is>
          <t>30/09/2025</t>
        </is>
      </c>
      <c r="R824" s="45" t="inlineStr">
        <is>
          <t>PT2025-00821</t>
        </is>
      </c>
      <c r="S824" s="45" t="inlineStr">
        <is>
          <t>Chưa nộp phí phụ đạo 1 môn</t>
        </is>
      </c>
    </row>
    <row r="825">
      <c r="A825" s="45" t="inlineStr">
        <is>
          <t>253630650</t>
        </is>
      </c>
      <c r="B825" s="45" t="inlineStr">
        <is>
          <t>NGUYỄN LÊ BẢO CHÂU</t>
        </is>
      </c>
      <c r="C825" s="45" t="inlineStr">
        <is>
          <t>Khoa học máy tính K66</t>
        </is>
      </c>
      <c r="D825" s="45" t="inlineStr">
        <is>
          <t>Năm 2</t>
        </is>
      </c>
      <c r="E825" s="45" t="inlineStr">
        <is>
          <t>2026_2027</t>
        </is>
      </c>
      <c r="F825" s="45" t="n">
        <v>4</v>
      </c>
      <c r="G825" s="46">
        <f>VLOOKUP(D825,'Cấu Hình Học Phí'!$A$8:$B$11,2,FALSE)</f>
        <v/>
      </c>
      <c r="H825" s="46">
        <f>F825*G825</f>
        <v/>
      </c>
      <c r="I825" s="45" t="n">
        <v>0</v>
      </c>
      <c r="J825" s="46">
        <f>I825*'Cấu Hình Học Phí'!$B$5</f>
        <v/>
      </c>
      <c r="K825" s="46" t="n">
        <v>0</v>
      </c>
      <c r="L825" s="46">
        <f>H825+J825-K825</f>
        <v/>
      </c>
      <c r="M825" s="46" t="n">
        <v>2420000</v>
      </c>
      <c r="N825" s="46" t="n">
        <v>0</v>
      </c>
      <c r="O825" s="46">
        <f>MAX(0,M825-N825-L825)</f>
        <v/>
      </c>
      <c r="P825" s="46">
        <f>MAX(0,L825-(M825-N825))</f>
        <v/>
      </c>
      <c r="Q825" s="45" t="inlineStr">
        <is>
          <t>30/09/2026</t>
        </is>
      </c>
      <c r="R825" s="45" t="inlineStr">
        <is>
          <t>PT2026-00822</t>
        </is>
      </c>
      <c r="S825" s="45" t="inlineStr"/>
    </row>
    <row r="826">
      <c r="A826" s="45" t="inlineStr">
        <is>
          <t>253630650</t>
        </is>
      </c>
      <c r="B826" s="45" t="inlineStr">
        <is>
          <t>NGUYỄN LÊ BẢO CHÂU</t>
        </is>
      </c>
      <c r="C826" s="45" t="inlineStr">
        <is>
          <t>Khoa học máy tính K66</t>
        </is>
      </c>
      <c r="D826" s="45" t="inlineStr">
        <is>
          <t>Năm 3</t>
        </is>
      </c>
      <c r="E826" s="45" t="inlineStr">
        <is>
          <t>2027_2028</t>
        </is>
      </c>
      <c r="F826" s="45" t="n">
        <v>4</v>
      </c>
      <c r="G826" s="46">
        <f>VLOOKUP(D826,'Cấu Hình Học Phí'!$A$8:$B$11,2,FALSE)</f>
        <v/>
      </c>
      <c r="H826" s="46">
        <f>F826*G826</f>
        <v/>
      </c>
      <c r="I826" s="45" t="n">
        <v>0</v>
      </c>
      <c r="J826" s="46">
        <f>I826*'Cấu Hình Học Phí'!$B$5</f>
        <v/>
      </c>
      <c r="K826" s="46" t="n">
        <v>0</v>
      </c>
      <c r="L826" s="46">
        <f>H826+J826-K826</f>
        <v/>
      </c>
      <c r="M826" s="46" t="n">
        <v>2662000</v>
      </c>
      <c r="N826" s="46" t="n">
        <v>0</v>
      </c>
      <c r="O826" s="46">
        <f>MAX(0,M826-N826-L826)</f>
        <v/>
      </c>
      <c r="P826" s="46">
        <f>MAX(0,L826-(M826-N826))</f>
        <v/>
      </c>
      <c r="Q826" s="45" t="inlineStr">
        <is>
          <t>30/09/2027</t>
        </is>
      </c>
      <c r="R826" s="45" t="inlineStr">
        <is>
          <t>PT2027-00823</t>
        </is>
      </c>
      <c r="S826" s="45" t="inlineStr"/>
    </row>
    <row r="827">
      <c r="A827" s="45" t="inlineStr">
        <is>
          <t>253630650</t>
        </is>
      </c>
      <c r="B827" s="45" t="inlineStr">
        <is>
          <t>NGUYỄN LÊ BẢO CHÂU</t>
        </is>
      </c>
      <c r="C827" s="45" t="inlineStr">
        <is>
          <t>Khoa học máy tính K66</t>
        </is>
      </c>
      <c r="D827" s="45" t="inlineStr">
        <is>
          <t>Năm 4</t>
        </is>
      </c>
      <c r="E827" s="45" t="inlineStr">
        <is>
          <t>2028_2029</t>
        </is>
      </c>
      <c r="F827" s="45" t="n">
        <v>1</v>
      </c>
      <c r="G827" s="46">
        <f>VLOOKUP(D827,'Cấu Hình Học Phí'!$A$8:$B$11,2,FALSE)</f>
        <v/>
      </c>
      <c r="H827" s="46">
        <f>F827*G827</f>
        <v/>
      </c>
      <c r="I827" s="45" t="n">
        <v>0</v>
      </c>
      <c r="J827" s="46">
        <f>I827*'Cấu Hình Học Phí'!$B$5</f>
        <v/>
      </c>
      <c r="K827" s="46" t="n">
        <v>0</v>
      </c>
      <c r="L827" s="46">
        <f>H827+J827-K827</f>
        <v/>
      </c>
      <c r="M827" s="46" t="n">
        <v>732050</v>
      </c>
      <c r="N827" s="46" t="n">
        <v>0</v>
      </c>
      <c r="O827" s="46">
        <f>MAX(0,M827-N827-L827)</f>
        <v/>
      </c>
      <c r="P827" s="46">
        <f>MAX(0,L827-(M827-N827))</f>
        <v/>
      </c>
      <c r="Q827" s="45" t="inlineStr">
        <is>
          <t>30/09/2028</t>
        </is>
      </c>
      <c r="R827" s="45" t="inlineStr">
        <is>
          <t>PT2028-00824</t>
        </is>
      </c>
      <c r="S827" s="45" t="inlineStr"/>
    </row>
    <row r="828">
      <c r="A828" s="45" t="inlineStr">
        <is>
          <t>253630651</t>
        </is>
      </c>
      <c r="B828" s="45" t="inlineStr">
        <is>
          <t>TRƯƠNG THỊ MINH CHÂU</t>
        </is>
      </c>
      <c r="C828" s="45" t="inlineStr">
        <is>
          <t>Khoa học máy tính K66</t>
        </is>
      </c>
      <c r="D828" s="45" t="inlineStr">
        <is>
          <t>Năm 1</t>
        </is>
      </c>
      <c r="E828" s="45" t="inlineStr">
        <is>
          <t>2025_2026</t>
        </is>
      </c>
      <c r="F828" s="45" t="n">
        <v>4</v>
      </c>
      <c r="G828" s="46">
        <f>VLOOKUP(D828,'Cấu Hình Học Phí'!$A$8:$B$11,2,FALSE)</f>
        <v/>
      </c>
      <c r="H828" s="46">
        <f>F828*G828</f>
        <v/>
      </c>
      <c r="I828" s="45" t="n">
        <v>0</v>
      </c>
      <c r="J828" s="46">
        <f>I828*'Cấu Hình Học Phí'!$B$5</f>
        <v/>
      </c>
      <c r="K828" s="46" t="n">
        <v>0</v>
      </c>
      <c r="L828" s="46">
        <f>H828+J828-K828</f>
        <v/>
      </c>
      <c r="M828" s="46" t="n">
        <v>2200000</v>
      </c>
      <c r="N828" s="46" t="n">
        <v>0</v>
      </c>
      <c r="O828" s="46">
        <f>MAX(0,M828-N828-L828)</f>
        <v/>
      </c>
      <c r="P828" s="46">
        <f>MAX(0,L828-(M828-N828))</f>
        <v/>
      </c>
      <c r="Q828" s="45" t="inlineStr">
        <is>
          <t>30/09/2025</t>
        </is>
      </c>
      <c r="R828" s="45" t="inlineStr">
        <is>
          <t>PT2025-00825</t>
        </is>
      </c>
      <c r="S828" s="45" t="inlineStr"/>
    </row>
    <row r="829">
      <c r="A829" s="45" t="inlineStr">
        <is>
          <t>253630651</t>
        </is>
      </c>
      <c r="B829" s="45" t="inlineStr">
        <is>
          <t>TRƯƠNG THỊ MINH CHÂU</t>
        </is>
      </c>
      <c r="C829" s="45" t="inlineStr">
        <is>
          <t>Khoa học máy tính K66</t>
        </is>
      </c>
      <c r="D829" s="45" t="inlineStr">
        <is>
          <t>Năm 2</t>
        </is>
      </c>
      <c r="E829" s="45" t="inlineStr">
        <is>
          <t>2026_2027</t>
        </is>
      </c>
      <c r="F829" s="45" t="n">
        <v>4</v>
      </c>
      <c r="G829" s="46">
        <f>VLOOKUP(D829,'Cấu Hình Học Phí'!$A$8:$B$11,2,FALSE)</f>
        <v/>
      </c>
      <c r="H829" s="46">
        <f>F829*G829</f>
        <v/>
      </c>
      <c r="I829" s="45" t="n">
        <v>0</v>
      </c>
      <c r="J829" s="46">
        <f>I829*'Cấu Hình Học Phí'!$B$5</f>
        <v/>
      </c>
      <c r="K829" s="46" t="n">
        <v>0</v>
      </c>
      <c r="L829" s="46">
        <f>H829+J829-K829</f>
        <v/>
      </c>
      <c r="M829" s="46" t="n">
        <v>2420000</v>
      </c>
      <c r="N829" s="46" t="n">
        <v>0</v>
      </c>
      <c r="O829" s="46">
        <f>MAX(0,M829-N829-L829)</f>
        <v/>
      </c>
      <c r="P829" s="46">
        <f>MAX(0,L829-(M829-N829))</f>
        <v/>
      </c>
      <c r="Q829" s="45" t="inlineStr">
        <is>
          <t>30/09/2026</t>
        </is>
      </c>
      <c r="R829" s="45" t="inlineStr">
        <is>
          <t>PT2026-00826</t>
        </is>
      </c>
      <c r="S829" s="45" t="inlineStr"/>
    </row>
    <row r="830">
      <c r="A830" s="45" t="inlineStr">
        <is>
          <t>253630651</t>
        </is>
      </c>
      <c r="B830" s="45" t="inlineStr">
        <is>
          <t>TRƯƠNG THỊ MINH CHÂU</t>
        </is>
      </c>
      <c r="C830" s="45" t="inlineStr">
        <is>
          <t>Khoa học máy tính K66</t>
        </is>
      </c>
      <c r="D830" s="45" t="inlineStr">
        <is>
          <t>Năm 3</t>
        </is>
      </c>
      <c r="E830" s="45" t="inlineStr">
        <is>
          <t>2027_2028</t>
        </is>
      </c>
      <c r="F830" s="45" t="n">
        <v>4</v>
      </c>
      <c r="G830" s="46">
        <f>VLOOKUP(D830,'Cấu Hình Học Phí'!$A$8:$B$11,2,FALSE)</f>
        <v/>
      </c>
      <c r="H830" s="46">
        <f>F830*G830</f>
        <v/>
      </c>
      <c r="I830" s="45" t="n">
        <v>1</v>
      </c>
      <c r="J830" s="46">
        <f>I830*'Cấu Hình Học Phí'!$B$5</f>
        <v/>
      </c>
      <c r="K830" s="46" t="n">
        <v>0</v>
      </c>
      <c r="L830" s="46">
        <f>H830+J830-K830</f>
        <v/>
      </c>
      <c r="M830" s="46" t="n">
        <v>3662000</v>
      </c>
      <c r="N830" s="46" t="n">
        <v>0</v>
      </c>
      <c r="O830" s="46">
        <f>MAX(0,M830-N830-L830)</f>
        <v/>
      </c>
      <c r="P830" s="46">
        <f>MAX(0,L830-(M830-N830))</f>
        <v/>
      </c>
      <c r="Q830" s="45" t="inlineStr">
        <is>
          <t>30/09/2027</t>
        </is>
      </c>
      <c r="R830" s="45" t="inlineStr">
        <is>
          <t>PT2027-00827</t>
        </is>
      </c>
      <c r="S830" s="45" t="inlineStr"/>
    </row>
    <row r="831">
      <c r="A831" s="45" t="inlineStr">
        <is>
          <t>253630651</t>
        </is>
      </c>
      <c r="B831" s="45" t="inlineStr">
        <is>
          <t>TRƯƠNG THỊ MINH CHÂU</t>
        </is>
      </c>
      <c r="C831" s="45" t="inlineStr">
        <is>
          <t>Khoa học máy tính K66</t>
        </is>
      </c>
      <c r="D831" s="45" t="inlineStr">
        <is>
          <t>Năm 4</t>
        </is>
      </c>
      <c r="E831" s="45" t="inlineStr">
        <is>
          <t>2028_2029</t>
        </is>
      </c>
      <c r="F831" s="45" t="n">
        <v>1</v>
      </c>
      <c r="G831" s="46">
        <f>VLOOKUP(D831,'Cấu Hình Học Phí'!$A$8:$B$11,2,FALSE)</f>
        <v/>
      </c>
      <c r="H831" s="46">
        <f>F831*G831</f>
        <v/>
      </c>
      <c r="I831" s="45" t="n">
        <v>1</v>
      </c>
      <c r="J831" s="46">
        <f>I831*'Cấu Hình Học Phí'!$B$5</f>
        <v/>
      </c>
      <c r="K831" s="46" t="n">
        <v>0</v>
      </c>
      <c r="L831" s="46">
        <f>H831+J831-K831</f>
        <v/>
      </c>
      <c r="M831" s="46" t="n">
        <v>1732050</v>
      </c>
      <c r="N831" s="46" t="n">
        <v>0</v>
      </c>
      <c r="O831" s="46">
        <f>MAX(0,M831-N831-L831)</f>
        <v/>
      </c>
      <c r="P831" s="46">
        <f>MAX(0,L831-(M831-N831))</f>
        <v/>
      </c>
      <c r="Q831" s="45" t="inlineStr">
        <is>
          <t>30/09/2028</t>
        </is>
      </c>
      <c r="R831" s="45" t="inlineStr">
        <is>
          <t>PT2028-00828</t>
        </is>
      </c>
      <c r="S831" s="45" t="inlineStr"/>
    </row>
    <row r="832">
      <c r="A832" s="45" t="inlineStr">
        <is>
          <t>253630652</t>
        </is>
      </c>
      <c r="B832" s="45" t="inlineStr">
        <is>
          <t>NGUYỄN THÀNH CÔNG</t>
        </is>
      </c>
      <c r="C832" s="45" t="inlineStr">
        <is>
          <t>Khoa học máy tính K66</t>
        </is>
      </c>
      <c r="D832" s="45" t="inlineStr">
        <is>
          <t>Năm 1</t>
        </is>
      </c>
      <c r="E832" s="45" t="inlineStr">
        <is>
          <t>2025_2026</t>
        </is>
      </c>
      <c r="F832" s="45" t="n">
        <v>4</v>
      </c>
      <c r="G832" s="46">
        <f>VLOOKUP(D832,'Cấu Hình Học Phí'!$A$8:$B$11,2,FALSE)</f>
        <v/>
      </c>
      <c r="H832" s="46">
        <f>F832*G832</f>
        <v/>
      </c>
      <c r="I832" s="45" t="n">
        <v>2</v>
      </c>
      <c r="J832" s="46">
        <f>I832*'Cấu Hình Học Phí'!$B$5</f>
        <v/>
      </c>
      <c r="K832" s="46" t="n">
        <v>0</v>
      </c>
      <c r="L832" s="46">
        <f>H832+J832-K832</f>
        <v/>
      </c>
      <c r="M832" s="46" t="n">
        <v>4200000</v>
      </c>
      <c r="N832" s="46" t="n">
        <v>0</v>
      </c>
      <c r="O832" s="46">
        <f>MAX(0,M832-N832-L832)</f>
        <v/>
      </c>
      <c r="P832" s="46">
        <f>MAX(0,L832-(M832-N832))</f>
        <v/>
      </c>
      <c r="Q832" s="45" t="inlineStr">
        <is>
          <t>30/09/2025</t>
        </is>
      </c>
      <c r="R832" s="45" t="inlineStr">
        <is>
          <t>PT2025-00829</t>
        </is>
      </c>
      <c r="S832" s="45" t="inlineStr"/>
    </row>
    <row r="833">
      <c r="A833" s="45" t="inlineStr">
        <is>
          <t>253630652</t>
        </is>
      </c>
      <c r="B833" s="45" t="inlineStr">
        <is>
          <t>NGUYỄN THÀNH CÔNG</t>
        </is>
      </c>
      <c r="C833" s="45" t="inlineStr">
        <is>
          <t>Khoa học máy tính K66</t>
        </is>
      </c>
      <c r="D833" s="45" t="inlineStr">
        <is>
          <t>Năm 2</t>
        </is>
      </c>
      <c r="E833" s="45" t="inlineStr">
        <is>
          <t>2026_2027</t>
        </is>
      </c>
      <c r="F833" s="45" t="n">
        <v>4</v>
      </c>
      <c r="G833" s="46">
        <f>VLOOKUP(D833,'Cấu Hình Học Phí'!$A$8:$B$11,2,FALSE)</f>
        <v/>
      </c>
      <c r="H833" s="46">
        <f>F833*G833</f>
        <v/>
      </c>
      <c r="I833" s="45" t="n">
        <v>1</v>
      </c>
      <c r="J833" s="46">
        <f>I833*'Cấu Hình Học Phí'!$B$5</f>
        <v/>
      </c>
      <c r="K833" s="46" t="n">
        <v>0</v>
      </c>
      <c r="L833" s="46">
        <f>H833+J833-K833</f>
        <v/>
      </c>
      <c r="M833" s="46" t="n">
        <v>3420000</v>
      </c>
      <c r="N833" s="46" t="n">
        <v>0</v>
      </c>
      <c r="O833" s="46">
        <f>MAX(0,M833-N833-L833)</f>
        <v/>
      </c>
      <c r="P833" s="46">
        <f>MAX(0,L833-(M833-N833))</f>
        <v/>
      </c>
      <c r="Q833" s="45" t="inlineStr">
        <is>
          <t>30/09/2026</t>
        </is>
      </c>
      <c r="R833" s="45" t="inlineStr">
        <is>
          <t>PT2026-00830</t>
        </is>
      </c>
      <c r="S833" s="45" t="inlineStr"/>
    </row>
    <row r="834">
      <c r="A834" s="45" t="inlineStr">
        <is>
          <t>253630652</t>
        </is>
      </c>
      <c r="B834" s="45" t="inlineStr">
        <is>
          <t>NGUYỄN THÀNH CÔNG</t>
        </is>
      </c>
      <c r="C834" s="45" t="inlineStr">
        <is>
          <t>Khoa học máy tính K66</t>
        </is>
      </c>
      <c r="D834" s="45" t="inlineStr">
        <is>
          <t>Năm 3</t>
        </is>
      </c>
      <c r="E834" s="45" t="inlineStr">
        <is>
          <t>2027_2028</t>
        </is>
      </c>
      <c r="F834" s="45" t="n">
        <v>4</v>
      </c>
      <c r="G834" s="46">
        <f>VLOOKUP(D834,'Cấu Hình Học Phí'!$A$8:$B$11,2,FALSE)</f>
        <v/>
      </c>
      <c r="H834" s="46">
        <f>F834*G834</f>
        <v/>
      </c>
      <c r="I834" s="45" t="n">
        <v>0</v>
      </c>
      <c r="J834" s="46">
        <f>I834*'Cấu Hình Học Phí'!$B$5</f>
        <v/>
      </c>
      <c r="K834" s="46" t="n">
        <v>0</v>
      </c>
      <c r="L834" s="46">
        <f>H834+J834-K834</f>
        <v/>
      </c>
      <c r="M834" s="46" t="n">
        <v>2662000</v>
      </c>
      <c r="N834" s="46" t="n">
        <v>0</v>
      </c>
      <c r="O834" s="46">
        <f>MAX(0,M834-N834-L834)</f>
        <v/>
      </c>
      <c r="P834" s="46">
        <f>MAX(0,L834-(M834-N834))</f>
        <v/>
      </c>
      <c r="Q834" s="45" t="inlineStr">
        <is>
          <t>30/09/2027</t>
        </is>
      </c>
      <c r="R834" s="45" t="inlineStr">
        <is>
          <t>PT2027-00831</t>
        </is>
      </c>
      <c r="S834" s="45" t="inlineStr"/>
    </row>
    <row r="835">
      <c r="A835" s="45" t="inlineStr">
        <is>
          <t>253630652</t>
        </is>
      </c>
      <c r="B835" s="45" t="inlineStr">
        <is>
          <t>NGUYỄN THÀNH CÔNG</t>
        </is>
      </c>
      <c r="C835" s="45" t="inlineStr">
        <is>
          <t>Khoa học máy tính K66</t>
        </is>
      </c>
      <c r="D835" s="45" t="inlineStr">
        <is>
          <t>Năm 4</t>
        </is>
      </c>
      <c r="E835" s="45" t="inlineStr">
        <is>
          <t>2028_2029</t>
        </is>
      </c>
      <c r="F835" s="45" t="n">
        <v>1</v>
      </c>
      <c r="G835" s="46">
        <f>VLOOKUP(D835,'Cấu Hình Học Phí'!$A$8:$B$11,2,FALSE)</f>
        <v/>
      </c>
      <c r="H835" s="46">
        <f>F835*G835</f>
        <v/>
      </c>
      <c r="I835" s="45" t="n">
        <v>0</v>
      </c>
      <c r="J835" s="46">
        <f>I835*'Cấu Hình Học Phí'!$B$5</f>
        <v/>
      </c>
      <c r="K835" s="46" t="n">
        <v>0</v>
      </c>
      <c r="L835" s="46">
        <f>H835+J835-K835</f>
        <v/>
      </c>
      <c r="M835" s="46" t="n">
        <v>732050</v>
      </c>
      <c r="N835" s="46" t="n">
        <v>0</v>
      </c>
      <c r="O835" s="46">
        <f>MAX(0,M835-N835-L835)</f>
        <v/>
      </c>
      <c r="P835" s="46">
        <f>MAX(0,L835-(M835-N835))</f>
        <v/>
      </c>
      <c r="Q835" s="45" t="inlineStr">
        <is>
          <t>30/09/2028</t>
        </is>
      </c>
      <c r="R835" s="45" t="inlineStr">
        <is>
          <t>PT2028-00832</t>
        </is>
      </c>
      <c r="S835" s="45" t="inlineStr"/>
    </row>
    <row r="836">
      <c r="A836" s="45" t="inlineStr">
        <is>
          <t>253630653</t>
        </is>
      </c>
      <c r="B836" s="45" t="inlineStr">
        <is>
          <t>PHẠM PHÚ CƯỜNG</t>
        </is>
      </c>
      <c r="C836" s="45" t="inlineStr">
        <is>
          <t>Khoa học máy tính K66</t>
        </is>
      </c>
      <c r="D836" s="45" t="inlineStr">
        <is>
          <t>Năm 1</t>
        </is>
      </c>
      <c r="E836" s="45" t="inlineStr">
        <is>
          <t>2025_2026</t>
        </is>
      </c>
      <c r="F836" s="45" t="n">
        <v>4</v>
      </c>
      <c r="G836" s="46">
        <f>VLOOKUP(D836,'Cấu Hình Học Phí'!$A$8:$B$11,2,FALSE)</f>
        <v/>
      </c>
      <c r="H836" s="46">
        <f>F836*G836</f>
        <v/>
      </c>
      <c r="I836" s="45" t="n">
        <v>0</v>
      </c>
      <c r="J836" s="46">
        <f>I836*'Cấu Hình Học Phí'!$B$5</f>
        <v/>
      </c>
      <c r="K836" s="46" t="n">
        <v>0</v>
      </c>
      <c r="L836" s="46">
        <f>H836+J836-K836</f>
        <v/>
      </c>
      <c r="M836" s="46" t="n">
        <v>2200000</v>
      </c>
      <c r="N836" s="46" t="n">
        <v>0</v>
      </c>
      <c r="O836" s="46">
        <f>MAX(0,M836-N836-L836)</f>
        <v/>
      </c>
      <c r="P836" s="46">
        <f>MAX(0,L836-(M836-N836))</f>
        <v/>
      </c>
      <c r="Q836" s="45" t="inlineStr">
        <is>
          <t>30/09/2025</t>
        </is>
      </c>
      <c r="R836" s="45" t="inlineStr">
        <is>
          <t>PT2025-00833</t>
        </is>
      </c>
      <c r="S836" s="45" t="inlineStr"/>
    </row>
    <row r="837">
      <c r="A837" s="45" t="inlineStr">
        <is>
          <t>253630653</t>
        </is>
      </c>
      <c r="B837" s="45" t="inlineStr">
        <is>
          <t>PHẠM PHÚ CƯỜNG</t>
        </is>
      </c>
      <c r="C837" s="45" t="inlineStr">
        <is>
          <t>Khoa học máy tính K66</t>
        </is>
      </c>
      <c r="D837" s="45" t="inlineStr">
        <is>
          <t>Năm 2</t>
        </is>
      </c>
      <c r="E837" s="45" t="inlineStr">
        <is>
          <t>2026_2027</t>
        </is>
      </c>
      <c r="F837" s="45" t="n">
        <v>4</v>
      </c>
      <c r="G837" s="46">
        <f>VLOOKUP(D837,'Cấu Hình Học Phí'!$A$8:$B$11,2,FALSE)</f>
        <v/>
      </c>
      <c r="H837" s="46">
        <f>F837*G837</f>
        <v/>
      </c>
      <c r="I837" s="45" t="n">
        <v>0</v>
      </c>
      <c r="J837" s="46">
        <f>I837*'Cấu Hình Học Phí'!$B$5</f>
        <v/>
      </c>
      <c r="K837" s="46" t="n">
        <v>0</v>
      </c>
      <c r="L837" s="46">
        <f>H837+J837-K837</f>
        <v/>
      </c>
      <c r="M837" s="46" t="n">
        <v>2420000</v>
      </c>
      <c r="N837" s="46" t="n">
        <v>0</v>
      </c>
      <c r="O837" s="46">
        <f>MAX(0,M837-N837-L837)</f>
        <v/>
      </c>
      <c r="P837" s="46">
        <f>MAX(0,L837-(M837-N837))</f>
        <v/>
      </c>
      <c r="Q837" s="45" t="inlineStr">
        <is>
          <t>30/09/2026</t>
        </is>
      </c>
      <c r="R837" s="45" t="inlineStr">
        <is>
          <t>PT2026-00834</t>
        </is>
      </c>
      <c r="S837" s="45" t="inlineStr"/>
    </row>
    <row r="838">
      <c r="A838" s="45" t="inlineStr">
        <is>
          <t>253630653</t>
        </is>
      </c>
      <c r="B838" s="45" t="inlineStr">
        <is>
          <t>PHẠM PHÚ CƯỜNG</t>
        </is>
      </c>
      <c r="C838" s="45" t="inlineStr">
        <is>
          <t>Khoa học máy tính K66</t>
        </is>
      </c>
      <c r="D838" s="45" t="inlineStr">
        <is>
          <t>Năm 3</t>
        </is>
      </c>
      <c r="E838" s="45" t="inlineStr">
        <is>
          <t>2027_2028</t>
        </is>
      </c>
      <c r="F838" s="45" t="n">
        <v>4</v>
      </c>
      <c r="G838" s="46">
        <f>VLOOKUP(D838,'Cấu Hình Học Phí'!$A$8:$B$11,2,FALSE)</f>
        <v/>
      </c>
      <c r="H838" s="46">
        <f>F838*G838</f>
        <v/>
      </c>
      <c r="I838" s="45" t="n">
        <v>1</v>
      </c>
      <c r="J838" s="46">
        <f>I838*'Cấu Hình Học Phí'!$B$5</f>
        <v/>
      </c>
      <c r="K838" s="46" t="n">
        <v>0</v>
      </c>
      <c r="L838" s="46">
        <f>H838+J838-K838</f>
        <v/>
      </c>
      <c r="M838" s="46" t="n">
        <v>2662000</v>
      </c>
      <c r="N838" s="46" t="n">
        <v>0</v>
      </c>
      <c r="O838" s="46">
        <f>MAX(0,M838-N838-L838)</f>
        <v/>
      </c>
      <c r="P838" s="46">
        <f>MAX(0,L838-(M838-N838))</f>
        <v/>
      </c>
      <c r="Q838" s="45" t="inlineStr">
        <is>
          <t>30/09/2027</t>
        </is>
      </c>
      <c r="R838" s="45" t="inlineStr">
        <is>
          <t>PT2027-00835</t>
        </is>
      </c>
      <c r="S838" s="45" t="inlineStr">
        <is>
          <t>Chưa nộp phí phụ đạo 1 môn</t>
        </is>
      </c>
    </row>
    <row r="839">
      <c r="A839" s="45" t="inlineStr">
        <is>
          <t>253630653</t>
        </is>
      </c>
      <c r="B839" s="45" t="inlineStr">
        <is>
          <t>PHẠM PHÚ CƯỜNG</t>
        </is>
      </c>
      <c r="C839" s="45" t="inlineStr">
        <is>
          <t>Khoa học máy tính K66</t>
        </is>
      </c>
      <c r="D839" s="45" t="inlineStr">
        <is>
          <t>Năm 4</t>
        </is>
      </c>
      <c r="E839" s="45" t="inlineStr">
        <is>
          <t>2028_2029</t>
        </is>
      </c>
      <c r="F839" s="45" t="n">
        <v>1</v>
      </c>
      <c r="G839" s="46">
        <f>VLOOKUP(D839,'Cấu Hình Học Phí'!$A$8:$B$11,2,FALSE)</f>
        <v/>
      </c>
      <c r="H839" s="46">
        <f>F839*G839</f>
        <v/>
      </c>
      <c r="I839" s="45" t="n">
        <v>0</v>
      </c>
      <c r="J839" s="46">
        <f>I839*'Cấu Hình Học Phí'!$B$5</f>
        <v/>
      </c>
      <c r="K839" s="46" t="n">
        <v>0</v>
      </c>
      <c r="L839" s="46">
        <f>H839+J839-K839</f>
        <v/>
      </c>
      <c r="M839" s="46" t="n">
        <v>732050</v>
      </c>
      <c r="N839" s="46" t="n">
        <v>0</v>
      </c>
      <c r="O839" s="46">
        <f>MAX(0,M839-N839-L839)</f>
        <v/>
      </c>
      <c r="P839" s="46">
        <f>MAX(0,L839-(M839-N839))</f>
        <v/>
      </c>
      <c r="Q839" s="45" t="inlineStr">
        <is>
          <t>30/09/2028</t>
        </is>
      </c>
      <c r="R839" s="45" t="inlineStr">
        <is>
          <t>PT2028-00836</t>
        </is>
      </c>
      <c r="S839" s="45" t="inlineStr"/>
    </row>
    <row r="840">
      <c r="A840" s="45" t="inlineStr">
        <is>
          <t>253630654</t>
        </is>
      </c>
      <c r="B840" s="45" t="inlineStr">
        <is>
          <t>ĐỖ ĐĂNG DŨNG</t>
        </is>
      </c>
      <c r="C840" s="45" t="inlineStr">
        <is>
          <t>Khoa học máy tính K66</t>
        </is>
      </c>
      <c r="D840" s="45" t="inlineStr">
        <is>
          <t>Năm 1</t>
        </is>
      </c>
      <c r="E840" s="45" t="inlineStr">
        <is>
          <t>2025_2026</t>
        </is>
      </c>
      <c r="F840" s="45" t="n">
        <v>4</v>
      </c>
      <c r="G840" s="46">
        <f>VLOOKUP(D840,'Cấu Hình Học Phí'!$A$8:$B$11,2,FALSE)</f>
        <v/>
      </c>
      <c r="H840" s="46">
        <f>F840*G840</f>
        <v/>
      </c>
      <c r="I840" s="45" t="n">
        <v>2</v>
      </c>
      <c r="J840" s="46">
        <f>I840*'Cấu Hình Học Phí'!$B$5</f>
        <v/>
      </c>
      <c r="K840" s="46" t="n">
        <v>0</v>
      </c>
      <c r="L840" s="46">
        <f>H840+J840-K840</f>
        <v/>
      </c>
      <c r="M840" s="46" t="n">
        <v>2200000</v>
      </c>
      <c r="N840" s="46" t="n">
        <v>0</v>
      </c>
      <c r="O840" s="46">
        <f>MAX(0,M840-N840-L840)</f>
        <v/>
      </c>
      <c r="P840" s="46">
        <f>MAX(0,L840-(M840-N840))</f>
        <v/>
      </c>
      <c r="Q840" s="45" t="inlineStr">
        <is>
          <t>30/09/2025</t>
        </is>
      </c>
      <c r="R840" s="45" t="inlineStr">
        <is>
          <t>PT2025-00837</t>
        </is>
      </c>
      <c r="S840" s="45" t="inlineStr">
        <is>
          <t>Chưa nộp phí phụ đạo 2 môn</t>
        </is>
      </c>
    </row>
    <row r="841">
      <c r="A841" s="45" t="inlineStr">
        <is>
          <t>253630654</t>
        </is>
      </c>
      <c r="B841" s="45" t="inlineStr">
        <is>
          <t>ĐỖ ĐĂNG DŨNG</t>
        </is>
      </c>
      <c r="C841" s="45" t="inlineStr">
        <is>
          <t>Khoa học máy tính K66</t>
        </is>
      </c>
      <c r="D841" s="45" t="inlineStr">
        <is>
          <t>Năm 2</t>
        </is>
      </c>
      <c r="E841" s="45" t="inlineStr">
        <is>
          <t>2026_2027</t>
        </is>
      </c>
      <c r="F841" s="45" t="n">
        <v>4</v>
      </c>
      <c r="G841" s="46">
        <f>VLOOKUP(D841,'Cấu Hình Học Phí'!$A$8:$B$11,2,FALSE)</f>
        <v/>
      </c>
      <c r="H841" s="46">
        <f>F841*G841</f>
        <v/>
      </c>
      <c r="I841" s="45" t="n">
        <v>0</v>
      </c>
      <c r="J841" s="46">
        <f>I841*'Cấu Hình Học Phí'!$B$5</f>
        <v/>
      </c>
      <c r="K841" s="46" t="n">
        <v>0</v>
      </c>
      <c r="L841" s="46">
        <f>H841+J841-K841</f>
        <v/>
      </c>
      <c r="M841" s="46" t="n">
        <v>2420000</v>
      </c>
      <c r="N841" s="46" t="n">
        <v>0</v>
      </c>
      <c r="O841" s="46">
        <f>MAX(0,M841-N841-L841)</f>
        <v/>
      </c>
      <c r="P841" s="46">
        <f>MAX(0,L841-(M841-N841))</f>
        <v/>
      </c>
      <c r="Q841" s="45" t="inlineStr">
        <is>
          <t>30/09/2026</t>
        </is>
      </c>
      <c r="R841" s="45" t="inlineStr">
        <is>
          <t>PT2026-00838</t>
        </is>
      </c>
      <c r="S841" s="45" t="inlineStr"/>
    </row>
    <row r="842">
      <c r="A842" s="45" t="inlineStr">
        <is>
          <t>253630654</t>
        </is>
      </c>
      <c r="B842" s="45" t="inlineStr">
        <is>
          <t>ĐỖ ĐĂNG DŨNG</t>
        </is>
      </c>
      <c r="C842" s="45" t="inlineStr">
        <is>
          <t>Khoa học máy tính K66</t>
        </is>
      </c>
      <c r="D842" s="45" t="inlineStr">
        <is>
          <t>Năm 3</t>
        </is>
      </c>
      <c r="E842" s="45" t="inlineStr">
        <is>
          <t>2027_2028</t>
        </is>
      </c>
      <c r="F842" s="45" t="n">
        <v>4</v>
      </c>
      <c r="G842" s="46">
        <f>VLOOKUP(D842,'Cấu Hình Học Phí'!$A$8:$B$11,2,FALSE)</f>
        <v/>
      </c>
      <c r="H842" s="46">
        <f>F842*G842</f>
        <v/>
      </c>
      <c r="I842" s="45" t="n">
        <v>0</v>
      </c>
      <c r="J842" s="46">
        <f>I842*'Cấu Hình Học Phí'!$B$5</f>
        <v/>
      </c>
      <c r="K842" s="46" t="n">
        <v>0</v>
      </c>
      <c r="L842" s="46">
        <f>H842+J842-K842</f>
        <v/>
      </c>
      <c r="M842" s="46" t="n">
        <v>2662000</v>
      </c>
      <c r="N842" s="46" t="n">
        <v>0</v>
      </c>
      <c r="O842" s="46">
        <f>MAX(0,M842-N842-L842)</f>
        <v/>
      </c>
      <c r="P842" s="46">
        <f>MAX(0,L842-(M842-N842))</f>
        <v/>
      </c>
      <c r="Q842" s="45" t="inlineStr">
        <is>
          <t>30/09/2027</t>
        </is>
      </c>
      <c r="R842" s="45" t="inlineStr">
        <is>
          <t>PT2027-00839</t>
        </is>
      </c>
      <c r="S842" s="45" t="inlineStr"/>
    </row>
    <row r="843">
      <c r="A843" s="45" t="inlineStr">
        <is>
          <t>253630654</t>
        </is>
      </c>
      <c r="B843" s="45" t="inlineStr">
        <is>
          <t>ĐỖ ĐĂNG DŨNG</t>
        </is>
      </c>
      <c r="C843" s="45" t="inlineStr">
        <is>
          <t>Khoa học máy tính K66</t>
        </is>
      </c>
      <c r="D843" s="45" t="inlineStr">
        <is>
          <t>Năm 4</t>
        </is>
      </c>
      <c r="E843" s="45" t="inlineStr">
        <is>
          <t>2028_2029</t>
        </is>
      </c>
      <c r="F843" s="45" t="n">
        <v>1</v>
      </c>
      <c r="G843" s="46">
        <f>VLOOKUP(D843,'Cấu Hình Học Phí'!$A$8:$B$11,2,FALSE)</f>
        <v/>
      </c>
      <c r="H843" s="46">
        <f>F843*G843</f>
        <v/>
      </c>
      <c r="I843" s="45" t="n">
        <v>0</v>
      </c>
      <c r="J843" s="46">
        <f>I843*'Cấu Hình Học Phí'!$B$5</f>
        <v/>
      </c>
      <c r="K843" s="46" t="n">
        <v>0</v>
      </c>
      <c r="L843" s="46">
        <f>H843+J843-K843</f>
        <v/>
      </c>
      <c r="M843" s="46" t="n">
        <v>732050</v>
      </c>
      <c r="N843" s="46" t="n">
        <v>0</v>
      </c>
      <c r="O843" s="46">
        <f>MAX(0,M843-N843-L843)</f>
        <v/>
      </c>
      <c r="P843" s="46">
        <f>MAX(0,L843-(M843-N843))</f>
        <v/>
      </c>
      <c r="Q843" s="45" t="inlineStr">
        <is>
          <t>30/09/2028</t>
        </is>
      </c>
      <c r="R843" s="45" t="inlineStr">
        <is>
          <t>PT2028-00840</t>
        </is>
      </c>
      <c r="S843" s="45" t="inlineStr"/>
    </row>
    <row r="844">
      <c r="A844" s="45" t="inlineStr">
        <is>
          <t>253630655</t>
        </is>
      </c>
      <c r="B844" s="45" t="inlineStr">
        <is>
          <t>LÊ ĐÌNH DŨNG</t>
        </is>
      </c>
      <c r="C844" s="45" t="inlineStr">
        <is>
          <t>Khoa học máy tính K66</t>
        </is>
      </c>
      <c r="D844" s="45" t="inlineStr">
        <is>
          <t>Năm 1</t>
        </is>
      </c>
      <c r="E844" s="45" t="inlineStr">
        <is>
          <t>2025_2026</t>
        </is>
      </c>
      <c r="F844" s="45" t="n">
        <v>4</v>
      </c>
      <c r="G844" s="46">
        <f>VLOOKUP(D844,'Cấu Hình Học Phí'!$A$8:$B$11,2,FALSE)</f>
        <v/>
      </c>
      <c r="H844" s="46">
        <f>F844*G844</f>
        <v/>
      </c>
      <c r="I844" s="45" t="n">
        <v>1</v>
      </c>
      <c r="J844" s="46">
        <f>I844*'Cấu Hình Học Phí'!$B$5</f>
        <v/>
      </c>
      <c r="K844" s="46" t="n">
        <v>0</v>
      </c>
      <c r="L844" s="46">
        <f>H844+J844-K844</f>
        <v/>
      </c>
      <c r="M844" s="46" t="n">
        <v>3200000</v>
      </c>
      <c r="N844" s="46" t="n">
        <v>0</v>
      </c>
      <c r="O844" s="46">
        <f>MAX(0,M844-N844-L844)</f>
        <v/>
      </c>
      <c r="P844" s="46">
        <f>MAX(0,L844-(M844-N844))</f>
        <v/>
      </c>
      <c r="Q844" s="45" t="inlineStr">
        <is>
          <t>30/09/2025</t>
        </is>
      </c>
      <c r="R844" s="45" t="inlineStr">
        <is>
          <t>PT2025-00841</t>
        </is>
      </c>
      <c r="S844" s="45" t="inlineStr"/>
    </row>
    <row r="845">
      <c r="A845" s="45" t="inlineStr">
        <is>
          <t>253630655</t>
        </is>
      </c>
      <c r="B845" s="45" t="inlineStr">
        <is>
          <t>LÊ ĐÌNH DŨNG</t>
        </is>
      </c>
      <c r="C845" s="45" t="inlineStr">
        <is>
          <t>Khoa học máy tính K66</t>
        </is>
      </c>
      <c r="D845" s="45" t="inlineStr">
        <is>
          <t>Năm 2</t>
        </is>
      </c>
      <c r="E845" s="45" t="inlineStr">
        <is>
          <t>2026_2027</t>
        </is>
      </c>
      <c r="F845" s="45" t="n">
        <v>4</v>
      </c>
      <c r="G845" s="46">
        <f>VLOOKUP(D845,'Cấu Hình Học Phí'!$A$8:$B$11,2,FALSE)</f>
        <v/>
      </c>
      <c r="H845" s="46">
        <f>F845*G845</f>
        <v/>
      </c>
      <c r="I845" s="45" t="n">
        <v>1</v>
      </c>
      <c r="J845" s="46">
        <f>I845*'Cấu Hình Học Phí'!$B$5</f>
        <v/>
      </c>
      <c r="K845" s="46" t="n">
        <v>0</v>
      </c>
      <c r="L845" s="46">
        <f>H845+J845-K845</f>
        <v/>
      </c>
      <c r="M845" s="46" t="n">
        <v>3420000</v>
      </c>
      <c r="N845" s="46" t="n">
        <v>0</v>
      </c>
      <c r="O845" s="46">
        <f>MAX(0,M845-N845-L845)</f>
        <v/>
      </c>
      <c r="P845" s="46">
        <f>MAX(0,L845-(M845-N845))</f>
        <v/>
      </c>
      <c r="Q845" s="45" t="inlineStr">
        <is>
          <t>30/09/2026</t>
        </is>
      </c>
      <c r="R845" s="45" t="inlineStr">
        <is>
          <t>PT2026-00842</t>
        </is>
      </c>
      <c r="S845" s="45" t="inlineStr"/>
    </row>
    <row r="846">
      <c r="A846" s="45" t="inlineStr">
        <is>
          <t>253630655</t>
        </is>
      </c>
      <c r="B846" s="45" t="inlineStr">
        <is>
          <t>LÊ ĐÌNH DŨNG</t>
        </is>
      </c>
      <c r="C846" s="45" t="inlineStr">
        <is>
          <t>Khoa học máy tính K66</t>
        </is>
      </c>
      <c r="D846" s="45" t="inlineStr">
        <is>
          <t>Năm 3</t>
        </is>
      </c>
      <c r="E846" s="45" t="inlineStr">
        <is>
          <t>2027_2028</t>
        </is>
      </c>
      <c r="F846" s="45" t="n">
        <v>4</v>
      </c>
      <c r="G846" s="46">
        <f>VLOOKUP(D846,'Cấu Hình Học Phí'!$A$8:$B$11,2,FALSE)</f>
        <v/>
      </c>
      <c r="H846" s="46">
        <f>F846*G846</f>
        <v/>
      </c>
      <c r="I846" s="45" t="n">
        <v>1</v>
      </c>
      <c r="J846" s="46">
        <f>I846*'Cấu Hình Học Phí'!$B$5</f>
        <v/>
      </c>
      <c r="K846" s="46" t="n">
        <v>0</v>
      </c>
      <c r="L846" s="46">
        <f>H846+J846-K846</f>
        <v/>
      </c>
      <c r="M846" s="46" t="n">
        <v>3662000</v>
      </c>
      <c r="N846" s="46" t="n">
        <v>0</v>
      </c>
      <c r="O846" s="46">
        <f>MAX(0,M846-N846-L846)</f>
        <v/>
      </c>
      <c r="P846" s="46">
        <f>MAX(0,L846-(M846-N846))</f>
        <v/>
      </c>
      <c r="Q846" s="45" t="inlineStr">
        <is>
          <t>30/09/2027</t>
        </is>
      </c>
      <c r="R846" s="45" t="inlineStr">
        <is>
          <t>PT2027-00843</t>
        </is>
      </c>
      <c r="S846" s="45" t="inlineStr"/>
    </row>
    <row r="847">
      <c r="A847" s="45" t="inlineStr">
        <is>
          <t>253630655</t>
        </is>
      </c>
      <c r="B847" s="45" t="inlineStr">
        <is>
          <t>LÊ ĐÌNH DŨNG</t>
        </is>
      </c>
      <c r="C847" s="45" t="inlineStr">
        <is>
          <t>Khoa học máy tính K66</t>
        </is>
      </c>
      <c r="D847" s="45" t="inlineStr">
        <is>
          <t>Năm 4</t>
        </is>
      </c>
      <c r="E847" s="45" t="inlineStr">
        <is>
          <t>2028_2029</t>
        </is>
      </c>
      <c r="F847" s="45" t="n">
        <v>1</v>
      </c>
      <c r="G847" s="46">
        <f>VLOOKUP(D847,'Cấu Hình Học Phí'!$A$8:$B$11,2,FALSE)</f>
        <v/>
      </c>
      <c r="H847" s="46">
        <f>F847*G847</f>
        <v/>
      </c>
      <c r="I847" s="45" t="n">
        <v>0</v>
      </c>
      <c r="J847" s="46">
        <f>I847*'Cấu Hình Học Phí'!$B$5</f>
        <v/>
      </c>
      <c r="K847" s="46" t="n">
        <v>0</v>
      </c>
      <c r="L847" s="46">
        <f>H847+J847-K847</f>
        <v/>
      </c>
      <c r="M847" s="46" t="n">
        <v>732050</v>
      </c>
      <c r="N847" s="46" t="n">
        <v>0</v>
      </c>
      <c r="O847" s="46">
        <f>MAX(0,M847-N847-L847)</f>
        <v/>
      </c>
      <c r="P847" s="46">
        <f>MAX(0,L847-(M847-N847))</f>
        <v/>
      </c>
      <c r="Q847" s="45" t="inlineStr">
        <is>
          <t>30/09/2028</t>
        </is>
      </c>
      <c r="R847" s="45" t="inlineStr">
        <is>
          <t>PT2028-00844</t>
        </is>
      </c>
      <c r="S847" s="45" t="inlineStr"/>
    </row>
    <row r="848">
      <c r="A848" s="45" t="inlineStr">
        <is>
          <t>253630656</t>
        </is>
      </c>
      <c r="B848" s="45" t="inlineStr">
        <is>
          <t>NGUYỄN MẠNH DŨNG</t>
        </is>
      </c>
      <c r="C848" s="45" t="inlineStr">
        <is>
          <t>Khoa học máy tính K66</t>
        </is>
      </c>
      <c r="D848" s="45" t="inlineStr">
        <is>
          <t>Năm 1</t>
        </is>
      </c>
      <c r="E848" s="45" t="inlineStr">
        <is>
          <t>2025_2026</t>
        </is>
      </c>
      <c r="F848" s="45" t="n">
        <v>4</v>
      </c>
      <c r="G848" s="46">
        <f>VLOOKUP(D848,'Cấu Hình Học Phí'!$A$8:$B$11,2,FALSE)</f>
        <v/>
      </c>
      <c r="H848" s="46">
        <f>F848*G848</f>
        <v/>
      </c>
      <c r="I848" s="45" t="n">
        <v>1</v>
      </c>
      <c r="J848" s="46">
        <f>I848*'Cấu Hình Học Phí'!$B$5</f>
        <v/>
      </c>
      <c r="K848" s="46" t="n">
        <v>0</v>
      </c>
      <c r="L848" s="46">
        <f>H848+J848-K848</f>
        <v/>
      </c>
      <c r="M848" s="46" t="n">
        <v>3200000</v>
      </c>
      <c r="N848" s="46" t="n">
        <v>0</v>
      </c>
      <c r="O848" s="46">
        <f>MAX(0,M848-N848-L848)</f>
        <v/>
      </c>
      <c r="P848" s="46">
        <f>MAX(0,L848-(M848-N848))</f>
        <v/>
      </c>
      <c r="Q848" s="45" t="inlineStr">
        <is>
          <t>30/09/2025</t>
        </is>
      </c>
      <c r="R848" s="45" t="inlineStr">
        <is>
          <t>PT2025-00845</t>
        </is>
      </c>
      <c r="S848" s="45" t="inlineStr"/>
    </row>
    <row r="849">
      <c r="A849" s="45" t="inlineStr">
        <is>
          <t>253630656</t>
        </is>
      </c>
      <c r="B849" s="45" t="inlineStr">
        <is>
          <t>NGUYỄN MẠNH DŨNG</t>
        </is>
      </c>
      <c r="C849" s="45" t="inlineStr">
        <is>
          <t>Khoa học máy tính K66</t>
        </is>
      </c>
      <c r="D849" s="45" t="inlineStr">
        <is>
          <t>Năm 2</t>
        </is>
      </c>
      <c r="E849" s="45" t="inlineStr">
        <is>
          <t>2026_2027</t>
        </is>
      </c>
      <c r="F849" s="45" t="n">
        <v>4</v>
      </c>
      <c r="G849" s="46">
        <f>VLOOKUP(D849,'Cấu Hình Học Phí'!$A$8:$B$11,2,FALSE)</f>
        <v/>
      </c>
      <c r="H849" s="46">
        <f>F849*G849</f>
        <v/>
      </c>
      <c r="I849" s="45" t="n">
        <v>2</v>
      </c>
      <c r="J849" s="46">
        <f>I849*'Cấu Hình Học Phí'!$B$5</f>
        <v/>
      </c>
      <c r="K849" s="46" t="n">
        <v>0</v>
      </c>
      <c r="L849" s="46">
        <f>H849+J849-K849</f>
        <v/>
      </c>
      <c r="M849" s="46" t="n">
        <v>4420000</v>
      </c>
      <c r="N849" s="46" t="n">
        <v>0</v>
      </c>
      <c r="O849" s="46">
        <f>MAX(0,M849-N849-L849)</f>
        <v/>
      </c>
      <c r="P849" s="46">
        <f>MAX(0,L849-(M849-N849))</f>
        <v/>
      </c>
      <c r="Q849" s="45" t="inlineStr">
        <is>
          <t>30/09/2026</t>
        </is>
      </c>
      <c r="R849" s="45" t="inlineStr">
        <is>
          <t>PT2026-00846</t>
        </is>
      </c>
      <c r="S849" s="45" t="inlineStr"/>
    </row>
    <row r="850">
      <c r="A850" s="45" t="inlineStr">
        <is>
          <t>253630656</t>
        </is>
      </c>
      <c r="B850" s="45" t="inlineStr">
        <is>
          <t>NGUYỄN MẠNH DŨNG</t>
        </is>
      </c>
      <c r="C850" s="45" t="inlineStr">
        <is>
          <t>Khoa học máy tính K66</t>
        </is>
      </c>
      <c r="D850" s="45" t="inlineStr">
        <is>
          <t>Năm 3</t>
        </is>
      </c>
      <c r="E850" s="45" t="inlineStr">
        <is>
          <t>2027_2028</t>
        </is>
      </c>
      <c r="F850" s="45" t="n">
        <v>4</v>
      </c>
      <c r="G850" s="46">
        <f>VLOOKUP(D850,'Cấu Hình Học Phí'!$A$8:$B$11,2,FALSE)</f>
        <v/>
      </c>
      <c r="H850" s="46">
        <f>F850*G850</f>
        <v/>
      </c>
      <c r="I850" s="45" t="n">
        <v>1</v>
      </c>
      <c r="J850" s="46">
        <f>I850*'Cấu Hình Học Phí'!$B$5</f>
        <v/>
      </c>
      <c r="K850" s="46" t="n">
        <v>0</v>
      </c>
      <c r="L850" s="46">
        <f>H850+J850-K850</f>
        <v/>
      </c>
      <c r="M850" s="46" t="n">
        <v>3662000</v>
      </c>
      <c r="N850" s="46" t="n">
        <v>0</v>
      </c>
      <c r="O850" s="46">
        <f>MAX(0,M850-N850-L850)</f>
        <v/>
      </c>
      <c r="P850" s="46">
        <f>MAX(0,L850-(M850-N850))</f>
        <v/>
      </c>
      <c r="Q850" s="45" t="inlineStr">
        <is>
          <t>30/09/2027</t>
        </is>
      </c>
      <c r="R850" s="45" t="inlineStr">
        <is>
          <t>PT2027-00847</t>
        </is>
      </c>
      <c r="S850" s="45" t="inlineStr"/>
    </row>
    <row r="851">
      <c r="A851" s="45" t="inlineStr">
        <is>
          <t>253630656</t>
        </is>
      </c>
      <c r="B851" s="45" t="inlineStr">
        <is>
          <t>NGUYỄN MẠNH DŨNG</t>
        </is>
      </c>
      <c r="C851" s="45" t="inlineStr">
        <is>
          <t>Khoa học máy tính K66</t>
        </is>
      </c>
      <c r="D851" s="45" t="inlineStr">
        <is>
          <t>Năm 4</t>
        </is>
      </c>
      <c r="E851" s="45" t="inlineStr">
        <is>
          <t>2028_2029</t>
        </is>
      </c>
      <c r="F851" s="45" t="n">
        <v>1</v>
      </c>
      <c r="G851" s="46">
        <f>VLOOKUP(D851,'Cấu Hình Học Phí'!$A$8:$B$11,2,FALSE)</f>
        <v/>
      </c>
      <c r="H851" s="46">
        <f>F851*G851</f>
        <v/>
      </c>
      <c r="I851" s="45" t="n">
        <v>0</v>
      </c>
      <c r="J851" s="46">
        <f>I851*'Cấu Hình Học Phí'!$B$5</f>
        <v/>
      </c>
      <c r="K851" s="46" t="n">
        <v>0</v>
      </c>
      <c r="L851" s="46">
        <f>H851+J851-K851</f>
        <v/>
      </c>
      <c r="M851" s="46" t="n">
        <v>732050</v>
      </c>
      <c r="N851" s="46" t="n">
        <v>0</v>
      </c>
      <c r="O851" s="46">
        <f>MAX(0,M851-N851-L851)</f>
        <v/>
      </c>
      <c r="P851" s="46">
        <f>MAX(0,L851-(M851-N851))</f>
        <v/>
      </c>
      <c r="Q851" s="45" t="inlineStr">
        <is>
          <t>30/09/2028</t>
        </is>
      </c>
      <c r="R851" s="45" t="inlineStr">
        <is>
          <t>PT2028-00848</t>
        </is>
      </c>
      <c r="S851" s="45" t="inlineStr"/>
    </row>
    <row r="852">
      <c r="A852" s="45" t="inlineStr">
        <is>
          <t>253630657</t>
        </is>
      </c>
      <c r="B852" s="45" t="inlineStr">
        <is>
          <t>PHAN LÊ DŨNG</t>
        </is>
      </c>
      <c r="C852" s="45" t="inlineStr">
        <is>
          <t>Khoa học máy tính K66</t>
        </is>
      </c>
      <c r="D852" s="45" t="inlineStr">
        <is>
          <t>Năm 1</t>
        </is>
      </c>
      <c r="E852" s="45" t="inlineStr">
        <is>
          <t>2025_2026</t>
        </is>
      </c>
      <c r="F852" s="45" t="n">
        <v>4</v>
      </c>
      <c r="G852" s="46">
        <f>VLOOKUP(D852,'Cấu Hình Học Phí'!$A$8:$B$11,2,FALSE)</f>
        <v/>
      </c>
      <c r="H852" s="46">
        <f>F852*G852</f>
        <v/>
      </c>
      <c r="I852" s="45" t="n">
        <v>0</v>
      </c>
      <c r="J852" s="46">
        <f>I852*'Cấu Hình Học Phí'!$B$5</f>
        <v/>
      </c>
      <c r="K852" s="46" t="n">
        <v>0</v>
      </c>
      <c r="L852" s="46">
        <f>H852+J852-K852</f>
        <v/>
      </c>
      <c r="M852" s="46" t="n">
        <v>2200000</v>
      </c>
      <c r="N852" s="46" t="n">
        <v>0</v>
      </c>
      <c r="O852" s="46">
        <f>MAX(0,M852-N852-L852)</f>
        <v/>
      </c>
      <c r="P852" s="46">
        <f>MAX(0,L852-(M852-N852))</f>
        <v/>
      </c>
      <c r="Q852" s="45" t="inlineStr">
        <is>
          <t>30/09/2025</t>
        </is>
      </c>
      <c r="R852" s="45" t="inlineStr">
        <is>
          <t>PT2025-00849</t>
        </is>
      </c>
      <c r="S852" s="45" t="inlineStr"/>
    </row>
    <row r="853">
      <c r="A853" s="45" t="inlineStr">
        <is>
          <t>253630657</t>
        </is>
      </c>
      <c r="B853" s="45" t="inlineStr">
        <is>
          <t>PHAN LÊ DŨNG</t>
        </is>
      </c>
      <c r="C853" s="45" t="inlineStr">
        <is>
          <t>Khoa học máy tính K66</t>
        </is>
      </c>
      <c r="D853" s="45" t="inlineStr">
        <is>
          <t>Năm 2</t>
        </is>
      </c>
      <c r="E853" s="45" t="inlineStr">
        <is>
          <t>2026_2027</t>
        </is>
      </c>
      <c r="F853" s="45" t="n">
        <v>4</v>
      </c>
      <c r="G853" s="46">
        <f>VLOOKUP(D853,'Cấu Hình Học Phí'!$A$8:$B$11,2,FALSE)</f>
        <v/>
      </c>
      <c r="H853" s="46">
        <f>F853*G853</f>
        <v/>
      </c>
      <c r="I853" s="45" t="n">
        <v>1</v>
      </c>
      <c r="J853" s="46">
        <f>I853*'Cấu Hình Học Phí'!$B$5</f>
        <v/>
      </c>
      <c r="K853" s="46" t="n">
        <v>0</v>
      </c>
      <c r="L853" s="46">
        <f>H853+J853-K853</f>
        <v/>
      </c>
      <c r="M853" s="46" t="n">
        <v>2420000</v>
      </c>
      <c r="N853" s="46" t="n">
        <v>0</v>
      </c>
      <c r="O853" s="46">
        <f>MAX(0,M853-N853-L853)</f>
        <v/>
      </c>
      <c r="P853" s="46">
        <f>MAX(0,L853-(M853-N853))</f>
        <v/>
      </c>
      <c r="Q853" s="45" t="inlineStr">
        <is>
          <t>30/09/2026</t>
        </is>
      </c>
      <c r="R853" s="45" t="inlineStr">
        <is>
          <t>PT2026-00850</t>
        </is>
      </c>
      <c r="S853" s="45" t="inlineStr">
        <is>
          <t>Chưa nộp phí phụ đạo 1 môn</t>
        </is>
      </c>
    </row>
    <row r="854">
      <c r="A854" s="45" t="inlineStr">
        <is>
          <t>253630657</t>
        </is>
      </c>
      <c r="B854" s="45" t="inlineStr">
        <is>
          <t>PHAN LÊ DŨNG</t>
        </is>
      </c>
      <c r="C854" s="45" t="inlineStr">
        <is>
          <t>Khoa học máy tính K66</t>
        </is>
      </c>
      <c r="D854" s="45" t="inlineStr">
        <is>
          <t>Năm 3</t>
        </is>
      </c>
      <c r="E854" s="45" t="inlineStr">
        <is>
          <t>2027_2028</t>
        </is>
      </c>
      <c r="F854" s="45" t="n">
        <v>4</v>
      </c>
      <c r="G854" s="46">
        <f>VLOOKUP(D854,'Cấu Hình Học Phí'!$A$8:$B$11,2,FALSE)</f>
        <v/>
      </c>
      <c r="H854" s="46">
        <f>F854*G854</f>
        <v/>
      </c>
      <c r="I854" s="45" t="n">
        <v>0</v>
      </c>
      <c r="J854" s="46">
        <f>I854*'Cấu Hình Học Phí'!$B$5</f>
        <v/>
      </c>
      <c r="K854" s="46" t="n">
        <v>0</v>
      </c>
      <c r="L854" s="46">
        <f>H854+J854-K854</f>
        <v/>
      </c>
      <c r="M854" s="46" t="n">
        <v>2662000</v>
      </c>
      <c r="N854" s="46" t="n">
        <v>0</v>
      </c>
      <c r="O854" s="46">
        <f>MAX(0,M854-N854-L854)</f>
        <v/>
      </c>
      <c r="P854" s="46">
        <f>MAX(0,L854-(M854-N854))</f>
        <v/>
      </c>
      <c r="Q854" s="45" t="inlineStr">
        <is>
          <t>30/09/2027</t>
        </is>
      </c>
      <c r="R854" s="45" t="inlineStr">
        <is>
          <t>PT2027-00851</t>
        </is>
      </c>
      <c r="S854" s="45" t="inlineStr"/>
    </row>
    <row r="855">
      <c r="A855" s="45" t="inlineStr">
        <is>
          <t>253630657</t>
        </is>
      </c>
      <c r="B855" s="45" t="inlineStr">
        <is>
          <t>PHAN LÊ DŨNG</t>
        </is>
      </c>
      <c r="C855" s="45" t="inlineStr">
        <is>
          <t>Khoa học máy tính K66</t>
        </is>
      </c>
      <c r="D855" s="45" t="inlineStr">
        <is>
          <t>Năm 4</t>
        </is>
      </c>
      <c r="E855" s="45" t="inlineStr">
        <is>
          <t>2028_2029</t>
        </is>
      </c>
      <c r="F855" s="45" t="n">
        <v>1</v>
      </c>
      <c r="G855" s="46">
        <f>VLOOKUP(D855,'Cấu Hình Học Phí'!$A$8:$B$11,2,FALSE)</f>
        <v/>
      </c>
      <c r="H855" s="46">
        <f>F855*G855</f>
        <v/>
      </c>
      <c r="I855" s="45" t="n">
        <v>0</v>
      </c>
      <c r="J855" s="46">
        <f>I855*'Cấu Hình Học Phí'!$B$5</f>
        <v/>
      </c>
      <c r="K855" s="46" t="n">
        <v>0</v>
      </c>
      <c r="L855" s="46">
        <f>H855+J855-K855</f>
        <v/>
      </c>
      <c r="M855" s="46" t="n">
        <v>732050</v>
      </c>
      <c r="N855" s="46" t="n">
        <v>0</v>
      </c>
      <c r="O855" s="46">
        <f>MAX(0,M855-N855-L855)</f>
        <v/>
      </c>
      <c r="P855" s="46">
        <f>MAX(0,L855-(M855-N855))</f>
        <v/>
      </c>
      <c r="Q855" s="45" t="inlineStr">
        <is>
          <t>30/09/2028</t>
        </is>
      </c>
      <c r="R855" s="45" t="inlineStr">
        <is>
          <t>PT2028-00852</t>
        </is>
      </c>
      <c r="S855" s="45" t="inlineStr"/>
    </row>
    <row r="856">
      <c r="A856" s="45" t="inlineStr">
        <is>
          <t>253630658</t>
        </is>
      </c>
      <c r="B856" s="45" t="inlineStr">
        <is>
          <t>VŨ DŨNG</t>
        </is>
      </c>
      <c r="C856" s="45" t="inlineStr">
        <is>
          <t>Khoa học máy tính K66</t>
        </is>
      </c>
      <c r="D856" s="45" t="inlineStr">
        <is>
          <t>Năm 1</t>
        </is>
      </c>
      <c r="E856" s="45" t="inlineStr">
        <is>
          <t>2025_2026</t>
        </is>
      </c>
      <c r="F856" s="45" t="n">
        <v>4</v>
      </c>
      <c r="G856" s="46">
        <f>VLOOKUP(D856,'Cấu Hình Học Phí'!$A$8:$B$11,2,FALSE)</f>
        <v/>
      </c>
      <c r="H856" s="46">
        <f>F856*G856</f>
        <v/>
      </c>
      <c r="I856" s="45" t="n">
        <v>0</v>
      </c>
      <c r="J856" s="46">
        <f>I856*'Cấu Hình Học Phí'!$B$5</f>
        <v/>
      </c>
      <c r="K856" s="46" t="n">
        <v>0</v>
      </c>
      <c r="L856" s="46">
        <f>H856+J856-K856</f>
        <v/>
      </c>
      <c r="M856" s="46" t="n">
        <v>2200000</v>
      </c>
      <c r="N856" s="46" t="n">
        <v>0</v>
      </c>
      <c r="O856" s="46">
        <f>MAX(0,M856-N856-L856)</f>
        <v/>
      </c>
      <c r="P856" s="46">
        <f>MAX(0,L856-(M856-N856))</f>
        <v/>
      </c>
      <c r="Q856" s="45" t="inlineStr">
        <is>
          <t>30/09/2025</t>
        </is>
      </c>
      <c r="R856" s="45" t="inlineStr">
        <is>
          <t>PT2025-00853</t>
        </is>
      </c>
      <c r="S856" s="45" t="inlineStr"/>
    </row>
    <row r="857">
      <c r="A857" s="45" t="inlineStr">
        <is>
          <t>253630658</t>
        </is>
      </c>
      <c r="B857" s="45" t="inlineStr">
        <is>
          <t>VŨ DŨNG</t>
        </is>
      </c>
      <c r="C857" s="45" t="inlineStr">
        <is>
          <t>Khoa học máy tính K66</t>
        </is>
      </c>
      <c r="D857" s="45" t="inlineStr">
        <is>
          <t>Năm 2</t>
        </is>
      </c>
      <c r="E857" s="45" t="inlineStr">
        <is>
          <t>2026_2027</t>
        </is>
      </c>
      <c r="F857" s="45" t="n">
        <v>4</v>
      </c>
      <c r="G857" s="46">
        <f>VLOOKUP(D857,'Cấu Hình Học Phí'!$A$8:$B$11,2,FALSE)</f>
        <v/>
      </c>
      <c r="H857" s="46">
        <f>F857*G857</f>
        <v/>
      </c>
      <c r="I857" s="45" t="n">
        <v>0</v>
      </c>
      <c r="J857" s="46">
        <f>I857*'Cấu Hình Học Phí'!$B$5</f>
        <v/>
      </c>
      <c r="K857" s="46" t="n">
        <v>0</v>
      </c>
      <c r="L857" s="46">
        <f>H857+J857-K857</f>
        <v/>
      </c>
      <c r="M857" s="46" t="n">
        <v>2420000</v>
      </c>
      <c r="N857" s="46" t="n">
        <v>0</v>
      </c>
      <c r="O857" s="46">
        <f>MAX(0,M857-N857-L857)</f>
        <v/>
      </c>
      <c r="P857" s="46">
        <f>MAX(0,L857-(M857-N857))</f>
        <v/>
      </c>
      <c r="Q857" s="45" t="inlineStr">
        <is>
          <t>30/09/2026</t>
        </is>
      </c>
      <c r="R857" s="45" t="inlineStr">
        <is>
          <t>PT2026-00854</t>
        </is>
      </c>
      <c r="S857" s="45" t="inlineStr"/>
    </row>
    <row r="858">
      <c r="A858" s="45" t="inlineStr">
        <is>
          <t>253630658</t>
        </is>
      </c>
      <c r="B858" s="45" t="inlineStr">
        <is>
          <t>VŨ DŨNG</t>
        </is>
      </c>
      <c r="C858" s="45" t="inlineStr">
        <is>
          <t>Khoa học máy tính K66</t>
        </is>
      </c>
      <c r="D858" s="45" t="inlineStr">
        <is>
          <t>Năm 3</t>
        </is>
      </c>
      <c r="E858" s="45" t="inlineStr">
        <is>
          <t>2027_2028</t>
        </is>
      </c>
      <c r="F858" s="45" t="n">
        <v>4</v>
      </c>
      <c r="G858" s="46">
        <f>VLOOKUP(D858,'Cấu Hình Học Phí'!$A$8:$B$11,2,FALSE)</f>
        <v/>
      </c>
      <c r="H858" s="46">
        <f>F858*G858</f>
        <v/>
      </c>
      <c r="I858" s="45" t="n">
        <v>0</v>
      </c>
      <c r="J858" s="46">
        <f>I858*'Cấu Hình Học Phí'!$B$5</f>
        <v/>
      </c>
      <c r="K858" s="46" t="n">
        <v>0</v>
      </c>
      <c r="L858" s="46">
        <f>H858+J858-K858</f>
        <v/>
      </c>
      <c r="M858" s="46" t="n">
        <v>2662000</v>
      </c>
      <c r="N858" s="46" t="n">
        <v>0</v>
      </c>
      <c r="O858" s="46">
        <f>MAX(0,M858-N858-L858)</f>
        <v/>
      </c>
      <c r="P858" s="46">
        <f>MAX(0,L858-(M858-N858))</f>
        <v/>
      </c>
      <c r="Q858" s="45" t="inlineStr">
        <is>
          <t>30/09/2027</t>
        </is>
      </c>
      <c r="R858" s="45" t="inlineStr">
        <is>
          <t>PT2027-00855</t>
        </is>
      </c>
      <c r="S858" s="45" t="inlineStr"/>
    </row>
    <row r="859">
      <c r="A859" s="45" t="inlineStr">
        <is>
          <t>253630658</t>
        </is>
      </c>
      <c r="B859" s="45" t="inlineStr">
        <is>
          <t>VŨ DŨNG</t>
        </is>
      </c>
      <c r="C859" s="45" t="inlineStr">
        <is>
          <t>Khoa học máy tính K66</t>
        </is>
      </c>
      <c r="D859" s="45" t="inlineStr">
        <is>
          <t>Năm 4</t>
        </is>
      </c>
      <c r="E859" s="45" t="inlineStr">
        <is>
          <t>2028_2029</t>
        </is>
      </c>
      <c r="F859" s="45" t="n">
        <v>1</v>
      </c>
      <c r="G859" s="46">
        <f>VLOOKUP(D859,'Cấu Hình Học Phí'!$A$8:$B$11,2,FALSE)</f>
        <v/>
      </c>
      <c r="H859" s="46">
        <f>F859*G859</f>
        <v/>
      </c>
      <c r="I859" s="45" t="n">
        <v>1</v>
      </c>
      <c r="J859" s="46">
        <f>I859*'Cấu Hình Học Phí'!$B$5</f>
        <v/>
      </c>
      <c r="K859" s="46" t="n">
        <v>0</v>
      </c>
      <c r="L859" s="46">
        <f>H859+J859-K859</f>
        <v/>
      </c>
      <c r="M859" s="46" t="n">
        <v>732050</v>
      </c>
      <c r="N859" s="46" t="n">
        <v>0</v>
      </c>
      <c r="O859" s="46">
        <f>MAX(0,M859-N859-L859)</f>
        <v/>
      </c>
      <c r="P859" s="46">
        <f>MAX(0,L859-(M859-N859))</f>
        <v/>
      </c>
      <c r="Q859" s="45" t="inlineStr">
        <is>
          <t>30/09/2028</t>
        </is>
      </c>
      <c r="R859" s="45" t="inlineStr">
        <is>
          <t>PT2028-00856</t>
        </is>
      </c>
      <c r="S859" s="45" t="inlineStr">
        <is>
          <t>Chưa nộp phí phụ đạo 1 môn</t>
        </is>
      </c>
    </row>
    <row r="860">
      <c r="A860" s="45" t="inlineStr">
        <is>
          <t>253610660</t>
        </is>
      </c>
      <c r="B860" s="45" t="inlineStr">
        <is>
          <t>TẠ MINH DƯƠNG</t>
        </is>
      </c>
      <c r="C860" s="45" t="inlineStr">
        <is>
          <t>Khoa học máy tính K66</t>
        </is>
      </c>
      <c r="D860" s="45" t="inlineStr">
        <is>
          <t>Năm 1</t>
        </is>
      </c>
      <c r="E860" s="45" t="inlineStr">
        <is>
          <t>2025_2026</t>
        </is>
      </c>
      <c r="F860" s="45" t="n">
        <v>4</v>
      </c>
      <c r="G860" s="46">
        <f>VLOOKUP(D860,'Cấu Hình Học Phí'!$A$8:$B$11,2,FALSE)</f>
        <v/>
      </c>
      <c r="H860" s="46">
        <f>F860*G860</f>
        <v/>
      </c>
      <c r="I860" s="45" t="n">
        <v>1</v>
      </c>
      <c r="J860" s="46">
        <f>I860*'Cấu Hình Học Phí'!$B$5</f>
        <v/>
      </c>
      <c r="K860" s="46" t="n">
        <v>0</v>
      </c>
      <c r="L860" s="46">
        <f>H860+J860-K860</f>
        <v/>
      </c>
      <c r="M860" s="46" t="n">
        <v>3200000</v>
      </c>
      <c r="N860" s="46" t="n">
        <v>0</v>
      </c>
      <c r="O860" s="46">
        <f>MAX(0,M860-N860-L860)</f>
        <v/>
      </c>
      <c r="P860" s="46">
        <f>MAX(0,L860-(M860-N860))</f>
        <v/>
      </c>
      <c r="Q860" s="45" t="inlineStr">
        <is>
          <t>30/09/2025</t>
        </is>
      </c>
      <c r="R860" s="45" t="inlineStr">
        <is>
          <t>PT2025-00857</t>
        </is>
      </c>
      <c r="S860" s="45" t="inlineStr"/>
    </row>
    <row r="861">
      <c r="A861" s="45" t="inlineStr">
        <is>
          <t>253610660</t>
        </is>
      </c>
      <c r="B861" s="45" t="inlineStr">
        <is>
          <t>TẠ MINH DƯƠNG</t>
        </is>
      </c>
      <c r="C861" s="45" t="inlineStr">
        <is>
          <t>Khoa học máy tính K66</t>
        </is>
      </c>
      <c r="D861" s="45" t="inlineStr">
        <is>
          <t>Năm 2</t>
        </is>
      </c>
      <c r="E861" s="45" t="inlineStr">
        <is>
          <t>2026_2027</t>
        </is>
      </c>
      <c r="F861" s="45" t="n">
        <v>4</v>
      </c>
      <c r="G861" s="46">
        <f>VLOOKUP(D861,'Cấu Hình Học Phí'!$A$8:$B$11,2,FALSE)</f>
        <v/>
      </c>
      <c r="H861" s="46">
        <f>F861*G861</f>
        <v/>
      </c>
      <c r="I861" s="45" t="n">
        <v>0</v>
      </c>
      <c r="J861" s="46">
        <f>I861*'Cấu Hình Học Phí'!$B$5</f>
        <v/>
      </c>
      <c r="K861" s="46" t="n">
        <v>0</v>
      </c>
      <c r="L861" s="46">
        <f>H861+J861-K861</f>
        <v/>
      </c>
      <c r="M861" s="46" t="n">
        <v>2420000</v>
      </c>
      <c r="N861" s="46" t="n">
        <v>0</v>
      </c>
      <c r="O861" s="46">
        <f>MAX(0,M861-N861-L861)</f>
        <v/>
      </c>
      <c r="P861" s="46">
        <f>MAX(0,L861-(M861-N861))</f>
        <v/>
      </c>
      <c r="Q861" s="45" t="inlineStr">
        <is>
          <t>30/09/2026</t>
        </is>
      </c>
      <c r="R861" s="45" t="inlineStr">
        <is>
          <t>PT2026-00858</t>
        </is>
      </c>
      <c r="S861" s="45" t="inlineStr"/>
    </row>
    <row r="862">
      <c r="A862" s="45" t="inlineStr">
        <is>
          <t>253610660</t>
        </is>
      </c>
      <c r="B862" s="45" t="inlineStr">
        <is>
          <t>TẠ MINH DƯƠNG</t>
        </is>
      </c>
      <c r="C862" s="45" t="inlineStr">
        <is>
          <t>Khoa học máy tính K66</t>
        </is>
      </c>
      <c r="D862" s="45" t="inlineStr">
        <is>
          <t>Năm 3</t>
        </is>
      </c>
      <c r="E862" s="45" t="inlineStr">
        <is>
          <t>2027_2028</t>
        </is>
      </c>
      <c r="F862" s="45" t="n">
        <v>4</v>
      </c>
      <c r="G862" s="46">
        <f>VLOOKUP(D862,'Cấu Hình Học Phí'!$A$8:$B$11,2,FALSE)</f>
        <v/>
      </c>
      <c r="H862" s="46">
        <f>F862*G862</f>
        <v/>
      </c>
      <c r="I862" s="45" t="n">
        <v>0</v>
      </c>
      <c r="J862" s="46">
        <f>I862*'Cấu Hình Học Phí'!$B$5</f>
        <v/>
      </c>
      <c r="K862" s="46" t="n">
        <v>0</v>
      </c>
      <c r="L862" s="46">
        <f>H862+J862-K862</f>
        <v/>
      </c>
      <c r="M862" s="46" t="n">
        <v>2662000</v>
      </c>
      <c r="N862" s="46" t="n">
        <v>0</v>
      </c>
      <c r="O862" s="46">
        <f>MAX(0,M862-N862-L862)</f>
        <v/>
      </c>
      <c r="P862" s="46">
        <f>MAX(0,L862-(M862-N862))</f>
        <v/>
      </c>
      <c r="Q862" s="45" t="inlineStr">
        <is>
          <t>30/09/2027</t>
        </is>
      </c>
      <c r="R862" s="45" t="inlineStr">
        <is>
          <t>PT2027-00859</t>
        </is>
      </c>
      <c r="S862" s="45" t="inlineStr"/>
    </row>
    <row r="863">
      <c r="A863" s="45" t="inlineStr">
        <is>
          <t>253610660</t>
        </is>
      </c>
      <c r="B863" s="45" t="inlineStr">
        <is>
          <t>TẠ MINH DƯƠNG</t>
        </is>
      </c>
      <c r="C863" s="45" t="inlineStr">
        <is>
          <t>Khoa học máy tính K66</t>
        </is>
      </c>
      <c r="D863" s="45" t="inlineStr">
        <is>
          <t>Năm 4</t>
        </is>
      </c>
      <c r="E863" s="45" t="inlineStr">
        <is>
          <t>2028_2029</t>
        </is>
      </c>
      <c r="F863" s="45" t="n">
        <v>1</v>
      </c>
      <c r="G863" s="46">
        <f>VLOOKUP(D863,'Cấu Hình Học Phí'!$A$8:$B$11,2,FALSE)</f>
        <v/>
      </c>
      <c r="H863" s="46">
        <f>F863*G863</f>
        <v/>
      </c>
      <c r="I863" s="45" t="n">
        <v>0</v>
      </c>
      <c r="J863" s="46">
        <f>I863*'Cấu Hình Học Phí'!$B$5</f>
        <v/>
      </c>
      <c r="K863" s="46" t="n">
        <v>0</v>
      </c>
      <c r="L863" s="46">
        <f>H863+J863-K863</f>
        <v/>
      </c>
      <c r="M863" s="46" t="n">
        <v>732050</v>
      </c>
      <c r="N863" s="46" t="n">
        <v>0</v>
      </c>
      <c r="O863" s="46">
        <f>MAX(0,M863-N863-L863)</f>
        <v/>
      </c>
      <c r="P863" s="46">
        <f>MAX(0,L863-(M863-N863))</f>
        <v/>
      </c>
      <c r="Q863" s="45" t="inlineStr">
        <is>
          <t>30/09/2028</t>
        </is>
      </c>
      <c r="R863" s="45" t="inlineStr">
        <is>
          <t>PT2028-00860</t>
        </is>
      </c>
      <c r="S863" s="45" t="inlineStr"/>
    </row>
    <row r="864">
      <c r="A864" s="45" t="inlineStr">
        <is>
          <t>253610661</t>
        </is>
      </c>
      <c r="B864" s="45" t="inlineStr">
        <is>
          <t>SA XUÂN ĐẠI</t>
        </is>
      </c>
      <c r="C864" s="45" t="inlineStr">
        <is>
          <t>Khoa học máy tính K66</t>
        </is>
      </c>
      <c r="D864" s="45" t="inlineStr">
        <is>
          <t>Năm 1</t>
        </is>
      </c>
      <c r="E864" s="45" t="inlineStr">
        <is>
          <t>2025_2026</t>
        </is>
      </c>
      <c r="F864" s="45" t="n">
        <v>4</v>
      </c>
      <c r="G864" s="46">
        <f>VLOOKUP(D864,'Cấu Hình Học Phí'!$A$8:$B$11,2,FALSE)</f>
        <v/>
      </c>
      <c r="H864" s="46">
        <f>F864*G864</f>
        <v/>
      </c>
      <c r="I864" s="45" t="n">
        <v>1</v>
      </c>
      <c r="J864" s="46">
        <f>I864*'Cấu Hình Học Phí'!$B$5</f>
        <v/>
      </c>
      <c r="K864" s="46" t="n">
        <v>0</v>
      </c>
      <c r="L864" s="46">
        <f>H864+J864-K864</f>
        <v/>
      </c>
      <c r="M864" s="46" t="n">
        <v>3200000</v>
      </c>
      <c r="N864" s="46" t="n">
        <v>0</v>
      </c>
      <c r="O864" s="46">
        <f>MAX(0,M864-N864-L864)</f>
        <v/>
      </c>
      <c r="P864" s="46">
        <f>MAX(0,L864-(M864-N864))</f>
        <v/>
      </c>
      <c r="Q864" s="45" t="inlineStr">
        <is>
          <t>30/09/2025</t>
        </is>
      </c>
      <c r="R864" s="45" t="inlineStr">
        <is>
          <t>PT2025-00861</t>
        </is>
      </c>
      <c r="S864" s="45" t="inlineStr"/>
    </row>
    <row r="865">
      <c r="A865" s="45" t="inlineStr">
        <is>
          <t>253610661</t>
        </is>
      </c>
      <c r="B865" s="45" t="inlineStr">
        <is>
          <t>SA XUÂN ĐẠI</t>
        </is>
      </c>
      <c r="C865" s="45" t="inlineStr">
        <is>
          <t>Khoa học máy tính K66</t>
        </is>
      </c>
      <c r="D865" s="45" t="inlineStr">
        <is>
          <t>Năm 2</t>
        </is>
      </c>
      <c r="E865" s="45" t="inlineStr">
        <is>
          <t>2026_2027</t>
        </is>
      </c>
      <c r="F865" s="45" t="n">
        <v>4</v>
      </c>
      <c r="G865" s="46">
        <f>VLOOKUP(D865,'Cấu Hình Học Phí'!$A$8:$B$11,2,FALSE)</f>
        <v/>
      </c>
      <c r="H865" s="46">
        <f>F865*G865</f>
        <v/>
      </c>
      <c r="I865" s="45" t="n">
        <v>0</v>
      </c>
      <c r="J865" s="46">
        <f>I865*'Cấu Hình Học Phí'!$B$5</f>
        <v/>
      </c>
      <c r="K865" s="46" t="n">
        <v>0</v>
      </c>
      <c r="L865" s="46">
        <f>H865+J865-K865</f>
        <v/>
      </c>
      <c r="M865" s="46" t="n">
        <v>2420000</v>
      </c>
      <c r="N865" s="46" t="n">
        <v>0</v>
      </c>
      <c r="O865" s="46">
        <f>MAX(0,M865-N865-L865)</f>
        <v/>
      </c>
      <c r="P865" s="46">
        <f>MAX(0,L865-(M865-N865))</f>
        <v/>
      </c>
      <c r="Q865" s="45" t="inlineStr">
        <is>
          <t>30/09/2026</t>
        </is>
      </c>
      <c r="R865" s="45" t="inlineStr">
        <is>
          <t>PT2026-00862</t>
        </is>
      </c>
      <c r="S865" s="45" t="inlineStr"/>
    </row>
    <row r="866">
      <c r="A866" s="45" t="inlineStr">
        <is>
          <t>253610661</t>
        </is>
      </c>
      <c r="B866" s="45" t="inlineStr">
        <is>
          <t>SA XUÂN ĐẠI</t>
        </is>
      </c>
      <c r="C866" s="45" t="inlineStr">
        <is>
          <t>Khoa học máy tính K66</t>
        </is>
      </c>
      <c r="D866" s="45" t="inlineStr">
        <is>
          <t>Năm 3</t>
        </is>
      </c>
      <c r="E866" s="45" t="inlineStr">
        <is>
          <t>2027_2028</t>
        </is>
      </c>
      <c r="F866" s="45" t="n">
        <v>4</v>
      </c>
      <c r="G866" s="46">
        <f>VLOOKUP(D866,'Cấu Hình Học Phí'!$A$8:$B$11,2,FALSE)</f>
        <v/>
      </c>
      <c r="H866" s="46">
        <f>F866*G866</f>
        <v/>
      </c>
      <c r="I866" s="45" t="n">
        <v>0</v>
      </c>
      <c r="J866" s="46">
        <f>I866*'Cấu Hình Học Phí'!$B$5</f>
        <v/>
      </c>
      <c r="K866" s="46" t="n">
        <v>0</v>
      </c>
      <c r="L866" s="46">
        <f>H866+J866-K866</f>
        <v/>
      </c>
      <c r="M866" s="46" t="n">
        <v>2662000</v>
      </c>
      <c r="N866" s="46" t="n">
        <v>0</v>
      </c>
      <c r="O866" s="46">
        <f>MAX(0,M866-N866-L866)</f>
        <v/>
      </c>
      <c r="P866" s="46">
        <f>MAX(0,L866-(M866-N866))</f>
        <v/>
      </c>
      <c r="Q866" s="45" t="inlineStr">
        <is>
          <t>30/09/2027</t>
        </is>
      </c>
      <c r="R866" s="45" t="inlineStr">
        <is>
          <t>PT2027-00863</t>
        </is>
      </c>
      <c r="S866" s="45" t="inlineStr"/>
    </row>
    <row r="867">
      <c r="A867" s="45" t="inlineStr">
        <is>
          <t>253610661</t>
        </is>
      </c>
      <c r="B867" s="45" t="inlineStr">
        <is>
          <t>SA XUÂN ĐẠI</t>
        </is>
      </c>
      <c r="C867" s="45" t="inlineStr">
        <is>
          <t>Khoa học máy tính K66</t>
        </is>
      </c>
      <c r="D867" s="45" t="inlineStr">
        <is>
          <t>Năm 4</t>
        </is>
      </c>
      <c r="E867" s="45" t="inlineStr">
        <is>
          <t>2028_2029</t>
        </is>
      </c>
      <c r="F867" s="45" t="n">
        <v>1</v>
      </c>
      <c r="G867" s="46">
        <f>VLOOKUP(D867,'Cấu Hình Học Phí'!$A$8:$B$11,2,FALSE)</f>
        <v/>
      </c>
      <c r="H867" s="46">
        <f>F867*G867</f>
        <v/>
      </c>
      <c r="I867" s="45" t="n">
        <v>0</v>
      </c>
      <c r="J867" s="46">
        <f>I867*'Cấu Hình Học Phí'!$B$5</f>
        <v/>
      </c>
      <c r="K867" s="46" t="n">
        <v>0</v>
      </c>
      <c r="L867" s="46">
        <f>H867+J867-K867</f>
        <v/>
      </c>
      <c r="M867" s="46" t="n">
        <v>732050</v>
      </c>
      <c r="N867" s="46" t="n">
        <v>0</v>
      </c>
      <c r="O867" s="46">
        <f>MAX(0,M867-N867-L867)</f>
        <v/>
      </c>
      <c r="P867" s="46">
        <f>MAX(0,L867-(M867-N867))</f>
        <v/>
      </c>
      <c r="Q867" s="45" t="inlineStr">
        <is>
          <t>30/09/2028</t>
        </is>
      </c>
      <c r="R867" s="45" t="inlineStr">
        <is>
          <t>PT2028-00864</t>
        </is>
      </c>
      <c r="S867" s="45" t="inlineStr"/>
    </row>
    <row r="868">
      <c r="A868" s="45" t="inlineStr">
        <is>
          <t>253630662</t>
        </is>
      </c>
      <c r="B868" s="45" t="inlineStr">
        <is>
          <t>NGUYỄN XUÂN ĐẠT</t>
        </is>
      </c>
      <c r="C868" s="45" t="inlineStr">
        <is>
          <t>Khoa học máy tính K66</t>
        </is>
      </c>
      <c r="D868" s="45" t="inlineStr">
        <is>
          <t>Năm 1</t>
        </is>
      </c>
      <c r="E868" s="45" t="inlineStr">
        <is>
          <t>2025_2026</t>
        </is>
      </c>
      <c r="F868" s="45" t="n">
        <v>4</v>
      </c>
      <c r="G868" s="46">
        <f>VLOOKUP(D868,'Cấu Hình Học Phí'!$A$8:$B$11,2,FALSE)</f>
        <v/>
      </c>
      <c r="H868" s="46">
        <f>F868*G868</f>
        <v/>
      </c>
      <c r="I868" s="45" t="n">
        <v>0</v>
      </c>
      <c r="J868" s="46">
        <f>I868*'Cấu Hình Học Phí'!$B$5</f>
        <v/>
      </c>
      <c r="K868" s="46" t="n">
        <v>0</v>
      </c>
      <c r="L868" s="46">
        <f>H868+J868-K868</f>
        <v/>
      </c>
      <c r="M868" s="46" t="n">
        <v>2200000</v>
      </c>
      <c r="N868" s="46" t="n">
        <v>0</v>
      </c>
      <c r="O868" s="46">
        <f>MAX(0,M868-N868-L868)</f>
        <v/>
      </c>
      <c r="P868" s="46">
        <f>MAX(0,L868-(M868-N868))</f>
        <v/>
      </c>
      <c r="Q868" s="45" t="inlineStr">
        <is>
          <t>30/09/2025</t>
        </is>
      </c>
      <c r="R868" s="45" t="inlineStr">
        <is>
          <t>PT2025-00865</t>
        </is>
      </c>
      <c r="S868" s="45" t="inlineStr"/>
    </row>
    <row r="869">
      <c r="A869" s="45" t="inlineStr">
        <is>
          <t>253630662</t>
        </is>
      </c>
      <c r="B869" s="45" t="inlineStr">
        <is>
          <t>NGUYỄN XUÂN ĐẠT</t>
        </is>
      </c>
      <c r="C869" s="45" t="inlineStr">
        <is>
          <t>Khoa học máy tính K66</t>
        </is>
      </c>
      <c r="D869" s="45" t="inlineStr">
        <is>
          <t>Năm 2</t>
        </is>
      </c>
      <c r="E869" s="45" t="inlineStr">
        <is>
          <t>2026_2027</t>
        </is>
      </c>
      <c r="F869" s="45" t="n">
        <v>4</v>
      </c>
      <c r="G869" s="46">
        <f>VLOOKUP(D869,'Cấu Hình Học Phí'!$A$8:$B$11,2,FALSE)</f>
        <v/>
      </c>
      <c r="H869" s="46">
        <f>F869*G869</f>
        <v/>
      </c>
      <c r="I869" s="45" t="n">
        <v>0</v>
      </c>
      <c r="J869" s="46">
        <f>I869*'Cấu Hình Học Phí'!$B$5</f>
        <v/>
      </c>
      <c r="K869" s="46" t="n">
        <v>0</v>
      </c>
      <c r="L869" s="46">
        <f>H869+J869-K869</f>
        <v/>
      </c>
      <c r="M869" s="46" t="n">
        <v>2420000</v>
      </c>
      <c r="N869" s="46" t="n">
        <v>0</v>
      </c>
      <c r="O869" s="46">
        <f>MAX(0,M869-N869-L869)</f>
        <v/>
      </c>
      <c r="P869" s="46">
        <f>MAX(0,L869-(M869-N869))</f>
        <v/>
      </c>
      <c r="Q869" s="45" t="inlineStr">
        <is>
          <t>30/09/2026</t>
        </is>
      </c>
      <c r="R869" s="45" t="inlineStr">
        <is>
          <t>PT2026-00866</t>
        </is>
      </c>
      <c r="S869" s="45" t="inlineStr"/>
    </row>
    <row r="870">
      <c r="A870" s="45" t="inlineStr">
        <is>
          <t>253630662</t>
        </is>
      </c>
      <c r="B870" s="45" t="inlineStr">
        <is>
          <t>NGUYỄN XUÂN ĐẠT</t>
        </is>
      </c>
      <c r="C870" s="45" t="inlineStr">
        <is>
          <t>Khoa học máy tính K66</t>
        </is>
      </c>
      <c r="D870" s="45" t="inlineStr">
        <is>
          <t>Năm 3</t>
        </is>
      </c>
      <c r="E870" s="45" t="inlineStr">
        <is>
          <t>2027_2028</t>
        </is>
      </c>
      <c r="F870" s="45" t="n">
        <v>4</v>
      </c>
      <c r="G870" s="46">
        <f>VLOOKUP(D870,'Cấu Hình Học Phí'!$A$8:$B$11,2,FALSE)</f>
        <v/>
      </c>
      <c r="H870" s="46">
        <f>F870*G870</f>
        <v/>
      </c>
      <c r="I870" s="45" t="n">
        <v>0</v>
      </c>
      <c r="J870" s="46">
        <f>I870*'Cấu Hình Học Phí'!$B$5</f>
        <v/>
      </c>
      <c r="K870" s="46" t="n">
        <v>0</v>
      </c>
      <c r="L870" s="46">
        <f>H870+J870-K870</f>
        <v/>
      </c>
      <c r="M870" s="46" t="n">
        <v>2662000</v>
      </c>
      <c r="N870" s="46" t="n">
        <v>0</v>
      </c>
      <c r="O870" s="46">
        <f>MAX(0,M870-N870-L870)</f>
        <v/>
      </c>
      <c r="P870" s="46">
        <f>MAX(0,L870-(M870-N870))</f>
        <v/>
      </c>
      <c r="Q870" s="45" t="inlineStr">
        <is>
          <t>30/09/2027</t>
        </is>
      </c>
      <c r="R870" s="45" t="inlineStr">
        <is>
          <t>PT2027-00867</t>
        </is>
      </c>
      <c r="S870" s="45" t="inlineStr"/>
    </row>
    <row r="871">
      <c r="A871" s="45" t="inlineStr">
        <is>
          <t>253630662</t>
        </is>
      </c>
      <c r="B871" s="45" t="inlineStr">
        <is>
          <t>NGUYỄN XUÂN ĐẠT</t>
        </is>
      </c>
      <c r="C871" s="45" t="inlineStr">
        <is>
          <t>Khoa học máy tính K66</t>
        </is>
      </c>
      <c r="D871" s="45" t="inlineStr">
        <is>
          <t>Năm 4</t>
        </is>
      </c>
      <c r="E871" s="45" t="inlineStr">
        <is>
          <t>2028_2029</t>
        </is>
      </c>
      <c r="F871" s="45" t="n">
        <v>1</v>
      </c>
      <c r="G871" s="46">
        <f>VLOOKUP(D871,'Cấu Hình Học Phí'!$A$8:$B$11,2,FALSE)</f>
        <v/>
      </c>
      <c r="H871" s="46">
        <f>F871*G871</f>
        <v/>
      </c>
      <c r="I871" s="45" t="n">
        <v>0</v>
      </c>
      <c r="J871" s="46">
        <f>I871*'Cấu Hình Học Phí'!$B$5</f>
        <v/>
      </c>
      <c r="K871" s="46" t="n">
        <v>0</v>
      </c>
      <c r="L871" s="46">
        <f>H871+J871-K871</f>
        <v/>
      </c>
      <c r="M871" s="46" t="n">
        <v>732050</v>
      </c>
      <c r="N871" s="46" t="n">
        <v>0</v>
      </c>
      <c r="O871" s="46">
        <f>MAX(0,M871-N871-L871)</f>
        <v/>
      </c>
      <c r="P871" s="46">
        <f>MAX(0,L871-(M871-N871))</f>
        <v/>
      </c>
      <c r="Q871" s="45" t="inlineStr">
        <is>
          <t>30/09/2028</t>
        </is>
      </c>
      <c r="R871" s="45" t="inlineStr">
        <is>
          <t>PT2028-00868</t>
        </is>
      </c>
      <c r="S871" s="45" t="inlineStr"/>
    </row>
    <row r="872">
      <c r="A872" s="45" t="inlineStr">
        <is>
          <t>253630663</t>
        </is>
      </c>
      <c r="B872" s="45" t="inlineStr">
        <is>
          <t>PHẠM CÔNG ĐOAN</t>
        </is>
      </c>
      <c r="C872" s="45" t="inlineStr">
        <is>
          <t>Khoa học máy tính K66</t>
        </is>
      </c>
      <c r="D872" s="45" t="inlineStr">
        <is>
          <t>Năm 1</t>
        </is>
      </c>
      <c r="E872" s="45" t="inlineStr">
        <is>
          <t>2025_2026</t>
        </is>
      </c>
      <c r="F872" s="45" t="n">
        <v>4</v>
      </c>
      <c r="G872" s="46">
        <f>VLOOKUP(D872,'Cấu Hình Học Phí'!$A$8:$B$11,2,FALSE)</f>
        <v/>
      </c>
      <c r="H872" s="46">
        <f>F872*G872</f>
        <v/>
      </c>
      <c r="I872" s="45" t="n">
        <v>1</v>
      </c>
      <c r="J872" s="46">
        <f>I872*'Cấu Hình Học Phí'!$B$5</f>
        <v/>
      </c>
      <c r="K872" s="46" t="n">
        <v>0</v>
      </c>
      <c r="L872" s="46">
        <f>H872+J872-K872</f>
        <v/>
      </c>
      <c r="M872" s="46" t="n">
        <v>3200000</v>
      </c>
      <c r="N872" s="46" t="n">
        <v>0</v>
      </c>
      <c r="O872" s="46">
        <f>MAX(0,M872-N872-L872)</f>
        <v/>
      </c>
      <c r="P872" s="46">
        <f>MAX(0,L872-(M872-N872))</f>
        <v/>
      </c>
      <c r="Q872" s="45" t="inlineStr">
        <is>
          <t>30/09/2025</t>
        </is>
      </c>
      <c r="R872" s="45" t="inlineStr">
        <is>
          <t>PT2025-00869</t>
        </is>
      </c>
      <c r="S872" s="45" t="inlineStr"/>
    </row>
    <row r="873">
      <c r="A873" s="45" t="inlineStr">
        <is>
          <t>253630663</t>
        </is>
      </c>
      <c r="B873" s="45" t="inlineStr">
        <is>
          <t>PHẠM CÔNG ĐOAN</t>
        </is>
      </c>
      <c r="C873" s="45" t="inlineStr">
        <is>
          <t>Khoa học máy tính K66</t>
        </is>
      </c>
      <c r="D873" s="45" t="inlineStr">
        <is>
          <t>Năm 2</t>
        </is>
      </c>
      <c r="E873" s="45" t="inlineStr">
        <is>
          <t>2026_2027</t>
        </is>
      </c>
      <c r="F873" s="45" t="n">
        <v>4</v>
      </c>
      <c r="G873" s="46">
        <f>VLOOKUP(D873,'Cấu Hình Học Phí'!$A$8:$B$11,2,FALSE)</f>
        <v/>
      </c>
      <c r="H873" s="46">
        <f>F873*G873</f>
        <v/>
      </c>
      <c r="I873" s="45" t="n">
        <v>0</v>
      </c>
      <c r="J873" s="46">
        <f>I873*'Cấu Hình Học Phí'!$B$5</f>
        <v/>
      </c>
      <c r="K873" s="46" t="n">
        <v>0</v>
      </c>
      <c r="L873" s="46">
        <f>H873+J873-K873</f>
        <v/>
      </c>
      <c r="M873" s="46" t="n">
        <v>2420000</v>
      </c>
      <c r="N873" s="46" t="n">
        <v>0</v>
      </c>
      <c r="O873" s="46">
        <f>MAX(0,M873-N873-L873)</f>
        <v/>
      </c>
      <c r="P873" s="46">
        <f>MAX(0,L873-(M873-N873))</f>
        <v/>
      </c>
      <c r="Q873" s="45" t="inlineStr">
        <is>
          <t>30/09/2026</t>
        </is>
      </c>
      <c r="R873" s="45" t="inlineStr">
        <is>
          <t>PT2026-00870</t>
        </is>
      </c>
      <c r="S873" s="45" t="inlineStr"/>
    </row>
    <row r="874">
      <c r="A874" s="45" t="inlineStr">
        <is>
          <t>253630663</t>
        </is>
      </c>
      <c r="B874" s="45" t="inlineStr">
        <is>
          <t>PHẠM CÔNG ĐOAN</t>
        </is>
      </c>
      <c r="C874" s="45" t="inlineStr">
        <is>
          <t>Khoa học máy tính K66</t>
        </is>
      </c>
      <c r="D874" s="45" t="inlineStr">
        <is>
          <t>Năm 3</t>
        </is>
      </c>
      <c r="E874" s="45" t="inlineStr">
        <is>
          <t>2027_2028</t>
        </is>
      </c>
      <c r="F874" s="45" t="n">
        <v>4</v>
      </c>
      <c r="G874" s="46">
        <f>VLOOKUP(D874,'Cấu Hình Học Phí'!$A$8:$B$11,2,FALSE)</f>
        <v/>
      </c>
      <c r="H874" s="46">
        <f>F874*G874</f>
        <v/>
      </c>
      <c r="I874" s="45" t="n">
        <v>0</v>
      </c>
      <c r="J874" s="46">
        <f>I874*'Cấu Hình Học Phí'!$B$5</f>
        <v/>
      </c>
      <c r="K874" s="46" t="n">
        <v>0</v>
      </c>
      <c r="L874" s="46">
        <f>H874+J874-K874</f>
        <v/>
      </c>
      <c r="M874" s="46" t="n">
        <v>2662000</v>
      </c>
      <c r="N874" s="46" t="n">
        <v>0</v>
      </c>
      <c r="O874" s="46">
        <f>MAX(0,M874-N874-L874)</f>
        <v/>
      </c>
      <c r="P874" s="46">
        <f>MAX(0,L874-(M874-N874))</f>
        <v/>
      </c>
      <c r="Q874" s="45" t="inlineStr">
        <is>
          <t>30/09/2027</t>
        </is>
      </c>
      <c r="R874" s="45" t="inlineStr">
        <is>
          <t>PT2027-00871</t>
        </is>
      </c>
      <c r="S874" s="45" t="inlineStr"/>
    </row>
    <row r="875">
      <c r="A875" s="45" t="inlineStr">
        <is>
          <t>253630663</t>
        </is>
      </c>
      <c r="B875" s="45" t="inlineStr">
        <is>
          <t>PHẠM CÔNG ĐOAN</t>
        </is>
      </c>
      <c r="C875" s="45" t="inlineStr">
        <is>
          <t>Khoa học máy tính K66</t>
        </is>
      </c>
      <c r="D875" s="45" t="inlineStr">
        <is>
          <t>Năm 4</t>
        </is>
      </c>
      <c r="E875" s="45" t="inlineStr">
        <is>
          <t>2028_2029</t>
        </is>
      </c>
      <c r="F875" s="45" t="n">
        <v>1</v>
      </c>
      <c r="G875" s="46">
        <f>VLOOKUP(D875,'Cấu Hình Học Phí'!$A$8:$B$11,2,FALSE)</f>
        <v/>
      </c>
      <c r="H875" s="46">
        <f>F875*G875</f>
        <v/>
      </c>
      <c r="I875" s="45" t="n">
        <v>0</v>
      </c>
      <c r="J875" s="46">
        <f>I875*'Cấu Hình Học Phí'!$B$5</f>
        <v/>
      </c>
      <c r="K875" s="46" t="n">
        <v>0</v>
      </c>
      <c r="L875" s="46">
        <f>H875+J875-K875</f>
        <v/>
      </c>
      <c r="M875" s="46" t="n">
        <v>732050</v>
      </c>
      <c r="N875" s="46" t="n">
        <v>0</v>
      </c>
      <c r="O875" s="46">
        <f>MAX(0,M875-N875-L875)</f>
        <v/>
      </c>
      <c r="P875" s="46">
        <f>MAX(0,L875-(M875-N875))</f>
        <v/>
      </c>
      <c r="Q875" s="45" t="inlineStr">
        <is>
          <t>30/09/2028</t>
        </is>
      </c>
      <c r="R875" s="45" t="inlineStr">
        <is>
          <t>PT2028-00872</t>
        </is>
      </c>
      <c r="S875" s="45" t="inlineStr"/>
    </row>
    <row r="876">
      <c r="A876" s="45" t="inlineStr">
        <is>
          <t>253630664</t>
        </is>
      </c>
      <c r="B876" s="45" t="inlineStr">
        <is>
          <t>ĐỖ TRƯỜNG GIANG</t>
        </is>
      </c>
      <c r="C876" s="45" t="inlineStr">
        <is>
          <t>Khoa học máy tính K66</t>
        </is>
      </c>
      <c r="D876" s="45" t="inlineStr">
        <is>
          <t>Năm 1</t>
        </is>
      </c>
      <c r="E876" s="45" t="inlineStr">
        <is>
          <t>2025_2026</t>
        </is>
      </c>
      <c r="F876" s="45" t="n">
        <v>4</v>
      </c>
      <c r="G876" s="46">
        <f>VLOOKUP(D876,'Cấu Hình Học Phí'!$A$8:$B$11,2,FALSE)</f>
        <v/>
      </c>
      <c r="H876" s="46">
        <f>F876*G876</f>
        <v/>
      </c>
      <c r="I876" s="45" t="n">
        <v>2</v>
      </c>
      <c r="J876" s="46">
        <f>I876*'Cấu Hình Học Phí'!$B$5</f>
        <v/>
      </c>
      <c r="K876" s="46" t="n">
        <v>0</v>
      </c>
      <c r="L876" s="46">
        <f>H876+J876-K876</f>
        <v/>
      </c>
      <c r="M876" s="46" t="n">
        <v>4200000</v>
      </c>
      <c r="N876" s="46" t="n">
        <v>0</v>
      </c>
      <c r="O876" s="46">
        <f>MAX(0,M876-N876-L876)</f>
        <v/>
      </c>
      <c r="P876" s="46">
        <f>MAX(0,L876-(M876-N876))</f>
        <v/>
      </c>
      <c r="Q876" s="45" t="inlineStr">
        <is>
          <t>30/09/2025</t>
        </is>
      </c>
      <c r="R876" s="45" t="inlineStr">
        <is>
          <t>PT2025-00873</t>
        </is>
      </c>
      <c r="S876" s="45" t="inlineStr"/>
    </row>
    <row r="877">
      <c r="A877" s="45" t="inlineStr">
        <is>
          <t>253630664</t>
        </is>
      </c>
      <c r="B877" s="45" t="inlineStr">
        <is>
          <t>ĐỖ TRƯỜNG GIANG</t>
        </is>
      </c>
      <c r="C877" s="45" t="inlineStr">
        <is>
          <t>Khoa học máy tính K66</t>
        </is>
      </c>
      <c r="D877" s="45" t="inlineStr">
        <is>
          <t>Năm 2</t>
        </is>
      </c>
      <c r="E877" s="45" t="inlineStr">
        <is>
          <t>2026_2027</t>
        </is>
      </c>
      <c r="F877" s="45" t="n">
        <v>4</v>
      </c>
      <c r="G877" s="46">
        <f>VLOOKUP(D877,'Cấu Hình Học Phí'!$A$8:$B$11,2,FALSE)</f>
        <v/>
      </c>
      <c r="H877" s="46">
        <f>F877*G877</f>
        <v/>
      </c>
      <c r="I877" s="45" t="n">
        <v>1</v>
      </c>
      <c r="J877" s="46">
        <f>I877*'Cấu Hình Học Phí'!$B$5</f>
        <v/>
      </c>
      <c r="K877" s="46" t="n">
        <v>0</v>
      </c>
      <c r="L877" s="46">
        <f>H877+J877-K877</f>
        <v/>
      </c>
      <c r="M877" s="46" t="n">
        <v>2420000</v>
      </c>
      <c r="N877" s="46" t="n">
        <v>0</v>
      </c>
      <c r="O877" s="46">
        <f>MAX(0,M877-N877-L877)</f>
        <v/>
      </c>
      <c r="P877" s="46">
        <f>MAX(0,L877-(M877-N877))</f>
        <v/>
      </c>
      <c r="Q877" s="45" t="inlineStr">
        <is>
          <t>30/09/2026</t>
        </is>
      </c>
      <c r="R877" s="45" t="inlineStr">
        <is>
          <t>PT2026-00874</t>
        </is>
      </c>
      <c r="S877" s="45" t="inlineStr">
        <is>
          <t>Chưa nộp phí phụ đạo 1 môn</t>
        </is>
      </c>
    </row>
    <row r="878">
      <c r="A878" s="45" t="inlineStr">
        <is>
          <t>253630664</t>
        </is>
      </c>
      <c r="B878" s="45" t="inlineStr">
        <is>
          <t>ĐỖ TRƯỜNG GIANG</t>
        </is>
      </c>
      <c r="C878" s="45" t="inlineStr">
        <is>
          <t>Khoa học máy tính K66</t>
        </is>
      </c>
      <c r="D878" s="45" t="inlineStr">
        <is>
          <t>Năm 3</t>
        </is>
      </c>
      <c r="E878" s="45" t="inlineStr">
        <is>
          <t>2027_2028</t>
        </is>
      </c>
      <c r="F878" s="45" t="n">
        <v>4</v>
      </c>
      <c r="G878" s="46">
        <f>VLOOKUP(D878,'Cấu Hình Học Phí'!$A$8:$B$11,2,FALSE)</f>
        <v/>
      </c>
      <c r="H878" s="46">
        <f>F878*G878</f>
        <v/>
      </c>
      <c r="I878" s="45" t="n">
        <v>0</v>
      </c>
      <c r="J878" s="46">
        <f>I878*'Cấu Hình Học Phí'!$B$5</f>
        <v/>
      </c>
      <c r="K878" s="46" t="n">
        <v>0</v>
      </c>
      <c r="L878" s="46">
        <f>H878+J878-K878</f>
        <v/>
      </c>
      <c r="M878" s="46" t="n">
        <v>2662000</v>
      </c>
      <c r="N878" s="46" t="n">
        <v>0</v>
      </c>
      <c r="O878" s="46">
        <f>MAX(0,M878-N878-L878)</f>
        <v/>
      </c>
      <c r="P878" s="46">
        <f>MAX(0,L878-(M878-N878))</f>
        <v/>
      </c>
      <c r="Q878" s="45" t="inlineStr">
        <is>
          <t>30/09/2027</t>
        </is>
      </c>
      <c r="R878" s="45" t="inlineStr">
        <is>
          <t>PT2027-00875</t>
        </is>
      </c>
      <c r="S878" s="45" t="inlineStr"/>
    </row>
    <row r="879">
      <c r="A879" s="45" t="inlineStr">
        <is>
          <t>253630664</t>
        </is>
      </c>
      <c r="B879" s="45" t="inlineStr">
        <is>
          <t>ĐỖ TRƯỜNG GIANG</t>
        </is>
      </c>
      <c r="C879" s="45" t="inlineStr">
        <is>
          <t>Khoa học máy tính K66</t>
        </is>
      </c>
      <c r="D879" s="45" t="inlineStr">
        <is>
          <t>Năm 4</t>
        </is>
      </c>
      <c r="E879" s="45" t="inlineStr">
        <is>
          <t>2028_2029</t>
        </is>
      </c>
      <c r="F879" s="45" t="n">
        <v>1</v>
      </c>
      <c r="G879" s="46">
        <f>VLOOKUP(D879,'Cấu Hình Học Phí'!$A$8:$B$11,2,FALSE)</f>
        <v/>
      </c>
      <c r="H879" s="46">
        <f>F879*G879</f>
        <v/>
      </c>
      <c r="I879" s="45" t="n">
        <v>0</v>
      </c>
      <c r="J879" s="46">
        <f>I879*'Cấu Hình Học Phí'!$B$5</f>
        <v/>
      </c>
      <c r="K879" s="46" t="n">
        <v>0</v>
      </c>
      <c r="L879" s="46">
        <f>H879+J879-K879</f>
        <v/>
      </c>
      <c r="M879" s="46" t="n">
        <v>732050</v>
      </c>
      <c r="N879" s="46" t="n">
        <v>0</v>
      </c>
      <c r="O879" s="46">
        <f>MAX(0,M879-N879-L879)</f>
        <v/>
      </c>
      <c r="P879" s="46">
        <f>MAX(0,L879-(M879-N879))</f>
        <v/>
      </c>
      <c r="Q879" s="45" t="inlineStr">
        <is>
          <t>30/09/2028</t>
        </is>
      </c>
      <c r="R879" s="45" t="inlineStr">
        <is>
          <t>PT2028-00876</t>
        </is>
      </c>
      <c r="S879" s="45" t="inlineStr"/>
    </row>
    <row r="880">
      <c r="A880" s="45" t="inlineStr">
        <is>
          <t>253610665</t>
        </is>
      </c>
      <c r="B880" s="45" t="inlineStr">
        <is>
          <t>LƯƠNG HOÀNG HẢI</t>
        </is>
      </c>
      <c r="C880" s="45" t="inlineStr">
        <is>
          <t>Khoa học máy tính K66</t>
        </is>
      </c>
      <c r="D880" s="45" t="inlineStr">
        <is>
          <t>Năm 1</t>
        </is>
      </c>
      <c r="E880" s="45" t="inlineStr">
        <is>
          <t>2025_2026</t>
        </is>
      </c>
      <c r="F880" s="45" t="n">
        <v>4</v>
      </c>
      <c r="G880" s="46">
        <f>VLOOKUP(D880,'Cấu Hình Học Phí'!$A$8:$B$11,2,FALSE)</f>
        <v/>
      </c>
      <c r="H880" s="46">
        <f>F880*G880</f>
        <v/>
      </c>
      <c r="I880" s="45" t="n">
        <v>0</v>
      </c>
      <c r="J880" s="46">
        <f>I880*'Cấu Hình Học Phí'!$B$5</f>
        <v/>
      </c>
      <c r="K880" s="46" t="n">
        <v>0</v>
      </c>
      <c r="L880" s="46">
        <f>H880+J880-K880</f>
        <v/>
      </c>
      <c r="M880" s="46" t="n">
        <v>2200000</v>
      </c>
      <c r="N880" s="46" t="n">
        <v>0</v>
      </c>
      <c r="O880" s="46">
        <f>MAX(0,M880-N880-L880)</f>
        <v/>
      </c>
      <c r="P880" s="46">
        <f>MAX(0,L880-(M880-N880))</f>
        <v/>
      </c>
      <c r="Q880" s="45" t="inlineStr">
        <is>
          <t>30/09/2025</t>
        </is>
      </c>
      <c r="R880" s="45" t="inlineStr">
        <is>
          <t>PT2025-00877</t>
        </is>
      </c>
      <c r="S880" s="45" t="inlineStr"/>
    </row>
    <row r="881">
      <c r="A881" s="45" t="inlineStr">
        <is>
          <t>253610665</t>
        </is>
      </c>
      <c r="B881" s="45" t="inlineStr">
        <is>
          <t>LƯƠNG HOÀNG HẢI</t>
        </is>
      </c>
      <c r="C881" s="45" t="inlineStr">
        <is>
          <t>Khoa học máy tính K66</t>
        </is>
      </c>
      <c r="D881" s="45" t="inlineStr">
        <is>
          <t>Năm 2</t>
        </is>
      </c>
      <c r="E881" s="45" t="inlineStr">
        <is>
          <t>2026_2027</t>
        </is>
      </c>
      <c r="F881" s="45" t="n">
        <v>4</v>
      </c>
      <c r="G881" s="46">
        <f>VLOOKUP(D881,'Cấu Hình Học Phí'!$A$8:$B$11,2,FALSE)</f>
        <v/>
      </c>
      <c r="H881" s="46">
        <f>F881*G881</f>
        <v/>
      </c>
      <c r="I881" s="45" t="n">
        <v>0</v>
      </c>
      <c r="J881" s="46">
        <f>I881*'Cấu Hình Học Phí'!$B$5</f>
        <v/>
      </c>
      <c r="K881" s="46" t="n">
        <v>0</v>
      </c>
      <c r="L881" s="46">
        <f>H881+J881-K881</f>
        <v/>
      </c>
      <c r="M881" s="46" t="n">
        <v>2420000</v>
      </c>
      <c r="N881" s="46" t="n">
        <v>0</v>
      </c>
      <c r="O881" s="46">
        <f>MAX(0,M881-N881-L881)</f>
        <v/>
      </c>
      <c r="P881" s="46">
        <f>MAX(0,L881-(M881-N881))</f>
        <v/>
      </c>
      <c r="Q881" s="45" t="inlineStr">
        <is>
          <t>30/09/2026</t>
        </is>
      </c>
      <c r="R881" s="45" t="inlineStr">
        <is>
          <t>PT2026-00878</t>
        </is>
      </c>
      <c r="S881" s="45" t="inlineStr"/>
    </row>
    <row r="882">
      <c r="A882" s="45" t="inlineStr">
        <is>
          <t>253610665</t>
        </is>
      </c>
      <c r="B882" s="45" t="inlineStr">
        <is>
          <t>LƯƠNG HOÀNG HẢI</t>
        </is>
      </c>
      <c r="C882" s="45" t="inlineStr">
        <is>
          <t>Khoa học máy tính K66</t>
        </is>
      </c>
      <c r="D882" s="45" t="inlineStr">
        <is>
          <t>Năm 3</t>
        </is>
      </c>
      <c r="E882" s="45" t="inlineStr">
        <is>
          <t>2027_2028</t>
        </is>
      </c>
      <c r="F882" s="45" t="n">
        <v>4</v>
      </c>
      <c r="G882" s="46">
        <f>VLOOKUP(D882,'Cấu Hình Học Phí'!$A$8:$B$11,2,FALSE)</f>
        <v/>
      </c>
      <c r="H882" s="46">
        <f>F882*G882</f>
        <v/>
      </c>
      <c r="I882" s="45" t="n">
        <v>0</v>
      </c>
      <c r="J882" s="46">
        <f>I882*'Cấu Hình Học Phí'!$B$5</f>
        <v/>
      </c>
      <c r="K882" s="46" t="n">
        <v>0</v>
      </c>
      <c r="L882" s="46">
        <f>H882+J882-K882</f>
        <v/>
      </c>
      <c r="M882" s="46" t="n">
        <v>2662000</v>
      </c>
      <c r="N882" s="46" t="n">
        <v>0</v>
      </c>
      <c r="O882" s="46">
        <f>MAX(0,M882-N882-L882)</f>
        <v/>
      </c>
      <c r="P882" s="46">
        <f>MAX(0,L882-(M882-N882))</f>
        <v/>
      </c>
      <c r="Q882" s="45" t="inlineStr">
        <is>
          <t>30/09/2027</t>
        </is>
      </c>
      <c r="R882" s="45" t="inlineStr">
        <is>
          <t>PT2027-00879</t>
        </is>
      </c>
      <c r="S882" s="45" t="inlineStr"/>
    </row>
    <row r="883">
      <c r="A883" s="45" t="inlineStr">
        <is>
          <t>253610665</t>
        </is>
      </c>
      <c r="B883" s="45" t="inlineStr">
        <is>
          <t>LƯƠNG HOÀNG HẢI</t>
        </is>
      </c>
      <c r="C883" s="45" t="inlineStr">
        <is>
          <t>Khoa học máy tính K66</t>
        </is>
      </c>
      <c r="D883" s="45" t="inlineStr">
        <is>
          <t>Năm 4</t>
        </is>
      </c>
      <c r="E883" s="45" t="inlineStr">
        <is>
          <t>2028_2029</t>
        </is>
      </c>
      <c r="F883" s="45" t="n">
        <v>1</v>
      </c>
      <c r="G883" s="46">
        <f>VLOOKUP(D883,'Cấu Hình Học Phí'!$A$8:$B$11,2,FALSE)</f>
        <v/>
      </c>
      <c r="H883" s="46">
        <f>F883*G883</f>
        <v/>
      </c>
      <c r="I883" s="45" t="n">
        <v>0</v>
      </c>
      <c r="J883" s="46">
        <f>I883*'Cấu Hình Học Phí'!$B$5</f>
        <v/>
      </c>
      <c r="K883" s="46" t="n">
        <v>0</v>
      </c>
      <c r="L883" s="46">
        <f>H883+J883-K883</f>
        <v/>
      </c>
      <c r="M883" s="46" t="n">
        <v>732050</v>
      </c>
      <c r="N883" s="46" t="n">
        <v>0</v>
      </c>
      <c r="O883" s="46">
        <f>MAX(0,M883-N883-L883)</f>
        <v/>
      </c>
      <c r="P883" s="46">
        <f>MAX(0,L883-(M883-N883))</f>
        <v/>
      </c>
      <c r="Q883" s="45" t="inlineStr">
        <is>
          <t>30/09/2028</t>
        </is>
      </c>
      <c r="R883" s="45" t="inlineStr">
        <is>
          <t>PT2028-00880</t>
        </is>
      </c>
      <c r="S883" s="45" t="inlineStr"/>
    </row>
    <row r="884">
      <c r="A884" s="45" t="inlineStr">
        <is>
          <t>253610666</t>
        </is>
      </c>
      <c r="B884" s="45" t="inlineStr">
        <is>
          <t>NGHIÊM ANH HÀO</t>
        </is>
      </c>
      <c r="C884" s="45" t="inlineStr">
        <is>
          <t>Khoa học máy tính K66</t>
        </is>
      </c>
      <c r="D884" s="45" t="inlineStr">
        <is>
          <t>Năm 1</t>
        </is>
      </c>
      <c r="E884" s="45" t="inlineStr">
        <is>
          <t>2025_2026</t>
        </is>
      </c>
      <c r="F884" s="45" t="n">
        <v>4</v>
      </c>
      <c r="G884" s="46">
        <f>VLOOKUP(D884,'Cấu Hình Học Phí'!$A$8:$B$11,2,FALSE)</f>
        <v/>
      </c>
      <c r="H884" s="46">
        <f>F884*G884</f>
        <v/>
      </c>
      <c r="I884" s="45" t="n">
        <v>0</v>
      </c>
      <c r="J884" s="46">
        <f>I884*'Cấu Hình Học Phí'!$B$5</f>
        <v/>
      </c>
      <c r="K884" s="46" t="n">
        <v>0</v>
      </c>
      <c r="L884" s="46">
        <f>H884+J884-K884</f>
        <v/>
      </c>
      <c r="M884" s="46" t="n">
        <v>2200000</v>
      </c>
      <c r="N884" s="46" t="n">
        <v>0</v>
      </c>
      <c r="O884" s="46">
        <f>MAX(0,M884-N884-L884)</f>
        <v/>
      </c>
      <c r="P884" s="46">
        <f>MAX(0,L884-(M884-N884))</f>
        <v/>
      </c>
      <c r="Q884" s="45" t="inlineStr">
        <is>
          <t>30/09/2025</t>
        </is>
      </c>
      <c r="R884" s="45" t="inlineStr">
        <is>
          <t>PT2025-00881</t>
        </is>
      </c>
      <c r="S884" s="45" t="inlineStr"/>
    </row>
    <row r="885">
      <c r="A885" s="45" t="inlineStr">
        <is>
          <t>253610666</t>
        </is>
      </c>
      <c r="B885" s="45" t="inlineStr">
        <is>
          <t>NGHIÊM ANH HÀO</t>
        </is>
      </c>
      <c r="C885" s="45" t="inlineStr">
        <is>
          <t>Khoa học máy tính K66</t>
        </is>
      </c>
      <c r="D885" s="45" t="inlineStr">
        <is>
          <t>Năm 2</t>
        </is>
      </c>
      <c r="E885" s="45" t="inlineStr">
        <is>
          <t>2026_2027</t>
        </is>
      </c>
      <c r="F885" s="45" t="n">
        <v>4</v>
      </c>
      <c r="G885" s="46">
        <f>VLOOKUP(D885,'Cấu Hình Học Phí'!$A$8:$B$11,2,FALSE)</f>
        <v/>
      </c>
      <c r="H885" s="46">
        <f>F885*G885</f>
        <v/>
      </c>
      <c r="I885" s="45" t="n">
        <v>0</v>
      </c>
      <c r="J885" s="46">
        <f>I885*'Cấu Hình Học Phí'!$B$5</f>
        <v/>
      </c>
      <c r="K885" s="46" t="n">
        <v>0</v>
      </c>
      <c r="L885" s="46">
        <f>H885+J885-K885</f>
        <v/>
      </c>
      <c r="M885" s="46" t="n">
        <v>2420000</v>
      </c>
      <c r="N885" s="46" t="n">
        <v>0</v>
      </c>
      <c r="O885" s="46">
        <f>MAX(0,M885-N885-L885)</f>
        <v/>
      </c>
      <c r="P885" s="46">
        <f>MAX(0,L885-(M885-N885))</f>
        <v/>
      </c>
      <c r="Q885" s="45" t="inlineStr">
        <is>
          <t>30/09/2026</t>
        </is>
      </c>
      <c r="R885" s="45" t="inlineStr">
        <is>
          <t>PT2026-00882</t>
        </is>
      </c>
      <c r="S885" s="45" t="inlineStr"/>
    </row>
    <row r="886">
      <c r="A886" s="45" t="inlineStr">
        <is>
          <t>253610666</t>
        </is>
      </c>
      <c r="B886" s="45" t="inlineStr">
        <is>
          <t>NGHIÊM ANH HÀO</t>
        </is>
      </c>
      <c r="C886" s="45" t="inlineStr">
        <is>
          <t>Khoa học máy tính K66</t>
        </is>
      </c>
      <c r="D886" s="45" t="inlineStr">
        <is>
          <t>Năm 3</t>
        </is>
      </c>
      <c r="E886" s="45" t="inlineStr">
        <is>
          <t>2027_2028</t>
        </is>
      </c>
      <c r="F886" s="45" t="n">
        <v>4</v>
      </c>
      <c r="G886" s="46">
        <f>VLOOKUP(D886,'Cấu Hình Học Phí'!$A$8:$B$11,2,FALSE)</f>
        <v/>
      </c>
      <c r="H886" s="46">
        <f>F886*G886</f>
        <v/>
      </c>
      <c r="I886" s="45" t="n">
        <v>2</v>
      </c>
      <c r="J886" s="46">
        <f>I886*'Cấu Hình Học Phí'!$B$5</f>
        <v/>
      </c>
      <c r="K886" s="46" t="n">
        <v>0</v>
      </c>
      <c r="L886" s="46">
        <f>H886+J886-K886</f>
        <v/>
      </c>
      <c r="M886" s="46" t="n">
        <v>2662000</v>
      </c>
      <c r="N886" s="46" t="n">
        <v>0</v>
      </c>
      <c r="O886" s="46">
        <f>MAX(0,M886-N886-L886)</f>
        <v/>
      </c>
      <c r="P886" s="46">
        <f>MAX(0,L886-(M886-N886))</f>
        <v/>
      </c>
      <c r="Q886" s="45" t="inlineStr">
        <is>
          <t>30/09/2027</t>
        </is>
      </c>
      <c r="R886" s="45" t="inlineStr">
        <is>
          <t>PT2027-00883</t>
        </is>
      </c>
      <c r="S886" s="45" t="inlineStr">
        <is>
          <t>Chưa nộp phí phụ đạo 2 môn</t>
        </is>
      </c>
    </row>
    <row r="887">
      <c r="A887" s="45" t="inlineStr">
        <is>
          <t>253610666</t>
        </is>
      </c>
      <c r="B887" s="45" t="inlineStr">
        <is>
          <t>NGHIÊM ANH HÀO</t>
        </is>
      </c>
      <c r="C887" s="45" t="inlineStr">
        <is>
          <t>Khoa học máy tính K66</t>
        </is>
      </c>
      <c r="D887" s="45" t="inlineStr">
        <is>
          <t>Năm 4</t>
        </is>
      </c>
      <c r="E887" s="45" t="inlineStr">
        <is>
          <t>2028_2029</t>
        </is>
      </c>
      <c r="F887" s="45" t="n">
        <v>1</v>
      </c>
      <c r="G887" s="46">
        <f>VLOOKUP(D887,'Cấu Hình Học Phí'!$A$8:$B$11,2,FALSE)</f>
        <v/>
      </c>
      <c r="H887" s="46">
        <f>F887*G887</f>
        <v/>
      </c>
      <c r="I887" s="45" t="n">
        <v>1</v>
      </c>
      <c r="J887" s="46">
        <f>I887*'Cấu Hình Học Phí'!$B$5</f>
        <v/>
      </c>
      <c r="K887" s="46" t="n">
        <v>0</v>
      </c>
      <c r="L887" s="46">
        <f>H887+J887-K887</f>
        <v/>
      </c>
      <c r="M887" s="46" t="n">
        <v>1732050</v>
      </c>
      <c r="N887" s="46" t="n">
        <v>0</v>
      </c>
      <c r="O887" s="46">
        <f>MAX(0,M887-N887-L887)</f>
        <v/>
      </c>
      <c r="P887" s="46">
        <f>MAX(0,L887-(M887-N887))</f>
        <v/>
      </c>
      <c r="Q887" s="45" t="inlineStr">
        <is>
          <t>30/09/2028</t>
        </is>
      </c>
      <c r="R887" s="45" t="inlineStr">
        <is>
          <t>PT2028-00884</t>
        </is>
      </c>
      <c r="S887" s="45" t="inlineStr"/>
    </row>
    <row r="888">
      <c r="A888" s="45" t="inlineStr">
        <is>
          <t>253610668</t>
        </is>
      </c>
      <c r="B888" s="45" t="inlineStr">
        <is>
          <t>NGUYỄN TRUNG HIẾU</t>
        </is>
      </c>
      <c r="C888" s="45" t="inlineStr">
        <is>
          <t>Khoa học máy tính K66</t>
        </is>
      </c>
      <c r="D888" s="45" t="inlineStr">
        <is>
          <t>Năm 1</t>
        </is>
      </c>
      <c r="E888" s="45" t="inlineStr">
        <is>
          <t>2025_2026</t>
        </is>
      </c>
      <c r="F888" s="45" t="n">
        <v>4</v>
      </c>
      <c r="G888" s="46">
        <f>VLOOKUP(D888,'Cấu Hình Học Phí'!$A$8:$B$11,2,FALSE)</f>
        <v/>
      </c>
      <c r="H888" s="46">
        <f>F888*G888</f>
        <v/>
      </c>
      <c r="I888" s="45" t="n">
        <v>1</v>
      </c>
      <c r="J888" s="46">
        <f>I888*'Cấu Hình Học Phí'!$B$5</f>
        <v/>
      </c>
      <c r="K888" s="46" t="n">
        <v>0</v>
      </c>
      <c r="L888" s="46">
        <f>H888+J888-K888</f>
        <v/>
      </c>
      <c r="M888" s="46" t="n">
        <v>3200000</v>
      </c>
      <c r="N888" s="46" t="n">
        <v>0</v>
      </c>
      <c r="O888" s="46">
        <f>MAX(0,M888-N888-L888)</f>
        <v/>
      </c>
      <c r="P888" s="46">
        <f>MAX(0,L888-(M888-N888))</f>
        <v/>
      </c>
      <c r="Q888" s="45" t="inlineStr">
        <is>
          <t>30/09/2025</t>
        </is>
      </c>
      <c r="R888" s="45" t="inlineStr">
        <is>
          <t>PT2025-00885</t>
        </is>
      </c>
      <c r="S888" s="45" t="inlineStr"/>
    </row>
    <row r="889">
      <c r="A889" s="45" t="inlineStr">
        <is>
          <t>253610668</t>
        </is>
      </c>
      <c r="B889" s="45" t="inlineStr">
        <is>
          <t>NGUYỄN TRUNG HIẾU</t>
        </is>
      </c>
      <c r="C889" s="45" t="inlineStr">
        <is>
          <t>Khoa học máy tính K66</t>
        </is>
      </c>
      <c r="D889" s="45" t="inlineStr">
        <is>
          <t>Năm 2</t>
        </is>
      </c>
      <c r="E889" s="45" t="inlineStr">
        <is>
          <t>2026_2027</t>
        </is>
      </c>
      <c r="F889" s="45" t="n">
        <v>4</v>
      </c>
      <c r="G889" s="46">
        <f>VLOOKUP(D889,'Cấu Hình Học Phí'!$A$8:$B$11,2,FALSE)</f>
        <v/>
      </c>
      <c r="H889" s="46">
        <f>F889*G889</f>
        <v/>
      </c>
      <c r="I889" s="45" t="n">
        <v>1</v>
      </c>
      <c r="J889" s="46">
        <f>I889*'Cấu Hình Học Phí'!$B$5</f>
        <v/>
      </c>
      <c r="K889" s="46" t="n">
        <v>0</v>
      </c>
      <c r="L889" s="46">
        <f>H889+J889-K889</f>
        <v/>
      </c>
      <c r="M889" s="46" t="n">
        <v>3420000</v>
      </c>
      <c r="N889" s="46" t="n">
        <v>0</v>
      </c>
      <c r="O889" s="46">
        <f>MAX(0,M889-N889-L889)</f>
        <v/>
      </c>
      <c r="P889" s="46">
        <f>MAX(0,L889-(M889-N889))</f>
        <v/>
      </c>
      <c r="Q889" s="45" t="inlineStr">
        <is>
          <t>30/09/2026</t>
        </is>
      </c>
      <c r="R889" s="45" t="inlineStr">
        <is>
          <t>PT2026-00886</t>
        </is>
      </c>
      <c r="S889" s="45" t="inlineStr"/>
    </row>
    <row r="890">
      <c r="A890" s="45" t="inlineStr">
        <is>
          <t>253610668</t>
        </is>
      </c>
      <c r="B890" s="45" t="inlineStr">
        <is>
          <t>NGUYỄN TRUNG HIẾU</t>
        </is>
      </c>
      <c r="C890" s="45" t="inlineStr">
        <is>
          <t>Khoa học máy tính K66</t>
        </is>
      </c>
      <c r="D890" s="45" t="inlineStr">
        <is>
          <t>Năm 3</t>
        </is>
      </c>
      <c r="E890" s="45" t="inlineStr">
        <is>
          <t>2027_2028</t>
        </is>
      </c>
      <c r="F890" s="45" t="n">
        <v>4</v>
      </c>
      <c r="G890" s="46">
        <f>VLOOKUP(D890,'Cấu Hình Học Phí'!$A$8:$B$11,2,FALSE)</f>
        <v/>
      </c>
      <c r="H890" s="46">
        <f>F890*G890</f>
        <v/>
      </c>
      <c r="I890" s="45" t="n">
        <v>0</v>
      </c>
      <c r="J890" s="46">
        <f>I890*'Cấu Hình Học Phí'!$B$5</f>
        <v/>
      </c>
      <c r="K890" s="46" t="n">
        <v>0</v>
      </c>
      <c r="L890" s="46">
        <f>H890+J890-K890</f>
        <v/>
      </c>
      <c r="M890" s="46" t="n">
        <v>2662000</v>
      </c>
      <c r="N890" s="46" t="n">
        <v>0</v>
      </c>
      <c r="O890" s="46">
        <f>MAX(0,M890-N890-L890)</f>
        <v/>
      </c>
      <c r="P890" s="46">
        <f>MAX(0,L890-(M890-N890))</f>
        <v/>
      </c>
      <c r="Q890" s="45" t="inlineStr">
        <is>
          <t>30/09/2027</t>
        </is>
      </c>
      <c r="R890" s="45" t="inlineStr">
        <is>
          <t>PT2027-00887</t>
        </is>
      </c>
      <c r="S890" s="45" t="inlineStr"/>
    </row>
    <row r="891">
      <c r="A891" s="45" t="inlineStr">
        <is>
          <t>253610668</t>
        </is>
      </c>
      <c r="B891" s="45" t="inlineStr">
        <is>
          <t>NGUYỄN TRUNG HIẾU</t>
        </is>
      </c>
      <c r="C891" s="45" t="inlineStr">
        <is>
          <t>Khoa học máy tính K66</t>
        </is>
      </c>
      <c r="D891" s="45" t="inlineStr">
        <is>
          <t>Năm 4</t>
        </is>
      </c>
      <c r="E891" s="45" t="inlineStr">
        <is>
          <t>2028_2029</t>
        </is>
      </c>
      <c r="F891" s="45" t="n">
        <v>1</v>
      </c>
      <c r="G891" s="46">
        <f>VLOOKUP(D891,'Cấu Hình Học Phí'!$A$8:$B$11,2,FALSE)</f>
        <v/>
      </c>
      <c r="H891" s="46">
        <f>F891*G891</f>
        <v/>
      </c>
      <c r="I891" s="45" t="n">
        <v>0</v>
      </c>
      <c r="J891" s="46">
        <f>I891*'Cấu Hình Học Phí'!$B$5</f>
        <v/>
      </c>
      <c r="K891" s="46" t="n">
        <v>0</v>
      </c>
      <c r="L891" s="46">
        <f>H891+J891-K891</f>
        <v/>
      </c>
      <c r="M891" s="46" t="n">
        <v>732050</v>
      </c>
      <c r="N891" s="46" t="n">
        <v>0</v>
      </c>
      <c r="O891" s="46">
        <f>MAX(0,M891-N891-L891)</f>
        <v/>
      </c>
      <c r="P891" s="46">
        <f>MAX(0,L891-(M891-N891))</f>
        <v/>
      </c>
      <c r="Q891" s="45" t="inlineStr">
        <is>
          <t>30/09/2028</t>
        </is>
      </c>
      <c r="R891" s="45" t="inlineStr">
        <is>
          <t>PT2028-00888</t>
        </is>
      </c>
      <c r="S891" s="45" t="inlineStr"/>
    </row>
    <row r="892">
      <c r="A892" s="45" t="inlineStr">
        <is>
          <t>253610669</t>
        </is>
      </c>
      <c r="B892" s="45" t="inlineStr">
        <is>
          <t>PHẠM KHÁNH HÒA</t>
        </is>
      </c>
      <c r="C892" s="45" t="inlineStr">
        <is>
          <t>Khoa học máy tính K66</t>
        </is>
      </c>
      <c r="D892" s="45" t="inlineStr">
        <is>
          <t>Năm 1</t>
        </is>
      </c>
      <c r="E892" s="45" t="inlineStr">
        <is>
          <t>2025_2026</t>
        </is>
      </c>
      <c r="F892" s="45" t="n">
        <v>4</v>
      </c>
      <c r="G892" s="46">
        <f>VLOOKUP(D892,'Cấu Hình Học Phí'!$A$8:$B$11,2,FALSE)</f>
        <v/>
      </c>
      <c r="H892" s="46">
        <f>F892*G892</f>
        <v/>
      </c>
      <c r="I892" s="45" t="n">
        <v>1</v>
      </c>
      <c r="J892" s="46">
        <f>I892*'Cấu Hình Học Phí'!$B$5</f>
        <v/>
      </c>
      <c r="K892" s="46" t="n">
        <v>0</v>
      </c>
      <c r="L892" s="46">
        <f>H892+J892-K892</f>
        <v/>
      </c>
      <c r="M892" s="46" t="n">
        <v>2200000</v>
      </c>
      <c r="N892" s="46" t="n">
        <v>0</v>
      </c>
      <c r="O892" s="46">
        <f>MAX(0,M892-N892-L892)</f>
        <v/>
      </c>
      <c r="P892" s="46">
        <f>MAX(0,L892-(M892-N892))</f>
        <v/>
      </c>
      <c r="Q892" s="45" t="inlineStr">
        <is>
          <t>30/09/2025</t>
        </is>
      </c>
      <c r="R892" s="45" t="inlineStr">
        <is>
          <t>PT2025-00889</t>
        </is>
      </c>
      <c r="S892" s="45" t="inlineStr">
        <is>
          <t>Chưa nộp phí phụ đạo 1 môn</t>
        </is>
      </c>
    </row>
    <row r="893">
      <c r="A893" s="45" t="inlineStr">
        <is>
          <t>253610669</t>
        </is>
      </c>
      <c r="B893" s="45" t="inlineStr">
        <is>
          <t>PHẠM KHÁNH HÒA</t>
        </is>
      </c>
      <c r="C893" s="45" t="inlineStr">
        <is>
          <t>Khoa học máy tính K66</t>
        </is>
      </c>
      <c r="D893" s="45" t="inlineStr">
        <is>
          <t>Năm 2</t>
        </is>
      </c>
      <c r="E893" s="45" t="inlineStr">
        <is>
          <t>2026_2027</t>
        </is>
      </c>
      <c r="F893" s="45" t="n">
        <v>4</v>
      </c>
      <c r="G893" s="46">
        <f>VLOOKUP(D893,'Cấu Hình Học Phí'!$A$8:$B$11,2,FALSE)</f>
        <v/>
      </c>
      <c r="H893" s="46">
        <f>F893*G893</f>
        <v/>
      </c>
      <c r="I893" s="45" t="n">
        <v>0</v>
      </c>
      <c r="J893" s="46">
        <f>I893*'Cấu Hình Học Phí'!$B$5</f>
        <v/>
      </c>
      <c r="K893" s="46" t="n">
        <v>0</v>
      </c>
      <c r="L893" s="46">
        <f>H893+J893-K893</f>
        <v/>
      </c>
      <c r="M893" s="46" t="n">
        <v>2420000</v>
      </c>
      <c r="N893" s="46" t="n">
        <v>0</v>
      </c>
      <c r="O893" s="46">
        <f>MAX(0,M893-N893-L893)</f>
        <v/>
      </c>
      <c r="P893" s="46">
        <f>MAX(0,L893-(M893-N893))</f>
        <v/>
      </c>
      <c r="Q893" s="45" t="inlineStr">
        <is>
          <t>30/09/2026</t>
        </is>
      </c>
      <c r="R893" s="45" t="inlineStr">
        <is>
          <t>PT2026-00890</t>
        </is>
      </c>
      <c r="S893" s="45" t="inlineStr"/>
    </row>
    <row r="894">
      <c r="A894" s="45" t="inlineStr">
        <is>
          <t>253610669</t>
        </is>
      </c>
      <c r="B894" s="45" t="inlineStr">
        <is>
          <t>PHẠM KHÁNH HÒA</t>
        </is>
      </c>
      <c r="C894" s="45" t="inlineStr">
        <is>
          <t>Khoa học máy tính K66</t>
        </is>
      </c>
      <c r="D894" s="45" t="inlineStr">
        <is>
          <t>Năm 3</t>
        </is>
      </c>
      <c r="E894" s="45" t="inlineStr">
        <is>
          <t>2027_2028</t>
        </is>
      </c>
      <c r="F894" s="45" t="n">
        <v>4</v>
      </c>
      <c r="G894" s="46">
        <f>VLOOKUP(D894,'Cấu Hình Học Phí'!$A$8:$B$11,2,FALSE)</f>
        <v/>
      </c>
      <c r="H894" s="46">
        <f>F894*G894</f>
        <v/>
      </c>
      <c r="I894" s="45" t="n">
        <v>0</v>
      </c>
      <c r="J894" s="46">
        <f>I894*'Cấu Hình Học Phí'!$B$5</f>
        <v/>
      </c>
      <c r="K894" s="46" t="n">
        <v>0</v>
      </c>
      <c r="L894" s="46">
        <f>H894+J894-K894</f>
        <v/>
      </c>
      <c r="M894" s="46" t="n">
        <v>2662000</v>
      </c>
      <c r="N894" s="46" t="n">
        <v>0</v>
      </c>
      <c r="O894" s="46">
        <f>MAX(0,M894-N894-L894)</f>
        <v/>
      </c>
      <c r="P894" s="46">
        <f>MAX(0,L894-(M894-N894))</f>
        <v/>
      </c>
      <c r="Q894" s="45" t="inlineStr">
        <is>
          <t>30/09/2027</t>
        </is>
      </c>
      <c r="R894" s="45" t="inlineStr">
        <is>
          <t>PT2027-00891</t>
        </is>
      </c>
      <c r="S894" s="45" t="inlineStr"/>
    </row>
    <row r="895">
      <c r="A895" s="45" t="inlineStr">
        <is>
          <t>253610669</t>
        </is>
      </c>
      <c r="B895" s="45" t="inlineStr">
        <is>
          <t>PHẠM KHÁNH HÒA</t>
        </is>
      </c>
      <c r="C895" s="45" t="inlineStr">
        <is>
          <t>Khoa học máy tính K66</t>
        </is>
      </c>
      <c r="D895" s="45" t="inlineStr">
        <is>
          <t>Năm 4</t>
        </is>
      </c>
      <c r="E895" s="45" t="inlineStr">
        <is>
          <t>2028_2029</t>
        </is>
      </c>
      <c r="F895" s="45" t="n">
        <v>1</v>
      </c>
      <c r="G895" s="46">
        <f>VLOOKUP(D895,'Cấu Hình Học Phí'!$A$8:$B$11,2,FALSE)</f>
        <v/>
      </c>
      <c r="H895" s="46">
        <f>F895*G895</f>
        <v/>
      </c>
      <c r="I895" s="45" t="n">
        <v>0</v>
      </c>
      <c r="J895" s="46">
        <f>I895*'Cấu Hình Học Phí'!$B$5</f>
        <v/>
      </c>
      <c r="K895" s="46" t="n">
        <v>0</v>
      </c>
      <c r="L895" s="46">
        <f>H895+J895-K895</f>
        <v/>
      </c>
      <c r="M895" s="46" t="n">
        <v>732050</v>
      </c>
      <c r="N895" s="46" t="n">
        <v>0</v>
      </c>
      <c r="O895" s="46">
        <f>MAX(0,M895-N895-L895)</f>
        <v/>
      </c>
      <c r="P895" s="46">
        <f>MAX(0,L895-(M895-N895))</f>
        <v/>
      </c>
      <c r="Q895" s="45" t="inlineStr">
        <is>
          <t>30/09/2028</t>
        </is>
      </c>
      <c r="R895" s="45" t="inlineStr">
        <is>
          <t>PT2028-00892</t>
        </is>
      </c>
      <c r="S895" s="45" t="inlineStr"/>
    </row>
    <row r="896">
      <c r="A896" s="45" t="inlineStr">
        <is>
          <t>253610670</t>
        </is>
      </c>
      <c r="B896" s="45" t="inlineStr">
        <is>
          <t>HOÀNG NGỌC HÙNG</t>
        </is>
      </c>
      <c r="C896" s="45" t="inlineStr">
        <is>
          <t>Khoa học máy tính K66</t>
        </is>
      </c>
      <c r="D896" s="45" t="inlineStr">
        <is>
          <t>Năm 1</t>
        </is>
      </c>
      <c r="E896" s="45" t="inlineStr">
        <is>
          <t>2025_2026</t>
        </is>
      </c>
      <c r="F896" s="45" t="n">
        <v>4</v>
      </c>
      <c r="G896" s="46">
        <f>VLOOKUP(D896,'Cấu Hình Học Phí'!$A$8:$B$11,2,FALSE)</f>
        <v/>
      </c>
      <c r="H896" s="46">
        <f>F896*G896</f>
        <v/>
      </c>
      <c r="I896" s="45" t="n">
        <v>1</v>
      </c>
      <c r="J896" s="46">
        <f>I896*'Cấu Hình Học Phí'!$B$5</f>
        <v/>
      </c>
      <c r="K896" s="46" t="n">
        <v>0</v>
      </c>
      <c r="L896" s="46">
        <f>H896+J896-K896</f>
        <v/>
      </c>
      <c r="M896" s="46" t="n">
        <v>2200000</v>
      </c>
      <c r="N896" s="46" t="n">
        <v>0</v>
      </c>
      <c r="O896" s="46">
        <f>MAX(0,M896-N896-L896)</f>
        <v/>
      </c>
      <c r="P896" s="46">
        <f>MAX(0,L896-(M896-N896))</f>
        <v/>
      </c>
      <c r="Q896" s="45" t="inlineStr">
        <is>
          <t>30/09/2025</t>
        </is>
      </c>
      <c r="R896" s="45" t="inlineStr">
        <is>
          <t>PT2025-00893</t>
        </is>
      </c>
      <c r="S896" s="45" t="inlineStr">
        <is>
          <t>Chưa nộp phí phụ đạo 1 môn</t>
        </is>
      </c>
    </row>
    <row r="897">
      <c r="A897" s="45" t="inlineStr">
        <is>
          <t>253610670</t>
        </is>
      </c>
      <c r="B897" s="45" t="inlineStr">
        <is>
          <t>HOÀNG NGỌC HÙNG</t>
        </is>
      </c>
      <c r="C897" s="45" t="inlineStr">
        <is>
          <t>Khoa học máy tính K66</t>
        </is>
      </c>
      <c r="D897" s="45" t="inlineStr">
        <is>
          <t>Năm 2</t>
        </is>
      </c>
      <c r="E897" s="45" t="inlineStr">
        <is>
          <t>2026_2027</t>
        </is>
      </c>
      <c r="F897" s="45" t="n">
        <v>4</v>
      </c>
      <c r="G897" s="46">
        <f>VLOOKUP(D897,'Cấu Hình Học Phí'!$A$8:$B$11,2,FALSE)</f>
        <v/>
      </c>
      <c r="H897" s="46">
        <f>F897*G897</f>
        <v/>
      </c>
      <c r="I897" s="45" t="n">
        <v>1</v>
      </c>
      <c r="J897" s="46">
        <f>I897*'Cấu Hình Học Phí'!$B$5</f>
        <v/>
      </c>
      <c r="K897" s="46" t="n">
        <v>0</v>
      </c>
      <c r="L897" s="46">
        <f>H897+J897-K897</f>
        <v/>
      </c>
      <c r="M897" s="46" t="n">
        <v>3420000</v>
      </c>
      <c r="N897" s="46" t="n">
        <v>0</v>
      </c>
      <c r="O897" s="46">
        <f>MAX(0,M897-N897-L897)</f>
        <v/>
      </c>
      <c r="P897" s="46">
        <f>MAX(0,L897-(M897-N897))</f>
        <v/>
      </c>
      <c r="Q897" s="45" t="inlineStr">
        <is>
          <t>30/09/2026</t>
        </is>
      </c>
      <c r="R897" s="45" t="inlineStr">
        <is>
          <t>PT2026-00894</t>
        </is>
      </c>
      <c r="S897" s="45" t="inlineStr"/>
    </row>
    <row r="898">
      <c r="A898" s="45" t="inlineStr">
        <is>
          <t>253610670</t>
        </is>
      </c>
      <c r="B898" s="45" t="inlineStr">
        <is>
          <t>HOÀNG NGỌC HÙNG</t>
        </is>
      </c>
      <c r="C898" s="45" t="inlineStr">
        <is>
          <t>Khoa học máy tính K66</t>
        </is>
      </c>
      <c r="D898" s="45" t="inlineStr">
        <is>
          <t>Năm 3</t>
        </is>
      </c>
      <c r="E898" s="45" t="inlineStr">
        <is>
          <t>2027_2028</t>
        </is>
      </c>
      <c r="F898" s="45" t="n">
        <v>4</v>
      </c>
      <c r="G898" s="46">
        <f>VLOOKUP(D898,'Cấu Hình Học Phí'!$A$8:$B$11,2,FALSE)</f>
        <v/>
      </c>
      <c r="H898" s="46">
        <f>F898*G898</f>
        <v/>
      </c>
      <c r="I898" s="45" t="n">
        <v>0</v>
      </c>
      <c r="J898" s="46">
        <f>I898*'Cấu Hình Học Phí'!$B$5</f>
        <v/>
      </c>
      <c r="K898" s="46" t="n">
        <v>0</v>
      </c>
      <c r="L898" s="46">
        <f>H898+J898-K898</f>
        <v/>
      </c>
      <c r="M898" s="46" t="n">
        <v>2662000</v>
      </c>
      <c r="N898" s="46" t="n">
        <v>0</v>
      </c>
      <c r="O898" s="46">
        <f>MAX(0,M898-N898-L898)</f>
        <v/>
      </c>
      <c r="P898" s="46">
        <f>MAX(0,L898-(M898-N898))</f>
        <v/>
      </c>
      <c r="Q898" s="45" t="inlineStr">
        <is>
          <t>30/09/2027</t>
        </is>
      </c>
      <c r="R898" s="45" t="inlineStr">
        <is>
          <t>PT2027-00895</t>
        </is>
      </c>
      <c r="S898" s="45" t="inlineStr"/>
    </row>
    <row r="899">
      <c r="A899" s="45" t="inlineStr">
        <is>
          <t>253610670</t>
        </is>
      </c>
      <c r="B899" s="45" t="inlineStr">
        <is>
          <t>HOÀNG NGỌC HÙNG</t>
        </is>
      </c>
      <c r="C899" s="45" t="inlineStr">
        <is>
          <t>Khoa học máy tính K66</t>
        </is>
      </c>
      <c r="D899" s="45" t="inlineStr">
        <is>
          <t>Năm 4</t>
        </is>
      </c>
      <c r="E899" s="45" t="inlineStr">
        <is>
          <t>2028_2029</t>
        </is>
      </c>
      <c r="F899" s="45" t="n">
        <v>1</v>
      </c>
      <c r="G899" s="46">
        <f>VLOOKUP(D899,'Cấu Hình Học Phí'!$A$8:$B$11,2,FALSE)</f>
        <v/>
      </c>
      <c r="H899" s="46">
        <f>F899*G899</f>
        <v/>
      </c>
      <c r="I899" s="45" t="n">
        <v>0</v>
      </c>
      <c r="J899" s="46">
        <f>I899*'Cấu Hình Học Phí'!$B$5</f>
        <v/>
      </c>
      <c r="K899" s="46" t="n">
        <v>0</v>
      </c>
      <c r="L899" s="46">
        <f>H899+J899-K899</f>
        <v/>
      </c>
      <c r="M899" s="46" t="n">
        <v>732050</v>
      </c>
      <c r="N899" s="46" t="n">
        <v>0</v>
      </c>
      <c r="O899" s="46">
        <f>MAX(0,M899-N899-L899)</f>
        <v/>
      </c>
      <c r="P899" s="46">
        <f>MAX(0,L899-(M899-N899))</f>
        <v/>
      </c>
      <c r="Q899" s="45" t="inlineStr">
        <is>
          <t>30/09/2028</t>
        </is>
      </c>
      <c r="R899" s="45" t="inlineStr">
        <is>
          <t>PT2028-00896</t>
        </is>
      </c>
      <c r="S899" s="45" t="inlineStr"/>
    </row>
    <row r="900">
      <c r="A900" s="45" t="inlineStr">
        <is>
          <t>253610672</t>
        </is>
      </c>
      <c r="B900" s="45" t="inlineStr">
        <is>
          <t>MẠC VIỆT HƯNG</t>
        </is>
      </c>
      <c r="C900" s="45" t="inlineStr">
        <is>
          <t>Khoa học máy tính K66</t>
        </is>
      </c>
      <c r="D900" s="45" t="inlineStr">
        <is>
          <t>Năm 1</t>
        </is>
      </c>
      <c r="E900" s="45" t="inlineStr">
        <is>
          <t>2025_2026</t>
        </is>
      </c>
      <c r="F900" s="45" t="n">
        <v>4</v>
      </c>
      <c r="G900" s="46">
        <f>VLOOKUP(D900,'Cấu Hình Học Phí'!$A$8:$B$11,2,FALSE)</f>
        <v/>
      </c>
      <c r="H900" s="46">
        <f>F900*G900</f>
        <v/>
      </c>
      <c r="I900" s="45" t="n">
        <v>0</v>
      </c>
      <c r="J900" s="46">
        <f>I900*'Cấu Hình Học Phí'!$B$5</f>
        <v/>
      </c>
      <c r="K900" s="46" t="n">
        <v>0</v>
      </c>
      <c r="L900" s="46">
        <f>H900+J900-K900</f>
        <v/>
      </c>
      <c r="M900" s="46" t="n">
        <v>2200000</v>
      </c>
      <c r="N900" s="46" t="n">
        <v>0</v>
      </c>
      <c r="O900" s="46">
        <f>MAX(0,M900-N900-L900)</f>
        <v/>
      </c>
      <c r="P900" s="46">
        <f>MAX(0,L900-(M900-N900))</f>
        <v/>
      </c>
      <c r="Q900" s="45" t="inlineStr">
        <is>
          <t>30/09/2025</t>
        </is>
      </c>
      <c r="R900" s="45" t="inlineStr">
        <is>
          <t>PT2025-00897</t>
        </is>
      </c>
      <c r="S900" s="45" t="inlineStr"/>
    </row>
    <row r="901">
      <c r="A901" s="45" t="inlineStr">
        <is>
          <t>253610672</t>
        </is>
      </c>
      <c r="B901" s="45" t="inlineStr">
        <is>
          <t>MẠC VIỆT HƯNG</t>
        </is>
      </c>
      <c r="C901" s="45" t="inlineStr">
        <is>
          <t>Khoa học máy tính K66</t>
        </is>
      </c>
      <c r="D901" s="45" t="inlineStr">
        <is>
          <t>Năm 2</t>
        </is>
      </c>
      <c r="E901" s="45" t="inlineStr">
        <is>
          <t>2026_2027</t>
        </is>
      </c>
      <c r="F901" s="45" t="n">
        <v>4</v>
      </c>
      <c r="G901" s="46">
        <f>VLOOKUP(D901,'Cấu Hình Học Phí'!$A$8:$B$11,2,FALSE)</f>
        <v/>
      </c>
      <c r="H901" s="46">
        <f>F901*G901</f>
        <v/>
      </c>
      <c r="I901" s="45" t="n">
        <v>1</v>
      </c>
      <c r="J901" s="46">
        <f>I901*'Cấu Hình Học Phí'!$B$5</f>
        <v/>
      </c>
      <c r="K901" s="46" t="n">
        <v>0</v>
      </c>
      <c r="L901" s="46">
        <f>H901+J901-K901</f>
        <v/>
      </c>
      <c r="M901" s="46" t="n">
        <v>2420000</v>
      </c>
      <c r="N901" s="46" t="n">
        <v>0</v>
      </c>
      <c r="O901" s="46">
        <f>MAX(0,M901-N901-L901)</f>
        <v/>
      </c>
      <c r="P901" s="46">
        <f>MAX(0,L901-(M901-N901))</f>
        <v/>
      </c>
      <c r="Q901" s="45" t="inlineStr">
        <is>
          <t>30/09/2026</t>
        </is>
      </c>
      <c r="R901" s="45" t="inlineStr">
        <is>
          <t>PT2026-00898</t>
        </is>
      </c>
      <c r="S901" s="45" t="inlineStr">
        <is>
          <t>Chưa nộp phí phụ đạo 1 môn</t>
        </is>
      </c>
    </row>
    <row r="902">
      <c r="A902" s="45" t="inlineStr">
        <is>
          <t>253610672</t>
        </is>
      </c>
      <c r="B902" s="45" t="inlineStr">
        <is>
          <t>MẠC VIỆT HƯNG</t>
        </is>
      </c>
      <c r="C902" s="45" t="inlineStr">
        <is>
          <t>Khoa học máy tính K66</t>
        </is>
      </c>
      <c r="D902" s="45" t="inlineStr">
        <is>
          <t>Năm 3</t>
        </is>
      </c>
      <c r="E902" s="45" t="inlineStr">
        <is>
          <t>2027_2028</t>
        </is>
      </c>
      <c r="F902" s="45" t="n">
        <v>4</v>
      </c>
      <c r="G902" s="46">
        <f>VLOOKUP(D902,'Cấu Hình Học Phí'!$A$8:$B$11,2,FALSE)</f>
        <v/>
      </c>
      <c r="H902" s="46">
        <f>F902*G902</f>
        <v/>
      </c>
      <c r="I902" s="45" t="n">
        <v>1</v>
      </c>
      <c r="J902" s="46">
        <f>I902*'Cấu Hình Học Phí'!$B$5</f>
        <v/>
      </c>
      <c r="K902" s="46" t="n">
        <v>0</v>
      </c>
      <c r="L902" s="46">
        <f>H902+J902-K902</f>
        <v/>
      </c>
      <c r="M902" s="46" t="n">
        <v>2662000</v>
      </c>
      <c r="N902" s="46" t="n">
        <v>0</v>
      </c>
      <c r="O902" s="46">
        <f>MAX(0,M902-N902-L902)</f>
        <v/>
      </c>
      <c r="P902" s="46">
        <f>MAX(0,L902-(M902-N902))</f>
        <v/>
      </c>
      <c r="Q902" s="45" t="inlineStr">
        <is>
          <t>30/09/2027</t>
        </is>
      </c>
      <c r="R902" s="45" t="inlineStr">
        <is>
          <t>PT2027-00899</t>
        </is>
      </c>
      <c r="S902" s="45" t="inlineStr">
        <is>
          <t>Chưa nộp phí phụ đạo 1 môn</t>
        </is>
      </c>
    </row>
    <row r="903">
      <c r="A903" s="45" t="inlineStr">
        <is>
          <t>253610672</t>
        </is>
      </c>
      <c r="B903" s="45" t="inlineStr">
        <is>
          <t>MẠC VIỆT HƯNG</t>
        </is>
      </c>
      <c r="C903" s="45" t="inlineStr">
        <is>
          <t>Khoa học máy tính K66</t>
        </is>
      </c>
      <c r="D903" s="45" t="inlineStr">
        <is>
          <t>Năm 4</t>
        </is>
      </c>
      <c r="E903" s="45" t="inlineStr">
        <is>
          <t>2028_2029</t>
        </is>
      </c>
      <c r="F903" s="45" t="n">
        <v>1</v>
      </c>
      <c r="G903" s="46">
        <f>VLOOKUP(D903,'Cấu Hình Học Phí'!$A$8:$B$11,2,FALSE)</f>
        <v/>
      </c>
      <c r="H903" s="46">
        <f>F903*G903</f>
        <v/>
      </c>
      <c r="I903" s="45" t="n">
        <v>0</v>
      </c>
      <c r="J903" s="46">
        <f>I903*'Cấu Hình Học Phí'!$B$5</f>
        <v/>
      </c>
      <c r="K903" s="46" t="n">
        <v>0</v>
      </c>
      <c r="L903" s="46">
        <f>H903+J903-K903</f>
        <v/>
      </c>
      <c r="M903" s="46" t="n">
        <v>732050</v>
      </c>
      <c r="N903" s="46" t="n">
        <v>0</v>
      </c>
      <c r="O903" s="46">
        <f>MAX(0,M903-N903-L903)</f>
        <v/>
      </c>
      <c r="P903" s="46">
        <f>MAX(0,L903-(M903-N903))</f>
        <v/>
      </c>
      <c r="Q903" s="45" t="inlineStr">
        <is>
          <t>30/09/2028</t>
        </is>
      </c>
      <c r="R903" s="45" t="inlineStr">
        <is>
          <t>PT2028-00900</t>
        </is>
      </c>
      <c r="S903" s="45" t="inlineStr"/>
    </row>
    <row r="904">
      <c r="A904" s="45" t="inlineStr">
        <is>
          <t>253610671</t>
        </is>
      </c>
      <c r="B904" s="45" t="inlineStr">
        <is>
          <t>NGUYỄN ĐỨC HÙNG</t>
        </is>
      </c>
      <c r="C904" s="45" t="inlineStr">
        <is>
          <t>Khoa học máy tính K66</t>
        </is>
      </c>
      <c r="D904" s="45" t="inlineStr">
        <is>
          <t>Năm 1</t>
        </is>
      </c>
      <c r="E904" s="45" t="inlineStr">
        <is>
          <t>2025_2026</t>
        </is>
      </c>
      <c r="F904" s="45" t="n">
        <v>4</v>
      </c>
      <c r="G904" s="46">
        <f>VLOOKUP(D904,'Cấu Hình Học Phí'!$A$8:$B$11,2,FALSE)</f>
        <v/>
      </c>
      <c r="H904" s="46">
        <f>F904*G904</f>
        <v/>
      </c>
      <c r="I904" s="45" t="n">
        <v>1</v>
      </c>
      <c r="J904" s="46">
        <f>I904*'Cấu Hình Học Phí'!$B$5</f>
        <v/>
      </c>
      <c r="K904" s="46" t="n">
        <v>0</v>
      </c>
      <c r="L904" s="46">
        <f>H904+J904-K904</f>
        <v/>
      </c>
      <c r="M904" s="46" t="n">
        <v>3200000</v>
      </c>
      <c r="N904" s="46" t="n">
        <v>0</v>
      </c>
      <c r="O904" s="46">
        <f>MAX(0,M904-N904-L904)</f>
        <v/>
      </c>
      <c r="P904" s="46">
        <f>MAX(0,L904-(M904-N904))</f>
        <v/>
      </c>
      <c r="Q904" s="45" t="inlineStr">
        <is>
          <t>30/09/2025</t>
        </is>
      </c>
      <c r="R904" s="45" t="inlineStr">
        <is>
          <t>PT2025-00901</t>
        </is>
      </c>
      <c r="S904" s="45" t="inlineStr"/>
    </row>
    <row r="905">
      <c r="A905" s="45" t="inlineStr">
        <is>
          <t>253610671</t>
        </is>
      </c>
      <c r="B905" s="45" t="inlineStr">
        <is>
          <t>NGUYỄN ĐỨC HÙNG</t>
        </is>
      </c>
      <c r="C905" s="45" t="inlineStr">
        <is>
          <t>Khoa học máy tính K66</t>
        </is>
      </c>
      <c r="D905" s="45" t="inlineStr">
        <is>
          <t>Năm 2</t>
        </is>
      </c>
      <c r="E905" s="45" t="inlineStr">
        <is>
          <t>2026_2027</t>
        </is>
      </c>
      <c r="F905" s="45" t="n">
        <v>4</v>
      </c>
      <c r="G905" s="46">
        <f>VLOOKUP(D905,'Cấu Hình Học Phí'!$A$8:$B$11,2,FALSE)</f>
        <v/>
      </c>
      <c r="H905" s="46">
        <f>F905*G905</f>
        <v/>
      </c>
      <c r="I905" s="45" t="n">
        <v>1</v>
      </c>
      <c r="J905" s="46">
        <f>I905*'Cấu Hình Học Phí'!$B$5</f>
        <v/>
      </c>
      <c r="K905" s="46" t="n">
        <v>0</v>
      </c>
      <c r="L905" s="46">
        <f>H905+J905-K905</f>
        <v/>
      </c>
      <c r="M905" s="46" t="n">
        <v>3420000</v>
      </c>
      <c r="N905" s="46" t="n">
        <v>0</v>
      </c>
      <c r="O905" s="46">
        <f>MAX(0,M905-N905-L905)</f>
        <v/>
      </c>
      <c r="P905" s="46">
        <f>MAX(0,L905-(M905-N905))</f>
        <v/>
      </c>
      <c r="Q905" s="45" t="inlineStr">
        <is>
          <t>30/09/2026</t>
        </is>
      </c>
      <c r="R905" s="45" t="inlineStr">
        <is>
          <t>PT2026-00902</t>
        </is>
      </c>
      <c r="S905" s="45" t="inlineStr"/>
    </row>
    <row r="906">
      <c r="A906" s="45" t="inlineStr">
        <is>
          <t>253610671</t>
        </is>
      </c>
      <c r="B906" s="45" t="inlineStr">
        <is>
          <t>NGUYỄN ĐỨC HÙNG</t>
        </is>
      </c>
      <c r="C906" s="45" t="inlineStr">
        <is>
          <t>Khoa học máy tính K66</t>
        </is>
      </c>
      <c r="D906" s="45" t="inlineStr">
        <is>
          <t>Năm 3</t>
        </is>
      </c>
      <c r="E906" s="45" t="inlineStr">
        <is>
          <t>2027_2028</t>
        </is>
      </c>
      <c r="F906" s="45" t="n">
        <v>4</v>
      </c>
      <c r="G906" s="46">
        <f>VLOOKUP(D906,'Cấu Hình Học Phí'!$A$8:$B$11,2,FALSE)</f>
        <v/>
      </c>
      <c r="H906" s="46">
        <f>F906*G906</f>
        <v/>
      </c>
      <c r="I906" s="45" t="n">
        <v>1</v>
      </c>
      <c r="J906" s="46">
        <f>I906*'Cấu Hình Học Phí'!$B$5</f>
        <v/>
      </c>
      <c r="K906" s="46" t="n">
        <v>0</v>
      </c>
      <c r="L906" s="46">
        <f>H906+J906-K906</f>
        <v/>
      </c>
      <c r="M906" s="46" t="n">
        <v>2662000</v>
      </c>
      <c r="N906" s="46" t="n">
        <v>0</v>
      </c>
      <c r="O906" s="46">
        <f>MAX(0,M906-N906-L906)</f>
        <v/>
      </c>
      <c r="P906" s="46">
        <f>MAX(0,L906-(M906-N906))</f>
        <v/>
      </c>
      <c r="Q906" s="45" t="inlineStr">
        <is>
          <t>30/09/2027</t>
        </is>
      </c>
      <c r="R906" s="45" t="inlineStr">
        <is>
          <t>PT2027-00903</t>
        </is>
      </c>
      <c r="S906" s="45" t="inlineStr">
        <is>
          <t>Chưa nộp phí phụ đạo 1 môn</t>
        </is>
      </c>
    </row>
    <row r="907">
      <c r="A907" s="45" t="inlineStr">
        <is>
          <t>253610671</t>
        </is>
      </c>
      <c r="B907" s="45" t="inlineStr">
        <is>
          <t>NGUYỄN ĐỨC HÙNG</t>
        </is>
      </c>
      <c r="C907" s="45" t="inlineStr">
        <is>
          <t>Khoa học máy tính K66</t>
        </is>
      </c>
      <c r="D907" s="45" t="inlineStr">
        <is>
          <t>Năm 4</t>
        </is>
      </c>
      <c r="E907" s="45" t="inlineStr">
        <is>
          <t>2028_2029</t>
        </is>
      </c>
      <c r="F907" s="45" t="n">
        <v>1</v>
      </c>
      <c r="G907" s="46">
        <f>VLOOKUP(D907,'Cấu Hình Học Phí'!$A$8:$B$11,2,FALSE)</f>
        <v/>
      </c>
      <c r="H907" s="46">
        <f>F907*G907</f>
        <v/>
      </c>
      <c r="I907" s="45" t="n">
        <v>0</v>
      </c>
      <c r="J907" s="46">
        <f>I907*'Cấu Hình Học Phí'!$B$5</f>
        <v/>
      </c>
      <c r="K907" s="46" t="n">
        <v>0</v>
      </c>
      <c r="L907" s="46">
        <f>H907+J907-K907</f>
        <v/>
      </c>
      <c r="M907" s="46" t="n">
        <v>732050</v>
      </c>
      <c r="N907" s="46" t="n">
        <v>0</v>
      </c>
      <c r="O907" s="46">
        <f>MAX(0,M907-N907-L907)</f>
        <v/>
      </c>
      <c r="P907" s="46">
        <f>MAX(0,L907-(M907-N907))</f>
        <v/>
      </c>
      <c r="Q907" s="45" t="inlineStr">
        <is>
          <t>30/09/2028</t>
        </is>
      </c>
      <c r="R907" s="45" t="inlineStr">
        <is>
          <t>PT2028-00904</t>
        </is>
      </c>
      <c r="S907" s="45" t="inlineStr"/>
    </row>
    <row r="908">
      <c r="A908" s="45" t="inlineStr">
        <is>
          <t>253610674</t>
        </is>
      </c>
      <c r="B908" s="45" t="inlineStr">
        <is>
          <t>PHẠM GIA KHIÊM</t>
        </is>
      </c>
      <c r="C908" s="45" t="inlineStr">
        <is>
          <t>Khoa học máy tính K66</t>
        </is>
      </c>
      <c r="D908" s="45" t="inlineStr">
        <is>
          <t>Năm 1</t>
        </is>
      </c>
      <c r="E908" s="45" t="inlineStr">
        <is>
          <t>2025_2026</t>
        </is>
      </c>
      <c r="F908" s="45" t="n">
        <v>4</v>
      </c>
      <c r="G908" s="46">
        <f>VLOOKUP(D908,'Cấu Hình Học Phí'!$A$8:$B$11,2,FALSE)</f>
        <v/>
      </c>
      <c r="H908" s="46">
        <f>F908*G908</f>
        <v/>
      </c>
      <c r="I908" s="45" t="n">
        <v>1</v>
      </c>
      <c r="J908" s="46">
        <f>I908*'Cấu Hình Học Phí'!$B$5</f>
        <v/>
      </c>
      <c r="K908" s="46" t="n">
        <v>0</v>
      </c>
      <c r="L908" s="46">
        <f>H908+J908-K908</f>
        <v/>
      </c>
      <c r="M908" s="46" t="n">
        <v>3200000</v>
      </c>
      <c r="N908" s="46" t="n">
        <v>0</v>
      </c>
      <c r="O908" s="46">
        <f>MAX(0,M908-N908-L908)</f>
        <v/>
      </c>
      <c r="P908" s="46">
        <f>MAX(0,L908-(M908-N908))</f>
        <v/>
      </c>
      <c r="Q908" s="45" t="inlineStr">
        <is>
          <t>30/09/2025</t>
        </is>
      </c>
      <c r="R908" s="45" t="inlineStr">
        <is>
          <t>PT2025-00905</t>
        </is>
      </c>
      <c r="S908" s="45" t="inlineStr"/>
    </row>
    <row r="909">
      <c r="A909" s="45" t="inlineStr">
        <is>
          <t>253610674</t>
        </is>
      </c>
      <c r="B909" s="45" t="inlineStr">
        <is>
          <t>PHẠM GIA KHIÊM</t>
        </is>
      </c>
      <c r="C909" s="45" t="inlineStr">
        <is>
          <t>Khoa học máy tính K66</t>
        </is>
      </c>
      <c r="D909" s="45" t="inlineStr">
        <is>
          <t>Năm 2</t>
        </is>
      </c>
      <c r="E909" s="45" t="inlineStr">
        <is>
          <t>2026_2027</t>
        </is>
      </c>
      <c r="F909" s="45" t="n">
        <v>4</v>
      </c>
      <c r="G909" s="46">
        <f>VLOOKUP(D909,'Cấu Hình Học Phí'!$A$8:$B$11,2,FALSE)</f>
        <v/>
      </c>
      <c r="H909" s="46">
        <f>F909*G909</f>
        <v/>
      </c>
      <c r="I909" s="45" t="n">
        <v>0</v>
      </c>
      <c r="J909" s="46">
        <f>I909*'Cấu Hình Học Phí'!$B$5</f>
        <v/>
      </c>
      <c r="K909" s="46" t="n">
        <v>0</v>
      </c>
      <c r="L909" s="46">
        <f>H909+J909-K909</f>
        <v/>
      </c>
      <c r="M909" s="46" t="n">
        <v>2420000</v>
      </c>
      <c r="N909" s="46" t="n">
        <v>0</v>
      </c>
      <c r="O909" s="46">
        <f>MAX(0,M909-N909-L909)</f>
        <v/>
      </c>
      <c r="P909" s="46">
        <f>MAX(0,L909-(M909-N909))</f>
        <v/>
      </c>
      <c r="Q909" s="45" t="inlineStr">
        <is>
          <t>30/09/2026</t>
        </is>
      </c>
      <c r="R909" s="45" t="inlineStr">
        <is>
          <t>PT2026-00906</t>
        </is>
      </c>
      <c r="S909" s="45" t="inlineStr"/>
    </row>
    <row r="910">
      <c r="A910" s="45" t="inlineStr">
        <is>
          <t>253610674</t>
        </is>
      </c>
      <c r="B910" s="45" t="inlineStr">
        <is>
          <t>PHẠM GIA KHIÊM</t>
        </is>
      </c>
      <c r="C910" s="45" t="inlineStr">
        <is>
          <t>Khoa học máy tính K66</t>
        </is>
      </c>
      <c r="D910" s="45" t="inlineStr">
        <is>
          <t>Năm 3</t>
        </is>
      </c>
      <c r="E910" s="45" t="inlineStr">
        <is>
          <t>2027_2028</t>
        </is>
      </c>
      <c r="F910" s="45" t="n">
        <v>4</v>
      </c>
      <c r="G910" s="46">
        <f>VLOOKUP(D910,'Cấu Hình Học Phí'!$A$8:$B$11,2,FALSE)</f>
        <v/>
      </c>
      <c r="H910" s="46">
        <f>F910*G910</f>
        <v/>
      </c>
      <c r="I910" s="45" t="n">
        <v>0</v>
      </c>
      <c r="J910" s="46">
        <f>I910*'Cấu Hình Học Phí'!$B$5</f>
        <v/>
      </c>
      <c r="K910" s="46" t="n">
        <v>0</v>
      </c>
      <c r="L910" s="46">
        <f>H910+J910-K910</f>
        <v/>
      </c>
      <c r="M910" s="46" t="n">
        <v>2662000</v>
      </c>
      <c r="N910" s="46" t="n">
        <v>0</v>
      </c>
      <c r="O910" s="46">
        <f>MAX(0,M910-N910-L910)</f>
        <v/>
      </c>
      <c r="P910" s="46">
        <f>MAX(0,L910-(M910-N910))</f>
        <v/>
      </c>
      <c r="Q910" s="45" t="inlineStr">
        <is>
          <t>30/09/2027</t>
        </is>
      </c>
      <c r="R910" s="45" t="inlineStr">
        <is>
          <t>PT2027-00907</t>
        </is>
      </c>
      <c r="S910" s="45" t="inlineStr"/>
    </row>
    <row r="911">
      <c r="A911" s="45" t="inlineStr">
        <is>
          <t>253610674</t>
        </is>
      </c>
      <c r="B911" s="45" t="inlineStr">
        <is>
          <t>PHẠM GIA KHIÊM</t>
        </is>
      </c>
      <c r="C911" s="45" t="inlineStr">
        <is>
          <t>Khoa học máy tính K66</t>
        </is>
      </c>
      <c r="D911" s="45" t="inlineStr">
        <is>
          <t>Năm 4</t>
        </is>
      </c>
      <c r="E911" s="45" t="inlineStr">
        <is>
          <t>2028_2029</t>
        </is>
      </c>
      <c r="F911" s="45" t="n">
        <v>1</v>
      </c>
      <c r="G911" s="46">
        <f>VLOOKUP(D911,'Cấu Hình Học Phí'!$A$8:$B$11,2,FALSE)</f>
        <v/>
      </c>
      <c r="H911" s="46">
        <f>F911*G911</f>
        <v/>
      </c>
      <c r="I911" s="45" t="n">
        <v>1</v>
      </c>
      <c r="J911" s="46">
        <f>I911*'Cấu Hình Học Phí'!$B$5</f>
        <v/>
      </c>
      <c r="K911" s="46" t="n">
        <v>0</v>
      </c>
      <c r="L911" s="46">
        <f>H911+J911-K911</f>
        <v/>
      </c>
      <c r="M911" s="46" t="n">
        <v>1732050</v>
      </c>
      <c r="N911" s="46" t="n">
        <v>0</v>
      </c>
      <c r="O911" s="46">
        <f>MAX(0,M911-N911-L911)</f>
        <v/>
      </c>
      <c r="P911" s="46">
        <f>MAX(0,L911-(M911-N911))</f>
        <v/>
      </c>
      <c r="Q911" s="45" t="inlineStr">
        <is>
          <t>30/09/2028</t>
        </is>
      </c>
      <c r="R911" s="45" t="inlineStr">
        <is>
          <t>PT2028-00908</t>
        </is>
      </c>
      <c r="S911" s="45" t="inlineStr"/>
    </row>
    <row r="912">
      <c r="A912" s="45" t="inlineStr">
        <is>
          <t>253630675</t>
        </is>
      </c>
      <c r="B912" s="45" t="inlineStr">
        <is>
          <t>HOÀNG ANH KHÔI</t>
        </is>
      </c>
      <c r="C912" s="45" t="inlineStr">
        <is>
          <t>Khoa học máy tính K66</t>
        </is>
      </c>
      <c r="D912" s="45" t="inlineStr">
        <is>
          <t>Năm 1</t>
        </is>
      </c>
      <c r="E912" s="45" t="inlineStr">
        <is>
          <t>2025_2026</t>
        </is>
      </c>
      <c r="F912" s="45" t="n">
        <v>4</v>
      </c>
      <c r="G912" s="46">
        <f>VLOOKUP(D912,'Cấu Hình Học Phí'!$A$8:$B$11,2,FALSE)</f>
        <v/>
      </c>
      <c r="H912" s="46">
        <f>F912*G912</f>
        <v/>
      </c>
      <c r="I912" s="45" t="n">
        <v>1</v>
      </c>
      <c r="J912" s="46">
        <f>I912*'Cấu Hình Học Phí'!$B$5</f>
        <v/>
      </c>
      <c r="K912" s="46" t="n">
        <v>0</v>
      </c>
      <c r="L912" s="46">
        <f>H912+J912-K912</f>
        <v/>
      </c>
      <c r="M912" s="46" t="n">
        <v>3200000</v>
      </c>
      <c r="N912" s="46" t="n">
        <v>0</v>
      </c>
      <c r="O912" s="46">
        <f>MAX(0,M912-N912-L912)</f>
        <v/>
      </c>
      <c r="P912" s="46">
        <f>MAX(0,L912-(M912-N912))</f>
        <v/>
      </c>
      <c r="Q912" s="45" t="inlineStr">
        <is>
          <t>30/09/2025</t>
        </is>
      </c>
      <c r="R912" s="45" t="inlineStr">
        <is>
          <t>PT2025-00909</t>
        </is>
      </c>
      <c r="S912" s="45" t="inlineStr"/>
    </row>
    <row r="913">
      <c r="A913" s="45" t="inlineStr">
        <is>
          <t>253630675</t>
        </is>
      </c>
      <c r="B913" s="45" t="inlineStr">
        <is>
          <t>HOÀNG ANH KHÔI</t>
        </is>
      </c>
      <c r="C913" s="45" t="inlineStr">
        <is>
          <t>Khoa học máy tính K66</t>
        </is>
      </c>
      <c r="D913" s="45" t="inlineStr">
        <is>
          <t>Năm 2</t>
        </is>
      </c>
      <c r="E913" s="45" t="inlineStr">
        <is>
          <t>2026_2027</t>
        </is>
      </c>
      <c r="F913" s="45" t="n">
        <v>4</v>
      </c>
      <c r="G913" s="46">
        <f>VLOOKUP(D913,'Cấu Hình Học Phí'!$A$8:$B$11,2,FALSE)</f>
        <v/>
      </c>
      <c r="H913" s="46">
        <f>F913*G913</f>
        <v/>
      </c>
      <c r="I913" s="45" t="n">
        <v>0</v>
      </c>
      <c r="J913" s="46">
        <f>I913*'Cấu Hình Học Phí'!$B$5</f>
        <v/>
      </c>
      <c r="K913" s="46" t="n">
        <v>0</v>
      </c>
      <c r="L913" s="46">
        <f>H913+J913-K913</f>
        <v/>
      </c>
      <c r="M913" s="46" t="n">
        <v>2420000</v>
      </c>
      <c r="N913" s="46" t="n">
        <v>0</v>
      </c>
      <c r="O913" s="46">
        <f>MAX(0,M913-N913-L913)</f>
        <v/>
      </c>
      <c r="P913" s="46">
        <f>MAX(0,L913-(M913-N913))</f>
        <v/>
      </c>
      <c r="Q913" s="45" t="inlineStr">
        <is>
          <t>30/09/2026</t>
        </is>
      </c>
      <c r="R913" s="45" t="inlineStr">
        <is>
          <t>PT2026-00910</t>
        </is>
      </c>
      <c r="S913" s="45" t="inlineStr"/>
    </row>
    <row r="914">
      <c r="A914" s="45" t="inlineStr">
        <is>
          <t>253630675</t>
        </is>
      </c>
      <c r="B914" s="45" t="inlineStr">
        <is>
          <t>HOÀNG ANH KHÔI</t>
        </is>
      </c>
      <c r="C914" s="45" t="inlineStr">
        <is>
          <t>Khoa học máy tính K66</t>
        </is>
      </c>
      <c r="D914" s="45" t="inlineStr">
        <is>
          <t>Năm 3</t>
        </is>
      </c>
      <c r="E914" s="45" t="inlineStr">
        <is>
          <t>2027_2028</t>
        </is>
      </c>
      <c r="F914" s="45" t="n">
        <v>4</v>
      </c>
      <c r="G914" s="46">
        <f>VLOOKUP(D914,'Cấu Hình Học Phí'!$A$8:$B$11,2,FALSE)</f>
        <v/>
      </c>
      <c r="H914" s="46">
        <f>F914*G914</f>
        <v/>
      </c>
      <c r="I914" s="45" t="n">
        <v>0</v>
      </c>
      <c r="J914" s="46">
        <f>I914*'Cấu Hình Học Phí'!$B$5</f>
        <v/>
      </c>
      <c r="K914" s="46" t="n">
        <v>0</v>
      </c>
      <c r="L914" s="46">
        <f>H914+J914-K914</f>
        <v/>
      </c>
      <c r="M914" s="46" t="n">
        <v>2662000</v>
      </c>
      <c r="N914" s="46" t="n">
        <v>0</v>
      </c>
      <c r="O914" s="46">
        <f>MAX(0,M914-N914-L914)</f>
        <v/>
      </c>
      <c r="P914" s="46">
        <f>MAX(0,L914-(M914-N914))</f>
        <v/>
      </c>
      <c r="Q914" s="45" t="inlineStr">
        <is>
          <t>30/09/2027</t>
        </is>
      </c>
      <c r="R914" s="45" t="inlineStr">
        <is>
          <t>PT2027-00911</t>
        </is>
      </c>
      <c r="S914" s="45" t="inlineStr"/>
    </row>
    <row r="915">
      <c r="A915" s="45" t="inlineStr">
        <is>
          <t>253630675</t>
        </is>
      </c>
      <c r="B915" s="45" t="inlineStr">
        <is>
          <t>HOÀNG ANH KHÔI</t>
        </is>
      </c>
      <c r="C915" s="45" t="inlineStr">
        <is>
          <t>Khoa học máy tính K66</t>
        </is>
      </c>
      <c r="D915" s="45" t="inlineStr">
        <is>
          <t>Năm 4</t>
        </is>
      </c>
      <c r="E915" s="45" t="inlineStr">
        <is>
          <t>2028_2029</t>
        </is>
      </c>
      <c r="F915" s="45" t="n">
        <v>1</v>
      </c>
      <c r="G915" s="46">
        <f>VLOOKUP(D915,'Cấu Hình Học Phí'!$A$8:$B$11,2,FALSE)</f>
        <v/>
      </c>
      <c r="H915" s="46">
        <f>F915*G915</f>
        <v/>
      </c>
      <c r="I915" s="45" t="n">
        <v>0</v>
      </c>
      <c r="J915" s="46">
        <f>I915*'Cấu Hình Học Phí'!$B$5</f>
        <v/>
      </c>
      <c r="K915" s="46" t="n">
        <v>0</v>
      </c>
      <c r="L915" s="46">
        <f>H915+J915-K915</f>
        <v/>
      </c>
      <c r="M915" s="46" t="n">
        <v>732050</v>
      </c>
      <c r="N915" s="46" t="n">
        <v>0</v>
      </c>
      <c r="O915" s="46">
        <f>MAX(0,M915-N915-L915)</f>
        <v/>
      </c>
      <c r="P915" s="46">
        <f>MAX(0,L915-(M915-N915))</f>
        <v/>
      </c>
      <c r="Q915" s="45" t="inlineStr">
        <is>
          <t>30/09/2028</t>
        </is>
      </c>
      <c r="R915" s="45" t="inlineStr">
        <is>
          <t>PT2028-00912</t>
        </is>
      </c>
      <c r="S915" s="45" t="inlineStr"/>
    </row>
    <row r="916">
      <c r="A916" s="45" t="inlineStr">
        <is>
          <t>253610676</t>
        </is>
      </c>
      <c r="B916" s="45" t="inlineStr">
        <is>
          <t>VŨ MẠNH KIÊN</t>
        </is>
      </c>
      <c r="C916" s="45" t="inlineStr">
        <is>
          <t>Khoa học máy tính K66</t>
        </is>
      </c>
      <c r="D916" s="45" t="inlineStr">
        <is>
          <t>Năm 1</t>
        </is>
      </c>
      <c r="E916" s="45" t="inlineStr">
        <is>
          <t>2025_2026</t>
        </is>
      </c>
      <c r="F916" s="45" t="n">
        <v>4</v>
      </c>
      <c r="G916" s="46">
        <f>VLOOKUP(D916,'Cấu Hình Học Phí'!$A$8:$B$11,2,FALSE)</f>
        <v/>
      </c>
      <c r="H916" s="46">
        <f>F916*G916</f>
        <v/>
      </c>
      <c r="I916" s="45" t="n">
        <v>1</v>
      </c>
      <c r="J916" s="46">
        <f>I916*'Cấu Hình Học Phí'!$B$5</f>
        <v/>
      </c>
      <c r="K916" s="46" t="n">
        <v>0</v>
      </c>
      <c r="L916" s="46">
        <f>H916+J916-K916</f>
        <v/>
      </c>
      <c r="M916" s="46" t="n">
        <v>2200000</v>
      </c>
      <c r="N916" s="46" t="n">
        <v>0</v>
      </c>
      <c r="O916" s="46">
        <f>MAX(0,M916-N916-L916)</f>
        <v/>
      </c>
      <c r="P916" s="46">
        <f>MAX(0,L916-(M916-N916))</f>
        <v/>
      </c>
      <c r="Q916" s="45" t="inlineStr">
        <is>
          <t>30/09/2025</t>
        </is>
      </c>
      <c r="R916" s="45" t="inlineStr">
        <is>
          <t>PT2025-00913</t>
        </is>
      </c>
      <c r="S916" s="45" t="inlineStr">
        <is>
          <t>Chưa nộp phí phụ đạo 1 môn</t>
        </is>
      </c>
    </row>
    <row r="917">
      <c r="A917" s="45" t="inlineStr">
        <is>
          <t>253610676</t>
        </is>
      </c>
      <c r="B917" s="45" t="inlineStr">
        <is>
          <t>VŨ MẠNH KIÊN</t>
        </is>
      </c>
      <c r="C917" s="45" t="inlineStr">
        <is>
          <t>Khoa học máy tính K66</t>
        </is>
      </c>
      <c r="D917" s="45" t="inlineStr">
        <is>
          <t>Năm 2</t>
        </is>
      </c>
      <c r="E917" s="45" t="inlineStr">
        <is>
          <t>2026_2027</t>
        </is>
      </c>
      <c r="F917" s="45" t="n">
        <v>4</v>
      </c>
      <c r="G917" s="46">
        <f>VLOOKUP(D917,'Cấu Hình Học Phí'!$A$8:$B$11,2,FALSE)</f>
        <v/>
      </c>
      <c r="H917" s="46">
        <f>F917*G917</f>
        <v/>
      </c>
      <c r="I917" s="45" t="n">
        <v>0</v>
      </c>
      <c r="J917" s="46">
        <f>I917*'Cấu Hình Học Phí'!$B$5</f>
        <v/>
      </c>
      <c r="K917" s="46" t="n">
        <v>0</v>
      </c>
      <c r="L917" s="46">
        <f>H917+J917-K917</f>
        <v/>
      </c>
      <c r="M917" s="46" t="n">
        <v>2420000</v>
      </c>
      <c r="N917" s="46" t="n">
        <v>0</v>
      </c>
      <c r="O917" s="46">
        <f>MAX(0,M917-N917-L917)</f>
        <v/>
      </c>
      <c r="P917" s="46">
        <f>MAX(0,L917-(M917-N917))</f>
        <v/>
      </c>
      <c r="Q917" s="45" t="inlineStr">
        <is>
          <t>30/09/2026</t>
        </is>
      </c>
      <c r="R917" s="45" t="inlineStr">
        <is>
          <t>PT2026-00914</t>
        </is>
      </c>
      <c r="S917" s="45" t="inlineStr"/>
    </row>
    <row r="918">
      <c r="A918" s="45" t="inlineStr">
        <is>
          <t>253610676</t>
        </is>
      </c>
      <c r="B918" s="45" t="inlineStr">
        <is>
          <t>VŨ MẠNH KIÊN</t>
        </is>
      </c>
      <c r="C918" s="45" t="inlineStr">
        <is>
          <t>Khoa học máy tính K66</t>
        </is>
      </c>
      <c r="D918" s="45" t="inlineStr">
        <is>
          <t>Năm 3</t>
        </is>
      </c>
      <c r="E918" s="45" t="inlineStr">
        <is>
          <t>2027_2028</t>
        </is>
      </c>
      <c r="F918" s="45" t="n">
        <v>4</v>
      </c>
      <c r="G918" s="46">
        <f>VLOOKUP(D918,'Cấu Hình Học Phí'!$A$8:$B$11,2,FALSE)</f>
        <v/>
      </c>
      <c r="H918" s="46">
        <f>F918*G918</f>
        <v/>
      </c>
      <c r="I918" s="45" t="n">
        <v>0</v>
      </c>
      <c r="J918" s="46">
        <f>I918*'Cấu Hình Học Phí'!$B$5</f>
        <v/>
      </c>
      <c r="K918" s="46" t="n">
        <v>0</v>
      </c>
      <c r="L918" s="46">
        <f>H918+J918-K918</f>
        <v/>
      </c>
      <c r="M918" s="46" t="n">
        <v>2662000</v>
      </c>
      <c r="N918" s="46" t="n">
        <v>0</v>
      </c>
      <c r="O918" s="46">
        <f>MAX(0,M918-N918-L918)</f>
        <v/>
      </c>
      <c r="P918" s="46">
        <f>MAX(0,L918-(M918-N918))</f>
        <v/>
      </c>
      <c r="Q918" s="45" t="inlineStr">
        <is>
          <t>30/09/2027</t>
        </is>
      </c>
      <c r="R918" s="45" t="inlineStr">
        <is>
          <t>PT2027-00915</t>
        </is>
      </c>
      <c r="S918" s="45" t="inlineStr"/>
    </row>
    <row r="919">
      <c r="A919" s="45" t="inlineStr">
        <is>
          <t>253610676</t>
        </is>
      </c>
      <c r="B919" s="45" t="inlineStr">
        <is>
          <t>VŨ MẠNH KIÊN</t>
        </is>
      </c>
      <c r="C919" s="45" t="inlineStr">
        <is>
          <t>Khoa học máy tính K66</t>
        </is>
      </c>
      <c r="D919" s="45" t="inlineStr">
        <is>
          <t>Năm 4</t>
        </is>
      </c>
      <c r="E919" s="45" t="inlineStr">
        <is>
          <t>2028_2029</t>
        </is>
      </c>
      <c r="F919" s="45" t="n">
        <v>1</v>
      </c>
      <c r="G919" s="46">
        <f>VLOOKUP(D919,'Cấu Hình Học Phí'!$A$8:$B$11,2,FALSE)</f>
        <v/>
      </c>
      <c r="H919" s="46">
        <f>F919*G919</f>
        <v/>
      </c>
      <c r="I919" s="45" t="n">
        <v>1</v>
      </c>
      <c r="J919" s="46">
        <f>I919*'Cấu Hình Học Phí'!$B$5</f>
        <v/>
      </c>
      <c r="K919" s="46" t="n">
        <v>0</v>
      </c>
      <c r="L919" s="46">
        <f>H919+J919-K919</f>
        <v/>
      </c>
      <c r="M919" s="46" t="n">
        <v>732050</v>
      </c>
      <c r="N919" s="46" t="n">
        <v>0</v>
      </c>
      <c r="O919" s="46">
        <f>MAX(0,M919-N919-L919)</f>
        <v/>
      </c>
      <c r="P919" s="46">
        <f>MAX(0,L919-(M919-N919))</f>
        <v/>
      </c>
      <c r="Q919" s="45" t="inlineStr">
        <is>
          <t>30/09/2028</t>
        </is>
      </c>
      <c r="R919" s="45" t="inlineStr">
        <is>
          <t>PT2028-00916</t>
        </is>
      </c>
      <c r="S919" s="45" t="inlineStr">
        <is>
          <t>Chưa nộp phí phụ đạo 1 môn</t>
        </is>
      </c>
    </row>
    <row r="920">
      <c r="A920" s="45" t="inlineStr">
        <is>
          <t>253610677</t>
        </is>
      </c>
      <c r="B920" s="45" t="inlineStr">
        <is>
          <t>NGUYỄN HOÀNG LONG</t>
        </is>
      </c>
      <c r="C920" s="45" t="inlineStr">
        <is>
          <t>Khoa học máy tính K66</t>
        </is>
      </c>
      <c r="D920" s="45" t="inlineStr">
        <is>
          <t>Năm 1</t>
        </is>
      </c>
      <c r="E920" s="45" t="inlineStr">
        <is>
          <t>2025_2026</t>
        </is>
      </c>
      <c r="F920" s="45" t="n">
        <v>4</v>
      </c>
      <c r="G920" s="46">
        <f>VLOOKUP(D920,'Cấu Hình Học Phí'!$A$8:$B$11,2,FALSE)</f>
        <v/>
      </c>
      <c r="H920" s="46">
        <f>F920*G920</f>
        <v/>
      </c>
      <c r="I920" s="45" t="n">
        <v>1</v>
      </c>
      <c r="J920" s="46">
        <f>I920*'Cấu Hình Học Phí'!$B$5</f>
        <v/>
      </c>
      <c r="K920" s="46" t="n">
        <v>0</v>
      </c>
      <c r="L920" s="46">
        <f>H920+J920-K920</f>
        <v/>
      </c>
      <c r="M920" s="46" t="n">
        <v>2200000</v>
      </c>
      <c r="N920" s="46" t="n">
        <v>0</v>
      </c>
      <c r="O920" s="46">
        <f>MAX(0,M920-N920-L920)</f>
        <v/>
      </c>
      <c r="P920" s="46">
        <f>MAX(0,L920-(M920-N920))</f>
        <v/>
      </c>
      <c r="Q920" s="45" t="inlineStr">
        <is>
          <t>30/09/2025</t>
        </is>
      </c>
      <c r="R920" s="45" t="inlineStr">
        <is>
          <t>PT2025-00917</t>
        </is>
      </c>
      <c r="S920" s="45" t="inlineStr">
        <is>
          <t>Chưa nộp phí phụ đạo 1 môn</t>
        </is>
      </c>
    </row>
    <row r="921">
      <c r="A921" s="45" t="inlineStr">
        <is>
          <t>253610677</t>
        </is>
      </c>
      <c r="B921" s="45" t="inlineStr">
        <is>
          <t>NGUYỄN HOÀNG LONG</t>
        </is>
      </c>
      <c r="C921" s="45" t="inlineStr">
        <is>
          <t>Khoa học máy tính K66</t>
        </is>
      </c>
      <c r="D921" s="45" t="inlineStr">
        <is>
          <t>Năm 2</t>
        </is>
      </c>
      <c r="E921" s="45" t="inlineStr">
        <is>
          <t>2026_2027</t>
        </is>
      </c>
      <c r="F921" s="45" t="n">
        <v>4</v>
      </c>
      <c r="G921" s="46">
        <f>VLOOKUP(D921,'Cấu Hình Học Phí'!$A$8:$B$11,2,FALSE)</f>
        <v/>
      </c>
      <c r="H921" s="46">
        <f>F921*G921</f>
        <v/>
      </c>
      <c r="I921" s="45" t="n">
        <v>0</v>
      </c>
      <c r="J921" s="46">
        <f>I921*'Cấu Hình Học Phí'!$B$5</f>
        <v/>
      </c>
      <c r="K921" s="46" t="n">
        <v>0</v>
      </c>
      <c r="L921" s="46">
        <f>H921+J921-K921</f>
        <v/>
      </c>
      <c r="M921" s="46" t="n">
        <v>2420000</v>
      </c>
      <c r="N921" s="46" t="n">
        <v>0</v>
      </c>
      <c r="O921" s="46">
        <f>MAX(0,M921-N921-L921)</f>
        <v/>
      </c>
      <c r="P921" s="46">
        <f>MAX(0,L921-(M921-N921))</f>
        <v/>
      </c>
      <c r="Q921" s="45" t="inlineStr">
        <is>
          <t>30/09/2026</t>
        </is>
      </c>
      <c r="R921" s="45" t="inlineStr">
        <is>
          <t>PT2026-00918</t>
        </is>
      </c>
      <c r="S921" s="45" t="inlineStr"/>
    </row>
    <row r="922">
      <c r="A922" s="45" t="inlineStr">
        <is>
          <t>253610677</t>
        </is>
      </c>
      <c r="B922" s="45" t="inlineStr">
        <is>
          <t>NGUYỄN HOÀNG LONG</t>
        </is>
      </c>
      <c r="C922" s="45" t="inlineStr">
        <is>
          <t>Khoa học máy tính K66</t>
        </is>
      </c>
      <c r="D922" s="45" t="inlineStr">
        <is>
          <t>Năm 3</t>
        </is>
      </c>
      <c r="E922" s="45" t="inlineStr">
        <is>
          <t>2027_2028</t>
        </is>
      </c>
      <c r="F922" s="45" t="n">
        <v>4</v>
      </c>
      <c r="G922" s="46">
        <f>VLOOKUP(D922,'Cấu Hình Học Phí'!$A$8:$B$11,2,FALSE)</f>
        <v/>
      </c>
      <c r="H922" s="46">
        <f>F922*G922</f>
        <v/>
      </c>
      <c r="I922" s="45" t="n">
        <v>0</v>
      </c>
      <c r="J922" s="46">
        <f>I922*'Cấu Hình Học Phí'!$B$5</f>
        <v/>
      </c>
      <c r="K922" s="46" t="n">
        <v>0</v>
      </c>
      <c r="L922" s="46">
        <f>H922+J922-K922</f>
        <v/>
      </c>
      <c r="M922" s="46" t="n">
        <v>2662000</v>
      </c>
      <c r="N922" s="46" t="n">
        <v>0</v>
      </c>
      <c r="O922" s="46">
        <f>MAX(0,M922-N922-L922)</f>
        <v/>
      </c>
      <c r="P922" s="46">
        <f>MAX(0,L922-(M922-N922))</f>
        <v/>
      </c>
      <c r="Q922" s="45" t="inlineStr">
        <is>
          <t>30/09/2027</t>
        </is>
      </c>
      <c r="R922" s="45" t="inlineStr">
        <is>
          <t>PT2027-00919</t>
        </is>
      </c>
      <c r="S922" s="45" t="inlineStr"/>
    </row>
    <row r="923">
      <c r="A923" s="45" t="inlineStr">
        <is>
          <t>253610677</t>
        </is>
      </c>
      <c r="B923" s="45" t="inlineStr">
        <is>
          <t>NGUYỄN HOÀNG LONG</t>
        </is>
      </c>
      <c r="C923" s="45" t="inlineStr">
        <is>
          <t>Khoa học máy tính K66</t>
        </is>
      </c>
      <c r="D923" s="45" t="inlineStr">
        <is>
          <t>Năm 4</t>
        </is>
      </c>
      <c r="E923" s="45" t="inlineStr">
        <is>
          <t>2028_2029</t>
        </is>
      </c>
      <c r="F923" s="45" t="n">
        <v>1</v>
      </c>
      <c r="G923" s="46">
        <f>VLOOKUP(D923,'Cấu Hình Học Phí'!$A$8:$B$11,2,FALSE)</f>
        <v/>
      </c>
      <c r="H923" s="46">
        <f>F923*G923</f>
        <v/>
      </c>
      <c r="I923" s="45" t="n">
        <v>0</v>
      </c>
      <c r="J923" s="46">
        <f>I923*'Cấu Hình Học Phí'!$B$5</f>
        <v/>
      </c>
      <c r="K923" s="46" t="n">
        <v>0</v>
      </c>
      <c r="L923" s="46">
        <f>H923+J923-K923</f>
        <v/>
      </c>
      <c r="M923" s="46" t="n">
        <v>732050</v>
      </c>
      <c r="N923" s="46" t="n">
        <v>0</v>
      </c>
      <c r="O923" s="46">
        <f>MAX(0,M923-N923-L923)</f>
        <v/>
      </c>
      <c r="P923" s="46">
        <f>MAX(0,L923-(M923-N923))</f>
        <v/>
      </c>
      <c r="Q923" s="45" t="inlineStr">
        <is>
          <t>30/09/2028</t>
        </is>
      </c>
      <c r="R923" s="45" t="inlineStr">
        <is>
          <t>PT2028-00920</t>
        </is>
      </c>
      <c r="S923" s="45" t="inlineStr"/>
    </row>
    <row r="924">
      <c r="A924" s="45" t="inlineStr">
        <is>
          <t>253610678</t>
        </is>
      </c>
      <c r="B924" s="45" t="inlineStr">
        <is>
          <t>BÙI DUY MẠNH</t>
        </is>
      </c>
      <c r="C924" s="45" t="inlineStr">
        <is>
          <t>Khoa học máy tính K66</t>
        </is>
      </c>
      <c r="D924" s="45" t="inlineStr">
        <is>
          <t>Năm 1</t>
        </is>
      </c>
      <c r="E924" s="45" t="inlineStr">
        <is>
          <t>2025_2026</t>
        </is>
      </c>
      <c r="F924" s="45" t="n">
        <v>4</v>
      </c>
      <c r="G924" s="46">
        <f>VLOOKUP(D924,'Cấu Hình Học Phí'!$A$8:$B$11,2,FALSE)</f>
        <v/>
      </c>
      <c r="H924" s="46">
        <f>F924*G924</f>
        <v/>
      </c>
      <c r="I924" s="45" t="n">
        <v>0</v>
      </c>
      <c r="J924" s="46">
        <f>I924*'Cấu Hình Học Phí'!$B$5</f>
        <v/>
      </c>
      <c r="K924" s="46" t="n">
        <v>0</v>
      </c>
      <c r="L924" s="46">
        <f>H924+J924-K924</f>
        <v/>
      </c>
      <c r="M924" s="46" t="n">
        <v>2200000</v>
      </c>
      <c r="N924" s="46" t="n">
        <v>0</v>
      </c>
      <c r="O924" s="46">
        <f>MAX(0,M924-N924-L924)</f>
        <v/>
      </c>
      <c r="P924" s="46">
        <f>MAX(0,L924-(M924-N924))</f>
        <v/>
      </c>
      <c r="Q924" s="45" t="inlineStr">
        <is>
          <t>30/09/2025</t>
        </is>
      </c>
      <c r="R924" s="45" t="inlineStr">
        <is>
          <t>PT2025-00921</t>
        </is>
      </c>
      <c r="S924" s="45" t="inlineStr"/>
    </row>
    <row r="925">
      <c r="A925" s="45" t="inlineStr">
        <is>
          <t>253610678</t>
        </is>
      </c>
      <c r="B925" s="45" t="inlineStr">
        <is>
          <t>BÙI DUY MẠNH</t>
        </is>
      </c>
      <c r="C925" s="45" t="inlineStr">
        <is>
          <t>Khoa học máy tính K66</t>
        </is>
      </c>
      <c r="D925" s="45" t="inlineStr">
        <is>
          <t>Năm 2</t>
        </is>
      </c>
      <c r="E925" s="45" t="inlineStr">
        <is>
          <t>2026_2027</t>
        </is>
      </c>
      <c r="F925" s="45" t="n">
        <v>4</v>
      </c>
      <c r="G925" s="46">
        <f>VLOOKUP(D925,'Cấu Hình Học Phí'!$A$8:$B$11,2,FALSE)</f>
        <v/>
      </c>
      <c r="H925" s="46">
        <f>F925*G925</f>
        <v/>
      </c>
      <c r="I925" s="45" t="n">
        <v>0</v>
      </c>
      <c r="J925" s="46">
        <f>I925*'Cấu Hình Học Phí'!$B$5</f>
        <v/>
      </c>
      <c r="K925" s="46" t="n">
        <v>0</v>
      </c>
      <c r="L925" s="46">
        <f>H925+J925-K925</f>
        <v/>
      </c>
      <c r="M925" s="46" t="n">
        <v>2420000</v>
      </c>
      <c r="N925" s="46" t="n">
        <v>0</v>
      </c>
      <c r="O925" s="46">
        <f>MAX(0,M925-N925-L925)</f>
        <v/>
      </c>
      <c r="P925" s="46">
        <f>MAX(0,L925-(M925-N925))</f>
        <v/>
      </c>
      <c r="Q925" s="45" t="inlineStr">
        <is>
          <t>30/09/2026</t>
        </is>
      </c>
      <c r="R925" s="45" t="inlineStr">
        <is>
          <t>PT2026-00922</t>
        </is>
      </c>
      <c r="S925" s="45" t="inlineStr"/>
    </row>
    <row r="926">
      <c r="A926" s="45" t="inlineStr">
        <is>
          <t>253610678</t>
        </is>
      </c>
      <c r="B926" s="45" t="inlineStr">
        <is>
          <t>BÙI DUY MẠNH</t>
        </is>
      </c>
      <c r="C926" s="45" t="inlineStr">
        <is>
          <t>Khoa học máy tính K66</t>
        </is>
      </c>
      <c r="D926" s="45" t="inlineStr">
        <is>
          <t>Năm 3</t>
        </is>
      </c>
      <c r="E926" s="45" t="inlineStr">
        <is>
          <t>2027_2028</t>
        </is>
      </c>
      <c r="F926" s="45" t="n">
        <v>4</v>
      </c>
      <c r="G926" s="46">
        <f>VLOOKUP(D926,'Cấu Hình Học Phí'!$A$8:$B$11,2,FALSE)</f>
        <v/>
      </c>
      <c r="H926" s="46">
        <f>F926*G926</f>
        <v/>
      </c>
      <c r="I926" s="45" t="n">
        <v>0</v>
      </c>
      <c r="J926" s="46">
        <f>I926*'Cấu Hình Học Phí'!$B$5</f>
        <v/>
      </c>
      <c r="K926" s="46" t="n">
        <v>0</v>
      </c>
      <c r="L926" s="46">
        <f>H926+J926-K926</f>
        <v/>
      </c>
      <c r="M926" s="46" t="n">
        <v>2662000</v>
      </c>
      <c r="N926" s="46" t="n">
        <v>0</v>
      </c>
      <c r="O926" s="46">
        <f>MAX(0,M926-N926-L926)</f>
        <v/>
      </c>
      <c r="P926" s="46">
        <f>MAX(0,L926-(M926-N926))</f>
        <v/>
      </c>
      <c r="Q926" s="45" t="inlineStr">
        <is>
          <t>30/09/2027</t>
        </is>
      </c>
      <c r="R926" s="45" t="inlineStr">
        <is>
          <t>PT2027-00923</t>
        </is>
      </c>
      <c r="S926" s="45" t="inlineStr"/>
    </row>
    <row r="927">
      <c r="A927" s="45" t="inlineStr">
        <is>
          <t>253610678</t>
        </is>
      </c>
      <c r="B927" s="45" t="inlineStr">
        <is>
          <t>BÙI DUY MẠNH</t>
        </is>
      </c>
      <c r="C927" s="45" t="inlineStr">
        <is>
          <t>Khoa học máy tính K66</t>
        </is>
      </c>
      <c r="D927" s="45" t="inlineStr">
        <is>
          <t>Năm 4</t>
        </is>
      </c>
      <c r="E927" s="45" t="inlineStr">
        <is>
          <t>2028_2029</t>
        </is>
      </c>
      <c r="F927" s="45" t="n">
        <v>1</v>
      </c>
      <c r="G927" s="46">
        <f>VLOOKUP(D927,'Cấu Hình Học Phí'!$A$8:$B$11,2,FALSE)</f>
        <v/>
      </c>
      <c r="H927" s="46">
        <f>F927*G927</f>
        <v/>
      </c>
      <c r="I927" s="45" t="n">
        <v>0</v>
      </c>
      <c r="J927" s="46">
        <f>I927*'Cấu Hình Học Phí'!$B$5</f>
        <v/>
      </c>
      <c r="K927" s="46" t="n">
        <v>0</v>
      </c>
      <c r="L927" s="46">
        <f>H927+J927-K927</f>
        <v/>
      </c>
      <c r="M927" s="46" t="n">
        <v>732050</v>
      </c>
      <c r="N927" s="46" t="n">
        <v>0</v>
      </c>
      <c r="O927" s="46">
        <f>MAX(0,M927-N927-L927)</f>
        <v/>
      </c>
      <c r="P927" s="46">
        <f>MAX(0,L927-(M927-N927))</f>
        <v/>
      </c>
      <c r="Q927" s="45" t="inlineStr">
        <is>
          <t>30/09/2028</t>
        </is>
      </c>
      <c r="R927" s="45" t="inlineStr">
        <is>
          <t>PT2028-00924</t>
        </is>
      </c>
      <c r="S927" s="45" t="inlineStr"/>
    </row>
    <row r="928">
      <c r="A928" s="45" t="inlineStr">
        <is>
          <t>253610679</t>
        </is>
      </c>
      <c r="B928" s="45" t="inlineStr">
        <is>
          <t>HOÀNG ĐỨC MẠNH</t>
        </is>
      </c>
      <c r="C928" s="45" t="inlineStr">
        <is>
          <t>Khoa học máy tính K66</t>
        </is>
      </c>
      <c r="D928" s="45" t="inlineStr">
        <is>
          <t>Năm 1</t>
        </is>
      </c>
      <c r="E928" s="45" t="inlineStr">
        <is>
          <t>2025_2026</t>
        </is>
      </c>
      <c r="F928" s="45" t="n">
        <v>4</v>
      </c>
      <c r="G928" s="46">
        <f>VLOOKUP(D928,'Cấu Hình Học Phí'!$A$8:$B$11,2,FALSE)</f>
        <v/>
      </c>
      <c r="H928" s="46">
        <f>F928*G928</f>
        <v/>
      </c>
      <c r="I928" s="45" t="n">
        <v>1</v>
      </c>
      <c r="J928" s="46">
        <f>I928*'Cấu Hình Học Phí'!$B$5</f>
        <v/>
      </c>
      <c r="K928" s="46" t="n">
        <v>0</v>
      </c>
      <c r="L928" s="46">
        <f>H928+J928-K928</f>
        <v/>
      </c>
      <c r="M928" s="46" t="n">
        <v>3200000</v>
      </c>
      <c r="N928" s="46" t="n">
        <v>0</v>
      </c>
      <c r="O928" s="46">
        <f>MAX(0,M928-N928-L928)</f>
        <v/>
      </c>
      <c r="P928" s="46">
        <f>MAX(0,L928-(M928-N928))</f>
        <v/>
      </c>
      <c r="Q928" s="45" t="inlineStr">
        <is>
          <t>30/09/2025</t>
        </is>
      </c>
      <c r="R928" s="45" t="inlineStr">
        <is>
          <t>PT2025-00925</t>
        </is>
      </c>
      <c r="S928" s="45" t="inlineStr"/>
    </row>
    <row r="929">
      <c r="A929" s="45" t="inlineStr">
        <is>
          <t>253610679</t>
        </is>
      </c>
      <c r="B929" s="45" t="inlineStr">
        <is>
          <t>HOÀNG ĐỨC MẠNH</t>
        </is>
      </c>
      <c r="C929" s="45" t="inlineStr">
        <is>
          <t>Khoa học máy tính K66</t>
        </is>
      </c>
      <c r="D929" s="45" t="inlineStr">
        <is>
          <t>Năm 2</t>
        </is>
      </c>
      <c r="E929" s="45" t="inlineStr">
        <is>
          <t>2026_2027</t>
        </is>
      </c>
      <c r="F929" s="45" t="n">
        <v>4</v>
      </c>
      <c r="G929" s="46">
        <f>VLOOKUP(D929,'Cấu Hình Học Phí'!$A$8:$B$11,2,FALSE)</f>
        <v/>
      </c>
      <c r="H929" s="46">
        <f>F929*G929</f>
        <v/>
      </c>
      <c r="I929" s="45" t="n">
        <v>0</v>
      </c>
      <c r="J929" s="46">
        <f>I929*'Cấu Hình Học Phí'!$B$5</f>
        <v/>
      </c>
      <c r="K929" s="46" t="n">
        <v>0</v>
      </c>
      <c r="L929" s="46">
        <f>H929+J929-K929</f>
        <v/>
      </c>
      <c r="M929" s="46" t="n">
        <v>2420000</v>
      </c>
      <c r="N929" s="46" t="n">
        <v>0</v>
      </c>
      <c r="O929" s="46">
        <f>MAX(0,M929-N929-L929)</f>
        <v/>
      </c>
      <c r="P929" s="46">
        <f>MAX(0,L929-(M929-N929))</f>
        <v/>
      </c>
      <c r="Q929" s="45" t="inlineStr">
        <is>
          <t>30/09/2026</t>
        </is>
      </c>
      <c r="R929" s="45" t="inlineStr">
        <is>
          <t>PT2026-00926</t>
        </is>
      </c>
      <c r="S929" s="45" t="inlineStr"/>
    </row>
    <row r="930">
      <c r="A930" s="45" t="inlineStr">
        <is>
          <t>253610679</t>
        </is>
      </c>
      <c r="B930" s="45" t="inlineStr">
        <is>
          <t>HOÀNG ĐỨC MẠNH</t>
        </is>
      </c>
      <c r="C930" s="45" t="inlineStr">
        <is>
          <t>Khoa học máy tính K66</t>
        </is>
      </c>
      <c r="D930" s="45" t="inlineStr">
        <is>
          <t>Năm 3</t>
        </is>
      </c>
      <c r="E930" s="45" t="inlineStr">
        <is>
          <t>2027_2028</t>
        </is>
      </c>
      <c r="F930" s="45" t="n">
        <v>4</v>
      </c>
      <c r="G930" s="46">
        <f>VLOOKUP(D930,'Cấu Hình Học Phí'!$A$8:$B$11,2,FALSE)</f>
        <v/>
      </c>
      <c r="H930" s="46">
        <f>F930*G930</f>
        <v/>
      </c>
      <c r="I930" s="45" t="n">
        <v>0</v>
      </c>
      <c r="J930" s="46">
        <f>I930*'Cấu Hình Học Phí'!$B$5</f>
        <v/>
      </c>
      <c r="K930" s="46" t="n">
        <v>0</v>
      </c>
      <c r="L930" s="46">
        <f>H930+J930-K930</f>
        <v/>
      </c>
      <c r="M930" s="46" t="n">
        <v>2662000</v>
      </c>
      <c r="N930" s="46" t="n">
        <v>0</v>
      </c>
      <c r="O930" s="46">
        <f>MAX(0,M930-N930-L930)</f>
        <v/>
      </c>
      <c r="P930" s="46">
        <f>MAX(0,L930-(M930-N930))</f>
        <v/>
      </c>
      <c r="Q930" s="45" t="inlineStr">
        <is>
          <t>30/09/2027</t>
        </is>
      </c>
      <c r="R930" s="45" t="inlineStr">
        <is>
          <t>PT2027-00927</t>
        </is>
      </c>
      <c r="S930" s="45" t="inlineStr"/>
    </row>
    <row r="931">
      <c r="A931" s="45" t="inlineStr">
        <is>
          <t>253610679</t>
        </is>
      </c>
      <c r="B931" s="45" t="inlineStr">
        <is>
          <t>HOÀNG ĐỨC MẠNH</t>
        </is>
      </c>
      <c r="C931" s="45" t="inlineStr">
        <is>
          <t>Khoa học máy tính K66</t>
        </is>
      </c>
      <c r="D931" s="45" t="inlineStr">
        <is>
          <t>Năm 4</t>
        </is>
      </c>
      <c r="E931" s="45" t="inlineStr">
        <is>
          <t>2028_2029</t>
        </is>
      </c>
      <c r="F931" s="45" t="n">
        <v>1</v>
      </c>
      <c r="G931" s="46">
        <f>VLOOKUP(D931,'Cấu Hình Học Phí'!$A$8:$B$11,2,FALSE)</f>
        <v/>
      </c>
      <c r="H931" s="46">
        <f>F931*G931</f>
        <v/>
      </c>
      <c r="I931" s="45" t="n">
        <v>0</v>
      </c>
      <c r="J931" s="46">
        <f>I931*'Cấu Hình Học Phí'!$B$5</f>
        <v/>
      </c>
      <c r="K931" s="46" t="n">
        <v>0</v>
      </c>
      <c r="L931" s="46">
        <f>H931+J931-K931</f>
        <v/>
      </c>
      <c r="M931" s="46" t="n">
        <v>732050</v>
      </c>
      <c r="N931" s="46" t="n">
        <v>0</v>
      </c>
      <c r="O931" s="46">
        <f>MAX(0,M931-N931-L931)</f>
        <v/>
      </c>
      <c r="P931" s="46">
        <f>MAX(0,L931-(M931-N931))</f>
        <v/>
      </c>
      <c r="Q931" s="45" t="inlineStr">
        <is>
          <t>30/09/2028</t>
        </is>
      </c>
      <c r="R931" s="45" t="inlineStr">
        <is>
          <t>PT2028-00928</t>
        </is>
      </c>
      <c r="S931" s="45" t="inlineStr"/>
    </row>
    <row r="932">
      <c r="A932" s="45" t="inlineStr">
        <is>
          <t>253630680</t>
        </is>
      </c>
      <c r="B932" s="45" t="inlineStr">
        <is>
          <t>LÊ ĐỨC MẠNH</t>
        </is>
      </c>
      <c r="C932" s="45" t="inlineStr">
        <is>
          <t>Khoa học máy tính K66</t>
        </is>
      </c>
      <c r="D932" s="45" t="inlineStr">
        <is>
          <t>Năm 1</t>
        </is>
      </c>
      <c r="E932" s="45" t="inlineStr">
        <is>
          <t>2025_2026</t>
        </is>
      </c>
      <c r="F932" s="45" t="n">
        <v>4</v>
      </c>
      <c r="G932" s="46">
        <f>VLOOKUP(D932,'Cấu Hình Học Phí'!$A$8:$B$11,2,FALSE)</f>
        <v/>
      </c>
      <c r="H932" s="46">
        <f>F932*G932</f>
        <v/>
      </c>
      <c r="I932" s="45" t="n">
        <v>0</v>
      </c>
      <c r="J932" s="46">
        <f>I932*'Cấu Hình Học Phí'!$B$5</f>
        <v/>
      </c>
      <c r="K932" s="46" t="n">
        <v>0</v>
      </c>
      <c r="L932" s="46">
        <f>H932+J932-K932</f>
        <v/>
      </c>
      <c r="M932" s="46" t="n">
        <v>2200000</v>
      </c>
      <c r="N932" s="46" t="n">
        <v>0</v>
      </c>
      <c r="O932" s="46">
        <f>MAX(0,M932-N932-L932)</f>
        <v/>
      </c>
      <c r="P932" s="46">
        <f>MAX(0,L932-(M932-N932))</f>
        <v/>
      </c>
      <c r="Q932" s="45" t="inlineStr">
        <is>
          <t>30/09/2025</t>
        </is>
      </c>
      <c r="R932" s="45" t="inlineStr">
        <is>
          <t>PT2025-00929</t>
        </is>
      </c>
      <c r="S932" s="45" t="inlineStr"/>
    </row>
    <row r="933">
      <c r="A933" s="45" t="inlineStr">
        <is>
          <t>253630680</t>
        </is>
      </c>
      <c r="B933" s="45" t="inlineStr">
        <is>
          <t>LÊ ĐỨC MẠNH</t>
        </is>
      </c>
      <c r="C933" s="45" t="inlineStr">
        <is>
          <t>Khoa học máy tính K66</t>
        </is>
      </c>
      <c r="D933" s="45" t="inlineStr">
        <is>
          <t>Năm 2</t>
        </is>
      </c>
      <c r="E933" s="45" t="inlineStr">
        <is>
          <t>2026_2027</t>
        </is>
      </c>
      <c r="F933" s="45" t="n">
        <v>4</v>
      </c>
      <c r="G933" s="46">
        <f>VLOOKUP(D933,'Cấu Hình Học Phí'!$A$8:$B$11,2,FALSE)</f>
        <v/>
      </c>
      <c r="H933" s="46">
        <f>F933*G933</f>
        <v/>
      </c>
      <c r="I933" s="45" t="n">
        <v>0</v>
      </c>
      <c r="J933" s="46">
        <f>I933*'Cấu Hình Học Phí'!$B$5</f>
        <v/>
      </c>
      <c r="K933" s="46" t="n">
        <v>0</v>
      </c>
      <c r="L933" s="46">
        <f>H933+J933-K933</f>
        <v/>
      </c>
      <c r="M933" s="46" t="n">
        <v>2420000</v>
      </c>
      <c r="N933" s="46" t="n">
        <v>0</v>
      </c>
      <c r="O933" s="46">
        <f>MAX(0,M933-N933-L933)</f>
        <v/>
      </c>
      <c r="P933" s="46">
        <f>MAX(0,L933-(M933-N933))</f>
        <v/>
      </c>
      <c r="Q933" s="45" t="inlineStr">
        <is>
          <t>30/09/2026</t>
        </is>
      </c>
      <c r="R933" s="45" t="inlineStr">
        <is>
          <t>PT2026-00930</t>
        </is>
      </c>
      <c r="S933" s="45" t="inlineStr"/>
    </row>
    <row r="934">
      <c r="A934" s="45" t="inlineStr">
        <is>
          <t>253630680</t>
        </is>
      </c>
      <c r="B934" s="45" t="inlineStr">
        <is>
          <t>LÊ ĐỨC MẠNH</t>
        </is>
      </c>
      <c r="C934" s="45" t="inlineStr">
        <is>
          <t>Khoa học máy tính K66</t>
        </is>
      </c>
      <c r="D934" s="45" t="inlineStr">
        <is>
          <t>Năm 3</t>
        </is>
      </c>
      <c r="E934" s="45" t="inlineStr">
        <is>
          <t>2027_2028</t>
        </is>
      </c>
      <c r="F934" s="45" t="n">
        <v>4</v>
      </c>
      <c r="G934" s="46">
        <f>VLOOKUP(D934,'Cấu Hình Học Phí'!$A$8:$B$11,2,FALSE)</f>
        <v/>
      </c>
      <c r="H934" s="46">
        <f>F934*G934</f>
        <v/>
      </c>
      <c r="I934" s="45" t="n">
        <v>1</v>
      </c>
      <c r="J934" s="46">
        <f>I934*'Cấu Hình Học Phí'!$B$5</f>
        <v/>
      </c>
      <c r="K934" s="46" t="n">
        <v>0</v>
      </c>
      <c r="L934" s="46">
        <f>H934+J934-K934</f>
        <v/>
      </c>
      <c r="M934" s="46" t="n">
        <v>3662000</v>
      </c>
      <c r="N934" s="46" t="n">
        <v>0</v>
      </c>
      <c r="O934" s="46">
        <f>MAX(0,M934-N934-L934)</f>
        <v/>
      </c>
      <c r="P934" s="46">
        <f>MAX(0,L934-(M934-N934))</f>
        <v/>
      </c>
      <c r="Q934" s="45" t="inlineStr">
        <is>
          <t>30/09/2027</t>
        </is>
      </c>
      <c r="R934" s="45" t="inlineStr">
        <is>
          <t>PT2027-00931</t>
        </is>
      </c>
      <c r="S934" s="45" t="inlineStr"/>
    </row>
    <row r="935">
      <c r="A935" s="45" t="inlineStr">
        <is>
          <t>253630680</t>
        </is>
      </c>
      <c r="B935" s="45" t="inlineStr">
        <is>
          <t>LÊ ĐỨC MẠNH</t>
        </is>
      </c>
      <c r="C935" s="45" t="inlineStr">
        <is>
          <t>Khoa học máy tính K66</t>
        </is>
      </c>
      <c r="D935" s="45" t="inlineStr">
        <is>
          <t>Năm 4</t>
        </is>
      </c>
      <c r="E935" s="45" t="inlineStr">
        <is>
          <t>2028_2029</t>
        </is>
      </c>
      <c r="F935" s="45" t="n">
        <v>1</v>
      </c>
      <c r="G935" s="46">
        <f>VLOOKUP(D935,'Cấu Hình Học Phí'!$A$8:$B$11,2,FALSE)</f>
        <v/>
      </c>
      <c r="H935" s="46">
        <f>F935*G935</f>
        <v/>
      </c>
      <c r="I935" s="45" t="n">
        <v>0</v>
      </c>
      <c r="J935" s="46">
        <f>I935*'Cấu Hình Học Phí'!$B$5</f>
        <v/>
      </c>
      <c r="K935" s="46" t="n">
        <v>0</v>
      </c>
      <c r="L935" s="46">
        <f>H935+J935-K935</f>
        <v/>
      </c>
      <c r="M935" s="46" t="n">
        <v>732050</v>
      </c>
      <c r="N935" s="46" t="n">
        <v>0</v>
      </c>
      <c r="O935" s="46">
        <f>MAX(0,M935-N935-L935)</f>
        <v/>
      </c>
      <c r="P935" s="46">
        <f>MAX(0,L935-(M935-N935))</f>
        <v/>
      </c>
      <c r="Q935" s="45" t="inlineStr">
        <is>
          <t>30/09/2028</t>
        </is>
      </c>
      <c r="R935" s="45" t="inlineStr">
        <is>
          <t>PT2028-00932</t>
        </is>
      </c>
      <c r="S935" s="45" t="inlineStr"/>
    </row>
    <row r="936">
      <c r="A936" s="45" t="inlineStr">
        <is>
          <t>253610681</t>
        </is>
      </c>
      <c r="B936" s="45" t="inlineStr">
        <is>
          <t>NGUYỄN BÁ MẠNH</t>
        </is>
      </c>
      <c r="C936" s="45" t="inlineStr">
        <is>
          <t>Khoa học máy tính K66</t>
        </is>
      </c>
      <c r="D936" s="45" t="inlineStr">
        <is>
          <t>Năm 1</t>
        </is>
      </c>
      <c r="E936" s="45" t="inlineStr">
        <is>
          <t>2025_2026</t>
        </is>
      </c>
      <c r="F936" s="45" t="n">
        <v>4</v>
      </c>
      <c r="G936" s="46">
        <f>VLOOKUP(D936,'Cấu Hình Học Phí'!$A$8:$B$11,2,FALSE)</f>
        <v/>
      </c>
      <c r="H936" s="46">
        <f>F936*G936</f>
        <v/>
      </c>
      <c r="I936" s="45" t="n">
        <v>0</v>
      </c>
      <c r="J936" s="46">
        <f>I936*'Cấu Hình Học Phí'!$B$5</f>
        <v/>
      </c>
      <c r="K936" s="46" t="n">
        <v>0</v>
      </c>
      <c r="L936" s="46">
        <f>H936+J936-K936</f>
        <v/>
      </c>
      <c r="M936" s="46" t="n">
        <v>2200000</v>
      </c>
      <c r="N936" s="46" t="n">
        <v>0</v>
      </c>
      <c r="O936" s="46">
        <f>MAX(0,M936-N936-L936)</f>
        <v/>
      </c>
      <c r="P936" s="46">
        <f>MAX(0,L936-(M936-N936))</f>
        <v/>
      </c>
      <c r="Q936" s="45" t="inlineStr">
        <is>
          <t>30/09/2025</t>
        </is>
      </c>
      <c r="R936" s="45" t="inlineStr">
        <is>
          <t>PT2025-00933</t>
        </is>
      </c>
      <c r="S936" s="45" t="inlineStr"/>
    </row>
    <row r="937">
      <c r="A937" s="45" t="inlineStr">
        <is>
          <t>253610681</t>
        </is>
      </c>
      <c r="B937" s="45" t="inlineStr">
        <is>
          <t>NGUYỄN BÁ MẠNH</t>
        </is>
      </c>
      <c r="C937" s="45" t="inlineStr">
        <is>
          <t>Khoa học máy tính K66</t>
        </is>
      </c>
      <c r="D937" s="45" t="inlineStr">
        <is>
          <t>Năm 2</t>
        </is>
      </c>
      <c r="E937" s="45" t="inlineStr">
        <is>
          <t>2026_2027</t>
        </is>
      </c>
      <c r="F937" s="45" t="n">
        <v>4</v>
      </c>
      <c r="G937" s="46">
        <f>VLOOKUP(D937,'Cấu Hình Học Phí'!$A$8:$B$11,2,FALSE)</f>
        <v/>
      </c>
      <c r="H937" s="46">
        <f>F937*G937</f>
        <v/>
      </c>
      <c r="I937" s="45" t="n">
        <v>0</v>
      </c>
      <c r="J937" s="46">
        <f>I937*'Cấu Hình Học Phí'!$B$5</f>
        <v/>
      </c>
      <c r="K937" s="46" t="n">
        <v>0</v>
      </c>
      <c r="L937" s="46">
        <f>H937+J937-K937</f>
        <v/>
      </c>
      <c r="M937" s="46" t="n">
        <v>2420000</v>
      </c>
      <c r="N937" s="46" t="n">
        <v>0</v>
      </c>
      <c r="O937" s="46">
        <f>MAX(0,M937-N937-L937)</f>
        <v/>
      </c>
      <c r="P937" s="46">
        <f>MAX(0,L937-(M937-N937))</f>
        <v/>
      </c>
      <c r="Q937" s="45" t="inlineStr">
        <is>
          <t>30/09/2026</t>
        </is>
      </c>
      <c r="R937" s="45" t="inlineStr">
        <is>
          <t>PT2026-00934</t>
        </is>
      </c>
      <c r="S937" s="45" t="inlineStr"/>
    </row>
    <row r="938">
      <c r="A938" s="45" t="inlineStr">
        <is>
          <t>253610681</t>
        </is>
      </c>
      <c r="B938" s="45" t="inlineStr">
        <is>
          <t>NGUYỄN BÁ MẠNH</t>
        </is>
      </c>
      <c r="C938" s="45" t="inlineStr">
        <is>
          <t>Khoa học máy tính K66</t>
        </is>
      </c>
      <c r="D938" s="45" t="inlineStr">
        <is>
          <t>Năm 3</t>
        </is>
      </c>
      <c r="E938" s="45" t="inlineStr">
        <is>
          <t>2027_2028</t>
        </is>
      </c>
      <c r="F938" s="45" t="n">
        <v>4</v>
      </c>
      <c r="G938" s="46">
        <f>VLOOKUP(D938,'Cấu Hình Học Phí'!$A$8:$B$11,2,FALSE)</f>
        <v/>
      </c>
      <c r="H938" s="46">
        <f>F938*G938</f>
        <v/>
      </c>
      <c r="I938" s="45" t="n">
        <v>1</v>
      </c>
      <c r="J938" s="46">
        <f>I938*'Cấu Hình Học Phí'!$B$5</f>
        <v/>
      </c>
      <c r="K938" s="46" t="n">
        <v>0</v>
      </c>
      <c r="L938" s="46">
        <f>H938+J938-K938</f>
        <v/>
      </c>
      <c r="M938" s="46" t="n">
        <v>3662000</v>
      </c>
      <c r="N938" s="46" t="n">
        <v>0</v>
      </c>
      <c r="O938" s="46">
        <f>MAX(0,M938-N938-L938)</f>
        <v/>
      </c>
      <c r="P938" s="46">
        <f>MAX(0,L938-(M938-N938))</f>
        <v/>
      </c>
      <c r="Q938" s="45" t="inlineStr">
        <is>
          <t>30/09/2027</t>
        </is>
      </c>
      <c r="R938" s="45" t="inlineStr">
        <is>
          <t>PT2027-00935</t>
        </is>
      </c>
      <c r="S938" s="45" t="inlineStr"/>
    </row>
    <row r="939">
      <c r="A939" s="45" t="inlineStr">
        <is>
          <t>253610681</t>
        </is>
      </c>
      <c r="B939" s="45" t="inlineStr">
        <is>
          <t>NGUYỄN BÁ MẠNH</t>
        </is>
      </c>
      <c r="C939" s="45" t="inlineStr">
        <is>
          <t>Khoa học máy tính K66</t>
        </is>
      </c>
      <c r="D939" s="45" t="inlineStr">
        <is>
          <t>Năm 4</t>
        </is>
      </c>
      <c r="E939" s="45" t="inlineStr">
        <is>
          <t>2028_2029</t>
        </is>
      </c>
      <c r="F939" s="45" t="n">
        <v>1</v>
      </c>
      <c r="G939" s="46">
        <f>VLOOKUP(D939,'Cấu Hình Học Phí'!$A$8:$B$11,2,FALSE)</f>
        <v/>
      </c>
      <c r="H939" s="46">
        <f>F939*G939</f>
        <v/>
      </c>
      <c r="I939" s="45" t="n">
        <v>0</v>
      </c>
      <c r="J939" s="46">
        <f>I939*'Cấu Hình Học Phí'!$B$5</f>
        <v/>
      </c>
      <c r="K939" s="46" t="n">
        <v>0</v>
      </c>
      <c r="L939" s="46">
        <f>H939+J939-K939</f>
        <v/>
      </c>
      <c r="M939" s="46" t="n">
        <v>732050</v>
      </c>
      <c r="N939" s="46" t="n">
        <v>0</v>
      </c>
      <c r="O939" s="46">
        <f>MAX(0,M939-N939-L939)</f>
        <v/>
      </c>
      <c r="P939" s="46">
        <f>MAX(0,L939-(M939-N939))</f>
        <v/>
      </c>
      <c r="Q939" s="45" t="inlineStr">
        <is>
          <t>30/09/2028</t>
        </is>
      </c>
      <c r="R939" s="45" t="inlineStr">
        <is>
          <t>PT2028-00936</t>
        </is>
      </c>
      <c r="S939" s="45" t="inlineStr"/>
    </row>
    <row r="940">
      <c r="A940" s="45" t="inlineStr">
        <is>
          <t>253610682</t>
        </is>
      </c>
      <c r="B940" s="45" t="inlineStr">
        <is>
          <t>HOÀNG GIA MINH</t>
        </is>
      </c>
      <c r="C940" s="45" t="inlineStr">
        <is>
          <t>Khoa học máy tính K66</t>
        </is>
      </c>
      <c r="D940" s="45" t="inlineStr">
        <is>
          <t>Năm 1</t>
        </is>
      </c>
      <c r="E940" s="45" t="inlineStr">
        <is>
          <t>2025_2026</t>
        </is>
      </c>
      <c r="F940" s="45" t="n">
        <v>4</v>
      </c>
      <c r="G940" s="46">
        <f>VLOOKUP(D940,'Cấu Hình Học Phí'!$A$8:$B$11,2,FALSE)</f>
        <v/>
      </c>
      <c r="H940" s="46">
        <f>F940*G940</f>
        <v/>
      </c>
      <c r="I940" s="45" t="n">
        <v>1</v>
      </c>
      <c r="J940" s="46">
        <f>I940*'Cấu Hình Học Phí'!$B$5</f>
        <v/>
      </c>
      <c r="K940" s="46" t="n">
        <v>0</v>
      </c>
      <c r="L940" s="46">
        <f>H940+J940-K940</f>
        <v/>
      </c>
      <c r="M940" s="46" t="n">
        <v>2200000</v>
      </c>
      <c r="N940" s="46" t="n">
        <v>0</v>
      </c>
      <c r="O940" s="46">
        <f>MAX(0,M940-N940-L940)</f>
        <v/>
      </c>
      <c r="P940" s="46">
        <f>MAX(0,L940-(M940-N940))</f>
        <v/>
      </c>
      <c r="Q940" s="45" t="inlineStr">
        <is>
          <t>30/09/2025</t>
        </is>
      </c>
      <c r="R940" s="45" t="inlineStr">
        <is>
          <t>PT2025-00937</t>
        </is>
      </c>
      <c r="S940" s="45" t="inlineStr">
        <is>
          <t>Chưa nộp phí phụ đạo 1 môn</t>
        </is>
      </c>
    </row>
    <row r="941">
      <c r="A941" s="45" t="inlineStr">
        <is>
          <t>253610682</t>
        </is>
      </c>
      <c r="B941" s="45" t="inlineStr">
        <is>
          <t>HOÀNG GIA MINH</t>
        </is>
      </c>
      <c r="C941" s="45" t="inlineStr">
        <is>
          <t>Khoa học máy tính K66</t>
        </is>
      </c>
      <c r="D941" s="45" t="inlineStr">
        <is>
          <t>Năm 2</t>
        </is>
      </c>
      <c r="E941" s="45" t="inlineStr">
        <is>
          <t>2026_2027</t>
        </is>
      </c>
      <c r="F941" s="45" t="n">
        <v>4</v>
      </c>
      <c r="G941" s="46">
        <f>VLOOKUP(D941,'Cấu Hình Học Phí'!$A$8:$B$11,2,FALSE)</f>
        <v/>
      </c>
      <c r="H941" s="46">
        <f>F941*G941</f>
        <v/>
      </c>
      <c r="I941" s="45" t="n">
        <v>0</v>
      </c>
      <c r="J941" s="46">
        <f>I941*'Cấu Hình Học Phí'!$B$5</f>
        <v/>
      </c>
      <c r="K941" s="46" t="n">
        <v>0</v>
      </c>
      <c r="L941" s="46">
        <f>H941+J941-K941</f>
        <v/>
      </c>
      <c r="M941" s="46" t="n">
        <v>2420000</v>
      </c>
      <c r="N941" s="46" t="n">
        <v>0</v>
      </c>
      <c r="O941" s="46">
        <f>MAX(0,M941-N941-L941)</f>
        <v/>
      </c>
      <c r="P941" s="46">
        <f>MAX(0,L941-(M941-N941))</f>
        <v/>
      </c>
      <c r="Q941" s="45" t="inlineStr">
        <is>
          <t>30/09/2026</t>
        </is>
      </c>
      <c r="R941" s="45" t="inlineStr">
        <is>
          <t>PT2026-00938</t>
        </is>
      </c>
      <c r="S941" s="45" t="inlineStr"/>
    </row>
    <row r="942">
      <c r="A942" s="45" t="inlineStr">
        <is>
          <t>253610682</t>
        </is>
      </c>
      <c r="B942" s="45" t="inlineStr">
        <is>
          <t>HOÀNG GIA MINH</t>
        </is>
      </c>
      <c r="C942" s="45" t="inlineStr">
        <is>
          <t>Khoa học máy tính K66</t>
        </is>
      </c>
      <c r="D942" s="45" t="inlineStr">
        <is>
          <t>Năm 3</t>
        </is>
      </c>
      <c r="E942" s="45" t="inlineStr">
        <is>
          <t>2027_2028</t>
        </is>
      </c>
      <c r="F942" s="45" t="n">
        <v>4</v>
      </c>
      <c r="G942" s="46">
        <f>VLOOKUP(D942,'Cấu Hình Học Phí'!$A$8:$B$11,2,FALSE)</f>
        <v/>
      </c>
      <c r="H942" s="46">
        <f>F942*G942</f>
        <v/>
      </c>
      <c r="I942" s="45" t="n">
        <v>1</v>
      </c>
      <c r="J942" s="46">
        <f>I942*'Cấu Hình Học Phí'!$B$5</f>
        <v/>
      </c>
      <c r="K942" s="46" t="n">
        <v>0</v>
      </c>
      <c r="L942" s="46">
        <f>H942+J942-K942</f>
        <v/>
      </c>
      <c r="M942" s="46" t="n">
        <v>2662000</v>
      </c>
      <c r="N942" s="46" t="n">
        <v>0</v>
      </c>
      <c r="O942" s="46">
        <f>MAX(0,M942-N942-L942)</f>
        <v/>
      </c>
      <c r="P942" s="46">
        <f>MAX(0,L942-(M942-N942))</f>
        <v/>
      </c>
      <c r="Q942" s="45" t="inlineStr">
        <is>
          <t>30/09/2027</t>
        </is>
      </c>
      <c r="R942" s="45" t="inlineStr">
        <is>
          <t>PT2027-00939</t>
        </is>
      </c>
      <c r="S942" s="45" t="inlineStr">
        <is>
          <t>Chưa nộp phí phụ đạo 1 môn</t>
        </is>
      </c>
    </row>
    <row r="943">
      <c r="A943" s="45" t="inlineStr">
        <is>
          <t>253610682</t>
        </is>
      </c>
      <c r="B943" s="45" t="inlineStr">
        <is>
          <t>HOÀNG GIA MINH</t>
        </is>
      </c>
      <c r="C943" s="45" t="inlineStr">
        <is>
          <t>Khoa học máy tính K66</t>
        </is>
      </c>
      <c r="D943" s="45" t="inlineStr">
        <is>
          <t>Năm 4</t>
        </is>
      </c>
      <c r="E943" s="45" t="inlineStr">
        <is>
          <t>2028_2029</t>
        </is>
      </c>
      <c r="F943" s="45" t="n">
        <v>1</v>
      </c>
      <c r="G943" s="46">
        <f>VLOOKUP(D943,'Cấu Hình Học Phí'!$A$8:$B$11,2,FALSE)</f>
        <v/>
      </c>
      <c r="H943" s="46">
        <f>F943*G943</f>
        <v/>
      </c>
      <c r="I943" s="45" t="n">
        <v>0</v>
      </c>
      <c r="J943" s="46">
        <f>I943*'Cấu Hình Học Phí'!$B$5</f>
        <v/>
      </c>
      <c r="K943" s="46" t="n">
        <v>0</v>
      </c>
      <c r="L943" s="46">
        <f>H943+J943-K943</f>
        <v/>
      </c>
      <c r="M943" s="46" t="n">
        <v>732050</v>
      </c>
      <c r="N943" s="46" t="n">
        <v>0</v>
      </c>
      <c r="O943" s="46">
        <f>MAX(0,M943-N943-L943)</f>
        <v/>
      </c>
      <c r="P943" s="46">
        <f>MAX(0,L943-(M943-N943))</f>
        <v/>
      </c>
      <c r="Q943" s="45" t="inlineStr">
        <is>
          <t>30/09/2028</t>
        </is>
      </c>
      <c r="R943" s="45" t="inlineStr">
        <is>
          <t>PT2028-00940</t>
        </is>
      </c>
      <c r="S943" s="45" t="inlineStr"/>
    </row>
    <row r="944">
      <c r="A944" s="45" t="inlineStr">
        <is>
          <t>253610683</t>
        </is>
      </c>
      <c r="B944" s="45" t="inlineStr">
        <is>
          <t>LÊ QUANG MINH</t>
        </is>
      </c>
      <c r="C944" s="45" t="inlineStr">
        <is>
          <t>Khoa học máy tính K66</t>
        </is>
      </c>
      <c r="D944" s="45" t="inlineStr">
        <is>
          <t>Năm 1</t>
        </is>
      </c>
      <c r="E944" s="45" t="inlineStr">
        <is>
          <t>2025_2026</t>
        </is>
      </c>
      <c r="F944" s="45" t="n">
        <v>4</v>
      </c>
      <c r="G944" s="46">
        <f>VLOOKUP(D944,'Cấu Hình Học Phí'!$A$8:$B$11,2,FALSE)</f>
        <v/>
      </c>
      <c r="H944" s="46">
        <f>F944*G944</f>
        <v/>
      </c>
      <c r="I944" s="45" t="n">
        <v>1</v>
      </c>
      <c r="J944" s="46">
        <f>I944*'Cấu Hình Học Phí'!$B$5</f>
        <v/>
      </c>
      <c r="K944" s="46" t="n">
        <v>0</v>
      </c>
      <c r="L944" s="46">
        <f>H944+J944-K944</f>
        <v/>
      </c>
      <c r="M944" s="46" t="n">
        <v>3200000</v>
      </c>
      <c r="N944" s="46" t="n">
        <v>0</v>
      </c>
      <c r="O944" s="46">
        <f>MAX(0,M944-N944-L944)</f>
        <v/>
      </c>
      <c r="P944" s="46">
        <f>MAX(0,L944-(M944-N944))</f>
        <v/>
      </c>
      <c r="Q944" s="45" t="inlineStr">
        <is>
          <t>30/09/2025</t>
        </is>
      </c>
      <c r="R944" s="45" t="inlineStr">
        <is>
          <t>PT2025-00941</t>
        </is>
      </c>
      <c r="S944" s="45" t="inlineStr"/>
    </row>
    <row r="945">
      <c r="A945" s="45" t="inlineStr">
        <is>
          <t>253610683</t>
        </is>
      </c>
      <c r="B945" s="45" t="inlineStr">
        <is>
          <t>LÊ QUANG MINH</t>
        </is>
      </c>
      <c r="C945" s="45" t="inlineStr">
        <is>
          <t>Khoa học máy tính K66</t>
        </is>
      </c>
      <c r="D945" s="45" t="inlineStr">
        <is>
          <t>Năm 2</t>
        </is>
      </c>
      <c r="E945" s="45" t="inlineStr">
        <is>
          <t>2026_2027</t>
        </is>
      </c>
      <c r="F945" s="45" t="n">
        <v>4</v>
      </c>
      <c r="G945" s="46">
        <f>VLOOKUP(D945,'Cấu Hình Học Phí'!$A$8:$B$11,2,FALSE)</f>
        <v/>
      </c>
      <c r="H945" s="46">
        <f>F945*G945</f>
        <v/>
      </c>
      <c r="I945" s="45" t="n">
        <v>0</v>
      </c>
      <c r="J945" s="46">
        <f>I945*'Cấu Hình Học Phí'!$B$5</f>
        <v/>
      </c>
      <c r="K945" s="46" t="n">
        <v>0</v>
      </c>
      <c r="L945" s="46">
        <f>H945+J945-K945</f>
        <v/>
      </c>
      <c r="M945" s="46" t="n">
        <v>2420000</v>
      </c>
      <c r="N945" s="46" t="n">
        <v>0</v>
      </c>
      <c r="O945" s="46">
        <f>MAX(0,M945-N945-L945)</f>
        <v/>
      </c>
      <c r="P945" s="46">
        <f>MAX(0,L945-(M945-N945))</f>
        <v/>
      </c>
      <c r="Q945" s="45" t="inlineStr">
        <is>
          <t>30/09/2026</t>
        </is>
      </c>
      <c r="R945" s="45" t="inlineStr">
        <is>
          <t>PT2026-00942</t>
        </is>
      </c>
      <c r="S945" s="45" t="inlineStr"/>
    </row>
    <row r="946">
      <c r="A946" s="45" t="inlineStr">
        <is>
          <t>253610683</t>
        </is>
      </c>
      <c r="B946" s="45" t="inlineStr">
        <is>
          <t>LÊ QUANG MINH</t>
        </is>
      </c>
      <c r="C946" s="45" t="inlineStr">
        <is>
          <t>Khoa học máy tính K66</t>
        </is>
      </c>
      <c r="D946" s="45" t="inlineStr">
        <is>
          <t>Năm 3</t>
        </is>
      </c>
      <c r="E946" s="45" t="inlineStr">
        <is>
          <t>2027_2028</t>
        </is>
      </c>
      <c r="F946" s="45" t="n">
        <v>4</v>
      </c>
      <c r="G946" s="46">
        <f>VLOOKUP(D946,'Cấu Hình Học Phí'!$A$8:$B$11,2,FALSE)</f>
        <v/>
      </c>
      <c r="H946" s="46">
        <f>F946*G946</f>
        <v/>
      </c>
      <c r="I946" s="45" t="n">
        <v>1</v>
      </c>
      <c r="J946" s="46">
        <f>I946*'Cấu Hình Học Phí'!$B$5</f>
        <v/>
      </c>
      <c r="K946" s="46" t="n">
        <v>0</v>
      </c>
      <c r="L946" s="46">
        <f>H946+J946-K946</f>
        <v/>
      </c>
      <c r="M946" s="46" t="n">
        <v>3662000</v>
      </c>
      <c r="N946" s="46" t="n">
        <v>0</v>
      </c>
      <c r="O946" s="46">
        <f>MAX(0,M946-N946-L946)</f>
        <v/>
      </c>
      <c r="P946" s="46">
        <f>MAX(0,L946-(M946-N946))</f>
        <v/>
      </c>
      <c r="Q946" s="45" t="inlineStr">
        <is>
          <t>30/09/2027</t>
        </is>
      </c>
      <c r="R946" s="45" t="inlineStr">
        <is>
          <t>PT2027-00943</t>
        </is>
      </c>
      <c r="S946" s="45" t="inlineStr"/>
    </row>
    <row r="947">
      <c r="A947" s="45" t="inlineStr">
        <is>
          <t>253610683</t>
        </is>
      </c>
      <c r="B947" s="45" t="inlineStr">
        <is>
          <t>LÊ QUANG MINH</t>
        </is>
      </c>
      <c r="C947" s="45" t="inlineStr">
        <is>
          <t>Khoa học máy tính K66</t>
        </is>
      </c>
      <c r="D947" s="45" t="inlineStr">
        <is>
          <t>Năm 4</t>
        </is>
      </c>
      <c r="E947" s="45" t="inlineStr">
        <is>
          <t>2028_2029</t>
        </is>
      </c>
      <c r="F947" s="45" t="n">
        <v>1</v>
      </c>
      <c r="G947" s="46">
        <f>VLOOKUP(D947,'Cấu Hình Học Phí'!$A$8:$B$11,2,FALSE)</f>
        <v/>
      </c>
      <c r="H947" s="46">
        <f>F947*G947</f>
        <v/>
      </c>
      <c r="I947" s="45" t="n">
        <v>0</v>
      </c>
      <c r="J947" s="46">
        <f>I947*'Cấu Hình Học Phí'!$B$5</f>
        <v/>
      </c>
      <c r="K947" s="46" t="n">
        <v>0</v>
      </c>
      <c r="L947" s="46">
        <f>H947+J947-K947</f>
        <v/>
      </c>
      <c r="M947" s="46" t="n">
        <v>732050</v>
      </c>
      <c r="N947" s="46" t="n">
        <v>0</v>
      </c>
      <c r="O947" s="46">
        <f>MAX(0,M947-N947-L947)</f>
        <v/>
      </c>
      <c r="P947" s="46">
        <f>MAX(0,L947-(M947-N947))</f>
        <v/>
      </c>
      <c r="Q947" s="45" t="inlineStr">
        <is>
          <t>30/09/2028</t>
        </is>
      </c>
      <c r="R947" s="45" t="inlineStr">
        <is>
          <t>PT2028-00944</t>
        </is>
      </c>
      <c r="S947" s="45" t="inlineStr"/>
    </row>
    <row r="948">
      <c r="A948" s="45" t="inlineStr">
        <is>
          <t>253610684</t>
        </is>
      </c>
      <c r="B948" s="45" t="inlineStr">
        <is>
          <t>NGUYỄN NHẬT MINH</t>
        </is>
      </c>
      <c r="C948" s="45" t="inlineStr">
        <is>
          <t>Khoa học máy tính K66</t>
        </is>
      </c>
      <c r="D948" s="45" t="inlineStr">
        <is>
          <t>Năm 1</t>
        </is>
      </c>
      <c r="E948" s="45" t="inlineStr">
        <is>
          <t>2025_2026</t>
        </is>
      </c>
      <c r="F948" s="45" t="n">
        <v>4</v>
      </c>
      <c r="G948" s="46">
        <f>VLOOKUP(D948,'Cấu Hình Học Phí'!$A$8:$B$11,2,FALSE)</f>
        <v/>
      </c>
      <c r="H948" s="46">
        <f>F948*G948</f>
        <v/>
      </c>
      <c r="I948" s="45" t="n">
        <v>1</v>
      </c>
      <c r="J948" s="46">
        <f>I948*'Cấu Hình Học Phí'!$B$5</f>
        <v/>
      </c>
      <c r="K948" s="46" t="n">
        <v>0</v>
      </c>
      <c r="L948" s="46">
        <f>H948+J948-K948</f>
        <v/>
      </c>
      <c r="M948" s="46" t="n">
        <v>3200000</v>
      </c>
      <c r="N948" s="46" t="n">
        <v>0</v>
      </c>
      <c r="O948" s="46">
        <f>MAX(0,M948-N948-L948)</f>
        <v/>
      </c>
      <c r="P948" s="46">
        <f>MAX(0,L948-(M948-N948))</f>
        <v/>
      </c>
      <c r="Q948" s="45" t="inlineStr">
        <is>
          <t>30/09/2025</t>
        </is>
      </c>
      <c r="R948" s="45" t="inlineStr">
        <is>
          <t>PT2025-00945</t>
        </is>
      </c>
      <c r="S948" s="45" t="inlineStr"/>
    </row>
    <row r="949">
      <c r="A949" s="45" t="inlineStr">
        <is>
          <t>253610684</t>
        </is>
      </c>
      <c r="B949" s="45" t="inlineStr">
        <is>
          <t>NGUYỄN NHẬT MINH</t>
        </is>
      </c>
      <c r="C949" s="45" t="inlineStr">
        <is>
          <t>Khoa học máy tính K66</t>
        </is>
      </c>
      <c r="D949" s="45" t="inlineStr">
        <is>
          <t>Năm 2</t>
        </is>
      </c>
      <c r="E949" s="45" t="inlineStr">
        <is>
          <t>2026_2027</t>
        </is>
      </c>
      <c r="F949" s="45" t="n">
        <v>4</v>
      </c>
      <c r="G949" s="46">
        <f>VLOOKUP(D949,'Cấu Hình Học Phí'!$A$8:$B$11,2,FALSE)</f>
        <v/>
      </c>
      <c r="H949" s="46">
        <f>F949*G949</f>
        <v/>
      </c>
      <c r="I949" s="45" t="n">
        <v>1</v>
      </c>
      <c r="J949" s="46">
        <f>I949*'Cấu Hình Học Phí'!$B$5</f>
        <v/>
      </c>
      <c r="K949" s="46" t="n">
        <v>0</v>
      </c>
      <c r="L949" s="46">
        <f>H949+J949-K949</f>
        <v/>
      </c>
      <c r="M949" s="46" t="n">
        <v>3420000</v>
      </c>
      <c r="N949" s="46" t="n">
        <v>0</v>
      </c>
      <c r="O949" s="46">
        <f>MAX(0,M949-N949-L949)</f>
        <v/>
      </c>
      <c r="P949" s="46">
        <f>MAX(0,L949-(M949-N949))</f>
        <v/>
      </c>
      <c r="Q949" s="45" t="inlineStr">
        <is>
          <t>30/09/2026</t>
        </is>
      </c>
      <c r="R949" s="45" t="inlineStr">
        <is>
          <t>PT2026-00946</t>
        </is>
      </c>
      <c r="S949" s="45" t="inlineStr"/>
    </row>
    <row r="950">
      <c r="A950" s="45" t="inlineStr">
        <is>
          <t>253610684</t>
        </is>
      </c>
      <c r="B950" s="45" t="inlineStr">
        <is>
          <t>NGUYỄN NHẬT MINH</t>
        </is>
      </c>
      <c r="C950" s="45" t="inlineStr">
        <is>
          <t>Khoa học máy tính K66</t>
        </is>
      </c>
      <c r="D950" s="45" t="inlineStr">
        <is>
          <t>Năm 3</t>
        </is>
      </c>
      <c r="E950" s="45" t="inlineStr">
        <is>
          <t>2027_2028</t>
        </is>
      </c>
      <c r="F950" s="45" t="n">
        <v>4</v>
      </c>
      <c r="G950" s="46">
        <f>VLOOKUP(D950,'Cấu Hình Học Phí'!$A$8:$B$11,2,FALSE)</f>
        <v/>
      </c>
      <c r="H950" s="46">
        <f>F950*G950</f>
        <v/>
      </c>
      <c r="I950" s="45" t="n">
        <v>0</v>
      </c>
      <c r="J950" s="46">
        <f>I950*'Cấu Hình Học Phí'!$B$5</f>
        <v/>
      </c>
      <c r="K950" s="46" t="n">
        <v>0</v>
      </c>
      <c r="L950" s="46">
        <f>H950+J950-K950</f>
        <v/>
      </c>
      <c r="M950" s="46" t="n">
        <v>2662000</v>
      </c>
      <c r="N950" s="46" t="n">
        <v>0</v>
      </c>
      <c r="O950" s="46">
        <f>MAX(0,M950-N950-L950)</f>
        <v/>
      </c>
      <c r="P950" s="46">
        <f>MAX(0,L950-(M950-N950))</f>
        <v/>
      </c>
      <c r="Q950" s="45" t="inlineStr">
        <is>
          <t>30/09/2027</t>
        </is>
      </c>
      <c r="R950" s="45" t="inlineStr">
        <is>
          <t>PT2027-00947</t>
        </is>
      </c>
      <c r="S950" s="45" t="inlineStr"/>
    </row>
    <row r="951">
      <c r="A951" s="45" t="inlineStr">
        <is>
          <t>253610684</t>
        </is>
      </c>
      <c r="B951" s="45" t="inlineStr">
        <is>
          <t>NGUYỄN NHẬT MINH</t>
        </is>
      </c>
      <c r="C951" s="45" t="inlineStr">
        <is>
          <t>Khoa học máy tính K66</t>
        </is>
      </c>
      <c r="D951" s="45" t="inlineStr">
        <is>
          <t>Năm 4</t>
        </is>
      </c>
      <c r="E951" s="45" t="inlineStr">
        <is>
          <t>2028_2029</t>
        </is>
      </c>
      <c r="F951" s="45" t="n">
        <v>1</v>
      </c>
      <c r="G951" s="46">
        <f>VLOOKUP(D951,'Cấu Hình Học Phí'!$A$8:$B$11,2,FALSE)</f>
        <v/>
      </c>
      <c r="H951" s="46">
        <f>F951*G951</f>
        <v/>
      </c>
      <c r="I951" s="45" t="n">
        <v>0</v>
      </c>
      <c r="J951" s="46">
        <f>I951*'Cấu Hình Học Phí'!$B$5</f>
        <v/>
      </c>
      <c r="K951" s="46" t="n">
        <v>0</v>
      </c>
      <c r="L951" s="46">
        <f>H951+J951-K951</f>
        <v/>
      </c>
      <c r="M951" s="46" t="n">
        <v>732050</v>
      </c>
      <c r="N951" s="46" t="n">
        <v>0</v>
      </c>
      <c r="O951" s="46">
        <f>MAX(0,M951-N951-L951)</f>
        <v/>
      </c>
      <c r="P951" s="46">
        <f>MAX(0,L951-(M951-N951))</f>
        <v/>
      </c>
      <c r="Q951" s="45" t="inlineStr">
        <is>
          <t>30/09/2028</t>
        </is>
      </c>
      <c r="R951" s="45" t="inlineStr">
        <is>
          <t>PT2028-00948</t>
        </is>
      </c>
      <c r="S951" s="45" t="inlineStr"/>
    </row>
    <row r="952">
      <c r="A952" s="45" t="inlineStr">
        <is>
          <t>253610685</t>
        </is>
      </c>
      <c r="B952" s="45" t="inlineStr">
        <is>
          <t>NGUYỄN THÀNH MINH</t>
        </is>
      </c>
      <c r="C952" s="45" t="inlineStr">
        <is>
          <t>Khoa học máy tính K66</t>
        </is>
      </c>
      <c r="D952" s="45" t="inlineStr">
        <is>
          <t>Năm 1</t>
        </is>
      </c>
      <c r="E952" s="45" t="inlineStr">
        <is>
          <t>2025_2026</t>
        </is>
      </c>
      <c r="F952" s="45" t="n">
        <v>4</v>
      </c>
      <c r="G952" s="46">
        <f>VLOOKUP(D952,'Cấu Hình Học Phí'!$A$8:$B$11,2,FALSE)</f>
        <v/>
      </c>
      <c r="H952" s="46">
        <f>F952*G952</f>
        <v/>
      </c>
      <c r="I952" s="45" t="n">
        <v>1</v>
      </c>
      <c r="J952" s="46">
        <f>I952*'Cấu Hình Học Phí'!$B$5</f>
        <v/>
      </c>
      <c r="K952" s="46" t="n">
        <v>0</v>
      </c>
      <c r="L952" s="46">
        <f>H952+J952-K952</f>
        <v/>
      </c>
      <c r="M952" s="46" t="n">
        <v>2200000</v>
      </c>
      <c r="N952" s="46" t="n">
        <v>0</v>
      </c>
      <c r="O952" s="46">
        <f>MAX(0,M952-N952-L952)</f>
        <v/>
      </c>
      <c r="P952" s="46">
        <f>MAX(0,L952-(M952-N952))</f>
        <v/>
      </c>
      <c r="Q952" s="45" t="inlineStr">
        <is>
          <t>30/09/2025</t>
        </is>
      </c>
      <c r="R952" s="45" t="inlineStr">
        <is>
          <t>PT2025-00949</t>
        </is>
      </c>
      <c r="S952" s="45" t="inlineStr">
        <is>
          <t>Chưa nộp phí phụ đạo 1 môn</t>
        </is>
      </c>
    </row>
    <row r="953">
      <c r="A953" s="45" t="inlineStr">
        <is>
          <t>253610685</t>
        </is>
      </c>
      <c r="B953" s="45" t="inlineStr">
        <is>
          <t>NGUYỄN THÀNH MINH</t>
        </is>
      </c>
      <c r="C953" s="45" t="inlineStr">
        <is>
          <t>Khoa học máy tính K66</t>
        </is>
      </c>
      <c r="D953" s="45" t="inlineStr">
        <is>
          <t>Năm 2</t>
        </is>
      </c>
      <c r="E953" s="45" t="inlineStr">
        <is>
          <t>2026_2027</t>
        </is>
      </c>
      <c r="F953" s="45" t="n">
        <v>4</v>
      </c>
      <c r="G953" s="46">
        <f>VLOOKUP(D953,'Cấu Hình Học Phí'!$A$8:$B$11,2,FALSE)</f>
        <v/>
      </c>
      <c r="H953" s="46">
        <f>F953*G953</f>
        <v/>
      </c>
      <c r="I953" s="45" t="n">
        <v>0</v>
      </c>
      <c r="J953" s="46">
        <f>I953*'Cấu Hình Học Phí'!$B$5</f>
        <v/>
      </c>
      <c r="K953" s="46" t="n">
        <v>0</v>
      </c>
      <c r="L953" s="46">
        <f>H953+J953-K953</f>
        <v/>
      </c>
      <c r="M953" s="46" t="n">
        <v>2420000</v>
      </c>
      <c r="N953" s="46" t="n">
        <v>0</v>
      </c>
      <c r="O953" s="46">
        <f>MAX(0,M953-N953-L953)</f>
        <v/>
      </c>
      <c r="P953" s="46">
        <f>MAX(0,L953-(M953-N953))</f>
        <v/>
      </c>
      <c r="Q953" s="45" t="inlineStr">
        <is>
          <t>30/09/2026</t>
        </is>
      </c>
      <c r="R953" s="45" t="inlineStr">
        <is>
          <t>PT2026-00950</t>
        </is>
      </c>
      <c r="S953" s="45" t="inlineStr"/>
    </row>
    <row r="954">
      <c r="A954" s="45" t="inlineStr">
        <is>
          <t>253610685</t>
        </is>
      </c>
      <c r="B954" s="45" t="inlineStr">
        <is>
          <t>NGUYỄN THÀNH MINH</t>
        </is>
      </c>
      <c r="C954" s="45" t="inlineStr">
        <is>
          <t>Khoa học máy tính K66</t>
        </is>
      </c>
      <c r="D954" s="45" t="inlineStr">
        <is>
          <t>Năm 3</t>
        </is>
      </c>
      <c r="E954" s="45" t="inlineStr">
        <is>
          <t>2027_2028</t>
        </is>
      </c>
      <c r="F954" s="45" t="n">
        <v>4</v>
      </c>
      <c r="G954" s="46">
        <f>VLOOKUP(D954,'Cấu Hình Học Phí'!$A$8:$B$11,2,FALSE)</f>
        <v/>
      </c>
      <c r="H954" s="46">
        <f>F954*G954</f>
        <v/>
      </c>
      <c r="I954" s="45" t="n">
        <v>0</v>
      </c>
      <c r="J954" s="46">
        <f>I954*'Cấu Hình Học Phí'!$B$5</f>
        <v/>
      </c>
      <c r="K954" s="46" t="n">
        <v>0</v>
      </c>
      <c r="L954" s="46">
        <f>H954+J954-K954</f>
        <v/>
      </c>
      <c r="M954" s="46" t="n">
        <v>2662000</v>
      </c>
      <c r="N954" s="46" t="n">
        <v>0</v>
      </c>
      <c r="O954" s="46">
        <f>MAX(0,M954-N954-L954)</f>
        <v/>
      </c>
      <c r="P954" s="46">
        <f>MAX(0,L954-(M954-N954))</f>
        <v/>
      </c>
      <c r="Q954" s="45" t="inlineStr">
        <is>
          <t>30/09/2027</t>
        </is>
      </c>
      <c r="R954" s="45" t="inlineStr">
        <is>
          <t>PT2027-00951</t>
        </is>
      </c>
      <c r="S954" s="45" t="inlineStr"/>
    </row>
    <row r="955">
      <c r="A955" s="45" t="inlineStr">
        <is>
          <t>253610685</t>
        </is>
      </c>
      <c r="B955" s="45" t="inlineStr">
        <is>
          <t>NGUYỄN THÀNH MINH</t>
        </is>
      </c>
      <c r="C955" s="45" t="inlineStr">
        <is>
          <t>Khoa học máy tính K66</t>
        </is>
      </c>
      <c r="D955" s="45" t="inlineStr">
        <is>
          <t>Năm 4</t>
        </is>
      </c>
      <c r="E955" s="45" t="inlineStr">
        <is>
          <t>2028_2029</t>
        </is>
      </c>
      <c r="F955" s="45" t="n">
        <v>1</v>
      </c>
      <c r="G955" s="46">
        <f>VLOOKUP(D955,'Cấu Hình Học Phí'!$A$8:$B$11,2,FALSE)</f>
        <v/>
      </c>
      <c r="H955" s="46">
        <f>F955*G955</f>
        <v/>
      </c>
      <c r="I955" s="45" t="n">
        <v>0</v>
      </c>
      <c r="J955" s="46">
        <f>I955*'Cấu Hình Học Phí'!$B$5</f>
        <v/>
      </c>
      <c r="K955" s="46" t="n">
        <v>0</v>
      </c>
      <c r="L955" s="46">
        <f>H955+J955-K955</f>
        <v/>
      </c>
      <c r="M955" s="46" t="n">
        <v>732050</v>
      </c>
      <c r="N955" s="46" t="n">
        <v>0</v>
      </c>
      <c r="O955" s="46">
        <f>MAX(0,M955-N955-L955)</f>
        <v/>
      </c>
      <c r="P955" s="46">
        <f>MAX(0,L955-(M955-N955))</f>
        <v/>
      </c>
      <c r="Q955" s="45" t="inlineStr">
        <is>
          <t>30/09/2028</t>
        </is>
      </c>
      <c r="R955" s="45" t="inlineStr">
        <is>
          <t>PT2028-00952</t>
        </is>
      </c>
      <c r="S955" s="45" t="inlineStr"/>
    </row>
    <row r="956">
      <c r="A956" s="45" t="inlineStr">
        <is>
          <t>253610686</t>
        </is>
      </c>
      <c r="B956" s="45" t="inlineStr">
        <is>
          <t>PHẠM NHẬT MINH</t>
        </is>
      </c>
      <c r="C956" s="45" t="inlineStr">
        <is>
          <t>Khoa học máy tính K66</t>
        </is>
      </c>
      <c r="D956" s="45" t="inlineStr">
        <is>
          <t>Năm 1</t>
        </is>
      </c>
      <c r="E956" s="45" t="inlineStr">
        <is>
          <t>2025_2026</t>
        </is>
      </c>
      <c r="F956" s="45" t="n">
        <v>4</v>
      </c>
      <c r="G956" s="46">
        <f>VLOOKUP(D956,'Cấu Hình Học Phí'!$A$8:$B$11,2,FALSE)</f>
        <v/>
      </c>
      <c r="H956" s="46">
        <f>F956*G956</f>
        <v/>
      </c>
      <c r="I956" s="45" t="n">
        <v>1</v>
      </c>
      <c r="J956" s="46">
        <f>I956*'Cấu Hình Học Phí'!$B$5</f>
        <v/>
      </c>
      <c r="K956" s="46" t="n">
        <v>0</v>
      </c>
      <c r="L956" s="46">
        <f>H956+J956-K956</f>
        <v/>
      </c>
      <c r="M956" s="46" t="n">
        <v>3200000</v>
      </c>
      <c r="N956" s="46" t="n">
        <v>0</v>
      </c>
      <c r="O956" s="46">
        <f>MAX(0,M956-N956-L956)</f>
        <v/>
      </c>
      <c r="P956" s="46">
        <f>MAX(0,L956-(M956-N956))</f>
        <v/>
      </c>
      <c r="Q956" s="45" t="inlineStr">
        <is>
          <t>30/09/2025</t>
        </is>
      </c>
      <c r="R956" s="45" t="inlineStr">
        <is>
          <t>PT2025-00953</t>
        </is>
      </c>
      <c r="S956" s="45" t="inlineStr"/>
    </row>
    <row r="957">
      <c r="A957" s="45" t="inlineStr">
        <is>
          <t>253610686</t>
        </is>
      </c>
      <c r="B957" s="45" t="inlineStr">
        <is>
          <t>PHẠM NHẬT MINH</t>
        </is>
      </c>
      <c r="C957" s="45" t="inlineStr">
        <is>
          <t>Khoa học máy tính K66</t>
        </is>
      </c>
      <c r="D957" s="45" t="inlineStr">
        <is>
          <t>Năm 2</t>
        </is>
      </c>
      <c r="E957" s="45" t="inlineStr">
        <is>
          <t>2026_2027</t>
        </is>
      </c>
      <c r="F957" s="45" t="n">
        <v>4</v>
      </c>
      <c r="G957" s="46">
        <f>VLOOKUP(D957,'Cấu Hình Học Phí'!$A$8:$B$11,2,FALSE)</f>
        <v/>
      </c>
      <c r="H957" s="46">
        <f>F957*G957</f>
        <v/>
      </c>
      <c r="I957" s="45" t="n">
        <v>0</v>
      </c>
      <c r="J957" s="46">
        <f>I957*'Cấu Hình Học Phí'!$B$5</f>
        <v/>
      </c>
      <c r="K957" s="46" t="n">
        <v>0</v>
      </c>
      <c r="L957" s="46">
        <f>H957+J957-K957</f>
        <v/>
      </c>
      <c r="M957" s="46" t="n">
        <v>2420000</v>
      </c>
      <c r="N957" s="46" t="n">
        <v>0</v>
      </c>
      <c r="O957" s="46">
        <f>MAX(0,M957-N957-L957)</f>
        <v/>
      </c>
      <c r="P957" s="46">
        <f>MAX(0,L957-(M957-N957))</f>
        <v/>
      </c>
      <c r="Q957" s="45" t="inlineStr">
        <is>
          <t>30/09/2026</t>
        </is>
      </c>
      <c r="R957" s="45" t="inlineStr">
        <is>
          <t>PT2026-00954</t>
        </is>
      </c>
      <c r="S957" s="45" t="inlineStr"/>
    </row>
    <row r="958">
      <c r="A958" s="45" t="inlineStr">
        <is>
          <t>253610686</t>
        </is>
      </c>
      <c r="B958" s="45" t="inlineStr">
        <is>
          <t>PHẠM NHẬT MINH</t>
        </is>
      </c>
      <c r="C958" s="45" t="inlineStr">
        <is>
          <t>Khoa học máy tính K66</t>
        </is>
      </c>
      <c r="D958" s="45" t="inlineStr">
        <is>
          <t>Năm 3</t>
        </is>
      </c>
      <c r="E958" s="45" t="inlineStr">
        <is>
          <t>2027_2028</t>
        </is>
      </c>
      <c r="F958" s="45" t="n">
        <v>4</v>
      </c>
      <c r="G958" s="46">
        <f>VLOOKUP(D958,'Cấu Hình Học Phí'!$A$8:$B$11,2,FALSE)</f>
        <v/>
      </c>
      <c r="H958" s="46">
        <f>F958*G958</f>
        <v/>
      </c>
      <c r="I958" s="45" t="n">
        <v>0</v>
      </c>
      <c r="J958" s="46">
        <f>I958*'Cấu Hình Học Phí'!$B$5</f>
        <v/>
      </c>
      <c r="K958" s="46" t="n">
        <v>0</v>
      </c>
      <c r="L958" s="46">
        <f>H958+J958-K958</f>
        <v/>
      </c>
      <c r="M958" s="46" t="n">
        <v>2662000</v>
      </c>
      <c r="N958" s="46" t="n">
        <v>0</v>
      </c>
      <c r="O958" s="46">
        <f>MAX(0,M958-N958-L958)</f>
        <v/>
      </c>
      <c r="P958" s="46">
        <f>MAX(0,L958-(M958-N958))</f>
        <v/>
      </c>
      <c r="Q958" s="45" t="inlineStr">
        <is>
          <t>30/09/2027</t>
        </is>
      </c>
      <c r="R958" s="45" t="inlineStr">
        <is>
          <t>PT2027-00955</t>
        </is>
      </c>
      <c r="S958" s="45" t="inlineStr"/>
    </row>
    <row r="959">
      <c r="A959" s="45" t="inlineStr">
        <is>
          <t>253610686</t>
        </is>
      </c>
      <c r="B959" s="45" t="inlineStr">
        <is>
          <t>PHẠM NHẬT MINH</t>
        </is>
      </c>
      <c r="C959" s="45" t="inlineStr">
        <is>
          <t>Khoa học máy tính K66</t>
        </is>
      </c>
      <c r="D959" s="45" t="inlineStr">
        <is>
          <t>Năm 4</t>
        </is>
      </c>
      <c r="E959" s="45" t="inlineStr">
        <is>
          <t>2028_2029</t>
        </is>
      </c>
      <c r="F959" s="45" t="n">
        <v>1</v>
      </c>
      <c r="G959" s="46">
        <f>VLOOKUP(D959,'Cấu Hình Học Phí'!$A$8:$B$11,2,FALSE)</f>
        <v/>
      </c>
      <c r="H959" s="46">
        <f>F959*G959</f>
        <v/>
      </c>
      <c r="I959" s="45" t="n">
        <v>0</v>
      </c>
      <c r="J959" s="46">
        <f>I959*'Cấu Hình Học Phí'!$B$5</f>
        <v/>
      </c>
      <c r="K959" s="46" t="n">
        <v>0</v>
      </c>
      <c r="L959" s="46">
        <f>H959+J959-K959</f>
        <v/>
      </c>
      <c r="M959" s="46" t="n">
        <v>732050</v>
      </c>
      <c r="N959" s="46" t="n">
        <v>0</v>
      </c>
      <c r="O959" s="46">
        <f>MAX(0,M959-N959-L959)</f>
        <v/>
      </c>
      <c r="P959" s="46">
        <f>MAX(0,L959-(M959-N959))</f>
        <v/>
      </c>
      <c r="Q959" s="45" t="inlineStr">
        <is>
          <t>30/09/2028</t>
        </is>
      </c>
      <c r="R959" s="45" t="inlineStr">
        <is>
          <t>PT2028-00956</t>
        </is>
      </c>
      <c r="S959" s="45" t="inlineStr"/>
    </row>
    <row r="960">
      <c r="A960" s="45" t="inlineStr">
        <is>
          <t>253630687</t>
        </is>
      </c>
      <c r="B960" s="45" t="inlineStr">
        <is>
          <t>HOÀNG TUẤN PHONG</t>
        </is>
      </c>
      <c r="C960" s="45" t="inlineStr">
        <is>
          <t>Khoa học máy tính K66</t>
        </is>
      </c>
      <c r="D960" s="45" t="inlineStr">
        <is>
          <t>Năm 1</t>
        </is>
      </c>
      <c r="E960" s="45" t="inlineStr">
        <is>
          <t>2025_2026</t>
        </is>
      </c>
      <c r="F960" s="45" t="n">
        <v>4</v>
      </c>
      <c r="G960" s="46">
        <f>VLOOKUP(D960,'Cấu Hình Học Phí'!$A$8:$B$11,2,FALSE)</f>
        <v/>
      </c>
      <c r="H960" s="46">
        <f>F960*G960</f>
        <v/>
      </c>
      <c r="I960" s="45" t="n">
        <v>1</v>
      </c>
      <c r="J960" s="46">
        <f>I960*'Cấu Hình Học Phí'!$B$5</f>
        <v/>
      </c>
      <c r="K960" s="46" t="n">
        <v>0</v>
      </c>
      <c r="L960" s="46">
        <f>H960+J960-K960</f>
        <v/>
      </c>
      <c r="M960" s="46" t="n">
        <v>3200000</v>
      </c>
      <c r="N960" s="46" t="n">
        <v>0</v>
      </c>
      <c r="O960" s="46">
        <f>MAX(0,M960-N960-L960)</f>
        <v/>
      </c>
      <c r="P960" s="46">
        <f>MAX(0,L960-(M960-N960))</f>
        <v/>
      </c>
      <c r="Q960" s="45" t="inlineStr">
        <is>
          <t>30/09/2025</t>
        </is>
      </c>
      <c r="R960" s="45" t="inlineStr">
        <is>
          <t>PT2025-00957</t>
        </is>
      </c>
      <c r="S960" s="45" t="inlineStr"/>
    </row>
    <row r="961">
      <c r="A961" s="45" t="inlineStr">
        <is>
          <t>253630687</t>
        </is>
      </c>
      <c r="B961" s="45" t="inlineStr">
        <is>
          <t>HOÀNG TUẤN PHONG</t>
        </is>
      </c>
      <c r="C961" s="45" t="inlineStr">
        <is>
          <t>Khoa học máy tính K66</t>
        </is>
      </c>
      <c r="D961" s="45" t="inlineStr">
        <is>
          <t>Năm 2</t>
        </is>
      </c>
      <c r="E961" s="45" t="inlineStr">
        <is>
          <t>2026_2027</t>
        </is>
      </c>
      <c r="F961" s="45" t="n">
        <v>4</v>
      </c>
      <c r="G961" s="46">
        <f>VLOOKUP(D961,'Cấu Hình Học Phí'!$A$8:$B$11,2,FALSE)</f>
        <v/>
      </c>
      <c r="H961" s="46">
        <f>F961*G961</f>
        <v/>
      </c>
      <c r="I961" s="45" t="n">
        <v>1</v>
      </c>
      <c r="J961" s="46">
        <f>I961*'Cấu Hình Học Phí'!$B$5</f>
        <v/>
      </c>
      <c r="K961" s="46" t="n">
        <v>0</v>
      </c>
      <c r="L961" s="46">
        <f>H961+J961-K961</f>
        <v/>
      </c>
      <c r="M961" s="46" t="n">
        <v>3420000</v>
      </c>
      <c r="N961" s="46" t="n">
        <v>0</v>
      </c>
      <c r="O961" s="46">
        <f>MAX(0,M961-N961-L961)</f>
        <v/>
      </c>
      <c r="P961" s="46">
        <f>MAX(0,L961-(M961-N961))</f>
        <v/>
      </c>
      <c r="Q961" s="45" t="inlineStr">
        <is>
          <t>30/09/2026</t>
        </is>
      </c>
      <c r="R961" s="45" t="inlineStr">
        <is>
          <t>PT2026-00958</t>
        </is>
      </c>
      <c r="S961" s="45" t="inlineStr"/>
    </row>
    <row r="962">
      <c r="A962" s="45" t="inlineStr">
        <is>
          <t>253630687</t>
        </is>
      </c>
      <c r="B962" s="45" t="inlineStr">
        <is>
          <t>HOÀNG TUẤN PHONG</t>
        </is>
      </c>
      <c r="C962" s="45" t="inlineStr">
        <is>
          <t>Khoa học máy tính K66</t>
        </is>
      </c>
      <c r="D962" s="45" t="inlineStr">
        <is>
          <t>Năm 3</t>
        </is>
      </c>
      <c r="E962" s="45" t="inlineStr">
        <is>
          <t>2027_2028</t>
        </is>
      </c>
      <c r="F962" s="45" t="n">
        <v>4</v>
      </c>
      <c r="G962" s="46">
        <f>VLOOKUP(D962,'Cấu Hình Học Phí'!$A$8:$B$11,2,FALSE)</f>
        <v/>
      </c>
      <c r="H962" s="46">
        <f>F962*G962</f>
        <v/>
      </c>
      <c r="I962" s="45" t="n">
        <v>0</v>
      </c>
      <c r="J962" s="46">
        <f>I962*'Cấu Hình Học Phí'!$B$5</f>
        <v/>
      </c>
      <c r="K962" s="46" t="n">
        <v>0</v>
      </c>
      <c r="L962" s="46">
        <f>H962+J962-K962</f>
        <v/>
      </c>
      <c r="M962" s="46" t="n">
        <v>2662000</v>
      </c>
      <c r="N962" s="46" t="n">
        <v>0</v>
      </c>
      <c r="O962" s="46">
        <f>MAX(0,M962-N962-L962)</f>
        <v/>
      </c>
      <c r="P962" s="46">
        <f>MAX(0,L962-(M962-N962))</f>
        <v/>
      </c>
      <c r="Q962" s="45" t="inlineStr">
        <is>
          <t>30/09/2027</t>
        </is>
      </c>
      <c r="R962" s="45" t="inlineStr">
        <is>
          <t>PT2027-00959</t>
        </is>
      </c>
      <c r="S962" s="45" t="inlineStr"/>
    </row>
    <row r="963">
      <c r="A963" s="45" t="inlineStr">
        <is>
          <t>253630687</t>
        </is>
      </c>
      <c r="B963" s="45" t="inlineStr">
        <is>
          <t>HOÀNG TUẤN PHONG</t>
        </is>
      </c>
      <c r="C963" s="45" t="inlineStr">
        <is>
          <t>Khoa học máy tính K66</t>
        </is>
      </c>
      <c r="D963" s="45" t="inlineStr">
        <is>
          <t>Năm 4</t>
        </is>
      </c>
      <c r="E963" s="45" t="inlineStr">
        <is>
          <t>2028_2029</t>
        </is>
      </c>
      <c r="F963" s="45" t="n">
        <v>1</v>
      </c>
      <c r="G963" s="46">
        <f>VLOOKUP(D963,'Cấu Hình Học Phí'!$A$8:$B$11,2,FALSE)</f>
        <v/>
      </c>
      <c r="H963" s="46">
        <f>F963*G963</f>
        <v/>
      </c>
      <c r="I963" s="45" t="n">
        <v>0</v>
      </c>
      <c r="J963" s="46">
        <f>I963*'Cấu Hình Học Phí'!$B$5</f>
        <v/>
      </c>
      <c r="K963" s="46" t="n">
        <v>0</v>
      </c>
      <c r="L963" s="46">
        <f>H963+J963-K963</f>
        <v/>
      </c>
      <c r="M963" s="46" t="n">
        <v>732050</v>
      </c>
      <c r="N963" s="46" t="n">
        <v>0</v>
      </c>
      <c r="O963" s="46">
        <f>MAX(0,M963-N963-L963)</f>
        <v/>
      </c>
      <c r="P963" s="46">
        <f>MAX(0,L963-(M963-N963))</f>
        <v/>
      </c>
      <c r="Q963" s="45" t="inlineStr">
        <is>
          <t>30/09/2028</t>
        </is>
      </c>
      <c r="R963" s="45" t="inlineStr">
        <is>
          <t>PT2028-00960</t>
        </is>
      </c>
      <c r="S963" s="45" t="inlineStr"/>
    </row>
    <row r="964">
      <c r="A964" s="45" t="inlineStr">
        <is>
          <t>253630688</t>
        </is>
      </c>
      <c r="B964" s="45" t="inlineStr">
        <is>
          <t>TRẦN ĐAN PHONG</t>
        </is>
      </c>
      <c r="C964" s="45" t="inlineStr">
        <is>
          <t>Khoa học máy tính K66</t>
        </is>
      </c>
      <c r="D964" s="45" t="inlineStr">
        <is>
          <t>Năm 1</t>
        </is>
      </c>
      <c r="E964" s="45" t="inlineStr">
        <is>
          <t>2025_2026</t>
        </is>
      </c>
      <c r="F964" s="45" t="n">
        <v>4</v>
      </c>
      <c r="G964" s="46">
        <f>VLOOKUP(D964,'Cấu Hình Học Phí'!$A$8:$B$11,2,FALSE)</f>
        <v/>
      </c>
      <c r="H964" s="46">
        <f>F964*G964</f>
        <v/>
      </c>
      <c r="I964" s="45" t="n">
        <v>0</v>
      </c>
      <c r="J964" s="46">
        <f>I964*'Cấu Hình Học Phí'!$B$5</f>
        <v/>
      </c>
      <c r="K964" s="46" t="n">
        <v>0</v>
      </c>
      <c r="L964" s="46">
        <f>H964+J964-K964</f>
        <v/>
      </c>
      <c r="M964" s="46" t="n">
        <v>2200000</v>
      </c>
      <c r="N964" s="46" t="n">
        <v>0</v>
      </c>
      <c r="O964" s="46">
        <f>MAX(0,M964-N964-L964)</f>
        <v/>
      </c>
      <c r="P964" s="46">
        <f>MAX(0,L964-(M964-N964))</f>
        <v/>
      </c>
      <c r="Q964" s="45" t="inlineStr">
        <is>
          <t>30/09/2025</t>
        </is>
      </c>
      <c r="R964" s="45" t="inlineStr">
        <is>
          <t>PT2025-00961</t>
        </is>
      </c>
      <c r="S964" s="45" t="inlineStr"/>
    </row>
    <row r="965">
      <c r="A965" s="45" t="inlineStr">
        <is>
          <t>253630688</t>
        </is>
      </c>
      <c r="B965" s="45" t="inlineStr">
        <is>
          <t>TRẦN ĐAN PHONG</t>
        </is>
      </c>
      <c r="C965" s="45" t="inlineStr">
        <is>
          <t>Khoa học máy tính K66</t>
        </is>
      </c>
      <c r="D965" s="45" t="inlineStr">
        <is>
          <t>Năm 2</t>
        </is>
      </c>
      <c r="E965" s="45" t="inlineStr">
        <is>
          <t>2026_2027</t>
        </is>
      </c>
      <c r="F965" s="45" t="n">
        <v>4</v>
      </c>
      <c r="G965" s="46">
        <f>VLOOKUP(D965,'Cấu Hình Học Phí'!$A$8:$B$11,2,FALSE)</f>
        <v/>
      </c>
      <c r="H965" s="46">
        <f>F965*G965</f>
        <v/>
      </c>
      <c r="I965" s="45" t="n">
        <v>1</v>
      </c>
      <c r="J965" s="46">
        <f>I965*'Cấu Hình Học Phí'!$B$5</f>
        <v/>
      </c>
      <c r="K965" s="46" t="n">
        <v>0</v>
      </c>
      <c r="L965" s="46">
        <f>H965+J965-K965</f>
        <v/>
      </c>
      <c r="M965" s="46" t="n">
        <v>3420000</v>
      </c>
      <c r="N965" s="46" t="n">
        <v>0</v>
      </c>
      <c r="O965" s="46">
        <f>MAX(0,M965-N965-L965)</f>
        <v/>
      </c>
      <c r="P965" s="46">
        <f>MAX(0,L965-(M965-N965))</f>
        <v/>
      </c>
      <c r="Q965" s="45" t="inlineStr">
        <is>
          <t>30/09/2026</t>
        </is>
      </c>
      <c r="R965" s="45" t="inlineStr">
        <is>
          <t>PT2026-00962</t>
        </is>
      </c>
      <c r="S965" s="45" t="inlineStr"/>
    </row>
    <row r="966">
      <c r="A966" s="45" t="inlineStr">
        <is>
          <t>253630688</t>
        </is>
      </c>
      <c r="B966" s="45" t="inlineStr">
        <is>
          <t>TRẦN ĐAN PHONG</t>
        </is>
      </c>
      <c r="C966" s="45" t="inlineStr">
        <is>
          <t>Khoa học máy tính K66</t>
        </is>
      </c>
      <c r="D966" s="45" t="inlineStr">
        <is>
          <t>Năm 3</t>
        </is>
      </c>
      <c r="E966" s="45" t="inlineStr">
        <is>
          <t>2027_2028</t>
        </is>
      </c>
      <c r="F966" s="45" t="n">
        <v>4</v>
      </c>
      <c r="G966" s="46">
        <f>VLOOKUP(D966,'Cấu Hình Học Phí'!$A$8:$B$11,2,FALSE)</f>
        <v/>
      </c>
      <c r="H966" s="46">
        <f>F966*G966</f>
        <v/>
      </c>
      <c r="I966" s="45" t="n">
        <v>0</v>
      </c>
      <c r="J966" s="46">
        <f>I966*'Cấu Hình Học Phí'!$B$5</f>
        <v/>
      </c>
      <c r="K966" s="46" t="n">
        <v>0</v>
      </c>
      <c r="L966" s="46">
        <f>H966+J966-K966</f>
        <v/>
      </c>
      <c r="M966" s="46" t="n">
        <v>2662000</v>
      </c>
      <c r="N966" s="46" t="n">
        <v>0</v>
      </c>
      <c r="O966" s="46">
        <f>MAX(0,M966-N966-L966)</f>
        <v/>
      </c>
      <c r="P966" s="46">
        <f>MAX(0,L966-(M966-N966))</f>
        <v/>
      </c>
      <c r="Q966" s="45" t="inlineStr">
        <is>
          <t>30/09/2027</t>
        </is>
      </c>
      <c r="R966" s="45" t="inlineStr">
        <is>
          <t>PT2027-00963</t>
        </is>
      </c>
      <c r="S966" s="45" t="inlineStr"/>
    </row>
    <row r="967">
      <c r="A967" s="45" t="inlineStr">
        <is>
          <t>253630688</t>
        </is>
      </c>
      <c r="B967" s="45" t="inlineStr">
        <is>
          <t>TRẦN ĐAN PHONG</t>
        </is>
      </c>
      <c r="C967" s="45" t="inlineStr">
        <is>
          <t>Khoa học máy tính K66</t>
        </is>
      </c>
      <c r="D967" s="45" t="inlineStr">
        <is>
          <t>Năm 4</t>
        </is>
      </c>
      <c r="E967" s="45" t="inlineStr">
        <is>
          <t>2028_2029</t>
        </is>
      </c>
      <c r="F967" s="45" t="n">
        <v>1</v>
      </c>
      <c r="G967" s="46">
        <f>VLOOKUP(D967,'Cấu Hình Học Phí'!$A$8:$B$11,2,FALSE)</f>
        <v/>
      </c>
      <c r="H967" s="46">
        <f>F967*G967</f>
        <v/>
      </c>
      <c r="I967" s="45" t="n">
        <v>0</v>
      </c>
      <c r="J967" s="46">
        <f>I967*'Cấu Hình Học Phí'!$B$5</f>
        <v/>
      </c>
      <c r="K967" s="46" t="n">
        <v>0</v>
      </c>
      <c r="L967" s="46">
        <f>H967+J967-K967</f>
        <v/>
      </c>
      <c r="M967" s="46" t="n">
        <v>732050</v>
      </c>
      <c r="N967" s="46" t="n">
        <v>0</v>
      </c>
      <c r="O967" s="46">
        <f>MAX(0,M967-N967-L967)</f>
        <v/>
      </c>
      <c r="P967" s="46">
        <f>MAX(0,L967-(M967-N967))</f>
        <v/>
      </c>
      <c r="Q967" s="45" t="inlineStr">
        <is>
          <t>30/09/2028</t>
        </is>
      </c>
      <c r="R967" s="45" t="inlineStr">
        <is>
          <t>PT2028-00964</t>
        </is>
      </c>
      <c r="S967" s="45" t="inlineStr"/>
    </row>
    <row r="968">
      <c r="A968" s="45" t="inlineStr">
        <is>
          <t>253634785</t>
        </is>
      </c>
      <c r="B968" s="45" t="inlineStr">
        <is>
          <t>ĐINH VĂN PHÚC</t>
        </is>
      </c>
      <c r="C968" s="45" t="inlineStr">
        <is>
          <t>Khoa học máy tính K66</t>
        </is>
      </c>
      <c r="D968" s="45" t="inlineStr">
        <is>
          <t>Năm 1</t>
        </is>
      </c>
      <c r="E968" s="45" t="inlineStr">
        <is>
          <t>2025_2026</t>
        </is>
      </c>
      <c r="F968" s="45" t="n">
        <v>4</v>
      </c>
      <c r="G968" s="46">
        <f>VLOOKUP(D968,'Cấu Hình Học Phí'!$A$8:$B$11,2,FALSE)</f>
        <v/>
      </c>
      <c r="H968" s="46">
        <f>F968*G968</f>
        <v/>
      </c>
      <c r="I968" s="45" t="n">
        <v>0</v>
      </c>
      <c r="J968" s="46">
        <f>I968*'Cấu Hình Học Phí'!$B$5</f>
        <v/>
      </c>
      <c r="K968" s="46" t="n">
        <v>0</v>
      </c>
      <c r="L968" s="46">
        <f>H968+J968-K968</f>
        <v/>
      </c>
      <c r="M968" s="46" t="n">
        <v>2200000</v>
      </c>
      <c r="N968" s="46" t="n">
        <v>0</v>
      </c>
      <c r="O968" s="46">
        <f>MAX(0,M968-N968-L968)</f>
        <v/>
      </c>
      <c r="P968" s="46">
        <f>MAX(0,L968-(M968-N968))</f>
        <v/>
      </c>
      <c r="Q968" s="45" t="inlineStr">
        <is>
          <t>30/09/2025</t>
        </is>
      </c>
      <c r="R968" s="45" t="inlineStr">
        <is>
          <t>PT2025-00965</t>
        </is>
      </c>
      <c r="S968" s="45" t="inlineStr"/>
    </row>
    <row r="969">
      <c r="A969" s="45" t="inlineStr">
        <is>
          <t>253634785</t>
        </is>
      </c>
      <c r="B969" s="45" t="inlineStr">
        <is>
          <t>ĐINH VĂN PHÚC</t>
        </is>
      </c>
      <c r="C969" s="45" t="inlineStr">
        <is>
          <t>Khoa học máy tính K66</t>
        </is>
      </c>
      <c r="D969" s="45" t="inlineStr">
        <is>
          <t>Năm 2</t>
        </is>
      </c>
      <c r="E969" s="45" t="inlineStr">
        <is>
          <t>2026_2027</t>
        </is>
      </c>
      <c r="F969" s="45" t="n">
        <v>4</v>
      </c>
      <c r="G969" s="46">
        <f>VLOOKUP(D969,'Cấu Hình Học Phí'!$A$8:$B$11,2,FALSE)</f>
        <v/>
      </c>
      <c r="H969" s="46">
        <f>F969*G969</f>
        <v/>
      </c>
      <c r="I969" s="45" t="n">
        <v>0</v>
      </c>
      <c r="J969" s="46">
        <f>I969*'Cấu Hình Học Phí'!$B$5</f>
        <v/>
      </c>
      <c r="K969" s="46" t="n">
        <v>0</v>
      </c>
      <c r="L969" s="46">
        <f>H969+J969-K969</f>
        <v/>
      </c>
      <c r="M969" s="46" t="n">
        <v>2420000</v>
      </c>
      <c r="N969" s="46" t="n">
        <v>0</v>
      </c>
      <c r="O969" s="46">
        <f>MAX(0,M969-N969-L969)</f>
        <v/>
      </c>
      <c r="P969" s="46">
        <f>MAX(0,L969-(M969-N969))</f>
        <v/>
      </c>
      <c r="Q969" s="45" t="inlineStr">
        <is>
          <t>30/09/2026</t>
        </is>
      </c>
      <c r="R969" s="45" t="inlineStr">
        <is>
          <t>PT2026-00966</t>
        </is>
      </c>
      <c r="S969" s="45" t="inlineStr"/>
    </row>
    <row r="970">
      <c r="A970" s="45" t="inlineStr">
        <is>
          <t>253634785</t>
        </is>
      </c>
      <c r="B970" s="45" t="inlineStr">
        <is>
          <t>ĐINH VĂN PHÚC</t>
        </is>
      </c>
      <c r="C970" s="45" t="inlineStr">
        <is>
          <t>Khoa học máy tính K66</t>
        </is>
      </c>
      <c r="D970" s="45" t="inlineStr">
        <is>
          <t>Năm 3</t>
        </is>
      </c>
      <c r="E970" s="45" t="inlineStr">
        <is>
          <t>2027_2028</t>
        </is>
      </c>
      <c r="F970" s="45" t="n">
        <v>4</v>
      </c>
      <c r="G970" s="46">
        <f>VLOOKUP(D970,'Cấu Hình Học Phí'!$A$8:$B$11,2,FALSE)</f>
        <v/>
      </c>
      <c r="H970" s="46">
        <f>F970*G970</f>
        <v/>
      </c>
      <c r="I970" s="45" t="n">
        <v>1</v>
      </c>
      <c r="J970" s="46">
        <f>I970*'Cấu Hình Học Phí'!$B$5</f>
        <v/>
      </c>
      <c r="K970" s="46" t="n">
        <v>0</v>
      </c>
      <c r="L970" s="46">
        <f>H970+J970-K970</f>
        <v/>
      </c>
      <c r="M970" s="46" t="n">
        <v>2662000</v>
      </c>
      <c r="N970" s="46" t="n">
        <v>0</v>
      </c>
      <c r="O970" s="46">
        <f>MAX(0,M970-N970-L970)</f>
        <v/>
      </c>
      <c r="P970" s="46">
        <f>MAX(0,L970-(M970-N970))</f>
        <v/>
      </c>
      <c r="Q970" s="45" t="inlineStr">
        <is>
          <t>30/09/2027</t>
        </is>
      </c>
      <c r="R970" s="45" t="inlineStr">
        <is>
          <t>PT2027-00967</t>
        </is>
      </c>
      <c r="S970" s="45" t="inlineStr">
        <is>
          <t>Chưa nộp phí phụ đạo 1 môn</t>
        </is>
      </c>
    </row>
    <row r="971">
      <c r="A971" s="45" t="inlineStr">
        <is>
          <t>253634785</t>
        </is>
      </c>
      <c r="B971" s="45" t="inlineStr">
        <is>
          <t>ĐINH VĂN PHÚC</t>
        </is>
      </c>
      <c r="C971" s="45" t="inlineStr">
        <is>
          <t>Khoa học máy tính K66</t>
        </is>
      </c>
      <c r="D971" s="45" t="inlineStr">
        <is>
          <t>Năm 4</t>
        </is>
      </c>
      <c r="E971" s="45" t="inlineStr">
        <is>
          <t>2028_2029</t>
        </is>
      </c>
      <c r="F971" s="45" t="n">
        <v>1</v>
      </c>
      <c r="G971" s="46">
        <f>VLOOKUP(D971,'Cấu Hình Học Phí'!$A$8:$B$11,2,FALSE)</f>
        <v/>
      </c>
      <c r="H971" s="46">
        <f>F971*G971</f>
        <v/>
      </c>
      <c r="I971" s="45" t="n">
        <v>0</v>
      </c>
      <c r="J971" s="46">
        <f>I971*'Cấu Hình Học Phí'!$B$5</f>
        <v/>
      </c>
      <c r="K971" s="46" t="n">
        <v>0</v>
      </c>
      <c r="L971" s="46">
        <f>H971+J971-K971</f>
        <v/>
      </c>
      <c r="M971" s="46" t="n">
        <v>732050</v>
      </c>
      <c r="N971" s="46" t="n">
        <v>0</v>
      </c>
      <c r="O971" s="46">
        <f>MAX(0,M971-N971-L971)</f>
        <v/>
      </c>
      <c r="P971" s="46">
        <f>MAX(0,L971-(M971-N971))</f>
        <v/>
      </c>
      <c r="Q971" s="45" t="inlineStr">
        <is>
          <t>30/09/2028</t>
        </is>
      </c>
      <c r="R971" s="45" t="inlineStr">
        <is>
          <t>PT2028-00968</t>
        </is>
      </c>
      <c r="S971" s="45" t="inlineStr"/>
    </row>
    <row r="972">
      <c r="A972" s="45" t="inlineStr">
        <is>
          <t>253610689</t>
        </is>
      </c>
      <c r="B972" s="45" t="inlineStr">
        <is>
          <t>HOÀNG MINH QUÂN</t>
        </is>
      </c>
      <c r="C972" s="45" t="inlineStr">
        <is>
          <t>Khoa học máy tính K66</t>
        </is>
      </c>
      <c r="D972" s="45" t="inlineStr">
        <is>
          <t>Năm 1</t>
        </is>
      </c>
      <c r="E972" s="45" t="inlineStr">
        <is>
          <t>2025_2026</t>
        </is>
      </c>
      <c r="F972" s="45" t="n">
        <v>4</v>
      </c>
      <c r="G972" s="46">
        <f>VLOOKUP(D972,'Cấu Hình Học Phí'!$A$8:$B$11,2,FALSE)</f>
        <v/>
      </c>
      <c r="H972" s="46">
        <f>F972*G972</f>
        <v/>
      </c>
      <c r="I972" s="45" t="n">
        <v>0</v>
      </c>
      <c r="J972" s="46">
        <f>I972*'Cấu Hình Học Phí'!$B$5</f>
        <v/>
      </c>
      <c r="K972" s="46" t="n">
        <v>0</v>
      </c>
      <c r="L972" s="46">
        <f>H972+J972-K972</f>
        <v/>
      </c>
      <c r="M972" s="46" t="n">
        <v>2200000</v>
      </c>
      <c r="N972" s="46" t="n">
        <v>0</v>
      </c>
      <c r="O972" s="46">
        <f>MAX(0,M972-N972-L972)</f>
        <v/>
      </c>
      <c r="P972" s="46">
        <f>MAX(0,L972-(M972-N972))</f>
        <v/>
      </c>
      <c r="Q972" s="45" t="inlineStr">
        <is>
          <t>30/09/2025</t>
        </is>
      </c>
      <c r="R972" s="45" t="inlineStr">
        <is>
          <t>PT2025-00969</t>
        </is>
      </c>
      <c r="S972" s="45" t="inlineStr"/>
    </row>
    <row r="973">
      <c r="A973" s="45" t="inlineStr">
        <is>
          <t>253610689</t>
        </is>
      </c>
      <c r="B973" s="45" t="inlineStr">
        <is>
          <t>HOÀNG MINH QUÂN</t>
        </is>
      </c>
      <c r="C973" s="45" t="inlineStr">
        <is>
          <t>Khoa học máy tính K66</t>
        </is>
      </c>
      <c r="D973" s="45" t="inlineStr">
        <is>
          <t>Năm 2</t>
        </is>
      </c>
      <c r="E973" s="45" t="inlineStr">
        <is>
          <t>2026_2027</t>
        </is>
      </c>
      <c r="F973" s="45" t="n">
        <v>4</v>
      </c>
      <c r="G973" s="46">
        <f>VLOOKUP(D973,'Cấu Hình Học Phí'!$A$8:$B$11,2,FALSE)</f>
        <v/>
      </c>
      <c r="H973" s="46">
        <f>F973*G973</f>
        <v/>
      </c>
      <c r="I973" s="45" t="n">
        <v>1</v>
      </c>
      <c r="J973" s="46">
        <f>I973*'Cấu Hình Học Phí'!$B$5</f>
        <v/>
      </c>
      <c r="K973" s="46" t="n">
        <v>0</v>
      </c>
      <c r="L973" s="46">
        <f>H973+J973-K973</f>
        <v/>
      </c>
      <c r="M973" s="46" t="n">
        <v>3420000</v>
      </c>
      <c r="N973" s="46" t="n">
        <v>0</v>
      </c>
      <c r="O973" s="46">
        <f>MAX(0,M973-N973-L973)</f>
        <v/>
      </c>
      <c r="P973" s="46">
        <f>MAX(0,L973-(M973-N973))</f>
        <v/>
      </c>
      <c r="Q973" s="45" t="inlineStr">
        <is>
          <t>30/09/2026</t>
        </is>
      </c>
      <c r="R973" s="45" t="inlineStr">
        <is>
          <t>PT2026-00970</t>
        </is>
      </c>
      <c r="S973" s="45" t="inlineStr"/>
    </row>
    <row r="974">
      <c r="A974" s="45" t="inlineStr">
        <is>
          <t>253610689</t>
        </is>
      </c>
      <c r="B974" s="45" t="inlineStr">
        <is>
          <t>HOÀNG MINH QUÂN</t>
        </is>
      </c>
      <c r="C974" s="45" t="inlineStr">
        <is>
          <t>Khoa học máy tính K66</t>
        </is>
      </c>
      <c r="D974" s="45" t="inlineStr">
        <is>
          <t>Năm 3</t>
        </is>
      </c>
      <c r="E974" s="45" t="inlineStr">
        <is>
          <t>2027_2028</t>
        </is>
      </c>
      <c r="F974" s="45" t="n">
        <v>4</v>
      </c>
      <c r="G974" s="46">
        <f>VLOOKUP(D974,'Cấu Hình Học Phí'!$A$8:$B$11,2,FALSE)</f>
        <v/>
      </c>
      <c r="H974" s="46">
        <f>F974*G974</f>
        <v/>
      </c>
      <c r="I974" s="45" t="n">
        <v>0</v>
      </c>
      <c r="J974" s="46">
        <f>I974*'Cấu Hình Học Phí'!$B$5</f>
        <v/>
      </c>
      <c r="K974" s="46" t="n">
        <v>0</v>
      </c>
      <c r="L974" s="46">
        <f>H974+J974-K974</f>
        <v/>
      </c>
      <c r="M974" s="46" t="n">
        <v>2662000</v>
      </c>
      <c r="N974" s="46" t="n">
        <v>0</v>
      </c>
      <c r="O974" s="46">
        <f>MAX(0,M974-N974-L974)</f>
        <v/>
      </c>
      <c r="P974" s="46">
        <f>MAX(0,L974-(M974-N974))</f>
        <v/>
      </c>
      <c r="Q974" s="45" t="inlineStr">
        <is>
          <t>30/09/2027</t>
        </is>
      </c>
      <c r="R974" s="45" t="inlineStr">
        <is>
          <t>PT2027-00971</t>
        </is>
      </c>
      <c r="S974" s="45" t="inlineStr"/>
    </row>
    <row r="975">
      <c r="A975" s="45" t="inlineStr">
        <is>
          <t>253610689</t>
        </is>
      </c>
      <c r="B975" s="45" t="inlineStr">
        <is>
          <t>HOÀNG MINH QUÂN</t>
        </is>
      </c>
      <c r="C975" s="45" t="inlineStr">
        <is>
          <t>Khoa học máy tính K66</t>
        </is>
      </c>
      <c r="D975" s="45" t="inlineStr">
        <is>
          <t>Năm 4</t>
        </is>
      </c>
      <c r="E975" s="45" t="inlineStr">
        <is>
          <t>2028_2029</t>
        </is>
      </c>
      <c r="F975" s="45" t="n">
        <v>1</v>
      </c>
      <c r="G975" s="46">
        <f>VLOOKUP(D975,'Cấu Hình Học Phí'!$A$8:$B$11,2,FALSE)</f>
        <v/>
      </c>
      <c r="H975" s="46">
        <f>F975*G975</f>
        <v/>
      </c>
      <c r="I975" s="45" t="n">
        <v>1</v>
      </c>
      <c r="J975" s="46">
        <f>I975*'Cấu Hình Học Phí'!$B$5</f>
        <v/>
      </c>
      <c r="K975" s="46" t="n">
        <v>0</v>
      </c>
      <c r="L975" s="46">
        <f>H975+J975-K975</f>
        <v/>
      </c>
      <c r="M975" s="46" t="n">
        <v>1732050</v>
      </c>
      <c r="N975" s="46" t="n">
        <v>0</v>
      </c>
      <c r="O975" s="46">
        <f>MAX(0,M975-N975-L975)</f>
        <v/>
      </c>
      <c r="P975" s="46">
        <f>MAX(0,L975-(M975-N975))</f>
        <v/>
      </c>
      <c r="Q975" s="45" t="inlineStr">
        <is>
          <t>30/09/2028</t>
        </is>
      </c>
      <c r="R975" s="45" t="inlineStr">
        <is>
          <t>PT2028-00972</t>
        </is>
      </c>
      <c r="S975" s="45" t="inlineStr"/>
    </row>
    <row r="976">
      <c r="A976" s="45" t="inlineStr">
        <is>
          <t>253610690</t>
        </is>
      </c>
      <c r="B976" s="45" t="inlineStr">
        <is>
          <t>ĐỖ MINH SƠN</t>
        </is>
      </c>
      <c r="C976" s="45" t="inlineStr">
        <is>
          <t>Khoa học máy tính K66</t>
        </is>
      </c>
      <c r="D976" s="45" t="inlineStr">
        <is>
          <t>Năm 1</t>
        </is>
      </c>
      <c r="E976" s="45" t="inlineStr">
        <is>
          <t>2025_2026</t>
        </is>
      </c>
      <c r="F976" s="45" t="n">
        <v>4</v>
      </c>
      <c r="G976" s="46">
        <f>VLOOKUP(D976,'Cấu Hình Học Phí'!$A$8:$B$11,2,FALSE)</f>
        <v/>
      </c>
      <c r="H976" s="46">
        <f>F976*G976</f>
        <v/>
      </c>
      <c r="I976" s="45" t="n">
        <v>0</v>
      </c>
      <c r="J976" s="46">
        <f>I976*'Cấu Hình Học Phí'!$B$5</f>
        <v/>
      </c>
      <c r="K976" s="46" t="n">
        <v>0</v>
      </c>
      <c r="L976" s="46">
        <f>H976+J976-K976</f>
        <v/>
      </c>
      <c r="M976" s="46" t="n">
        <v>2200000</v>
      </c>
      <c r="N976" s="46" t="n">
        <v>0</v>
      </c>
      <c r="O976" s="46">
        <f>MAX(0,M976-N976-L976)</f>
        <v/>
      </c>
      <c r="P976" s="46">
        <f>MAX(0,L976-(M976-N976))</f>
        <v/>
      </c>
      <c r="Q976" s="45" t="inlineStr">
        <is>
          <t>30/09/2025</t>
        </is>
      </c>
      <c r="R976" s="45" t="inlineStr">
        <is>
          <t>PT2025-00973</t>
        </is>
      </c>
      <c r="S976" s="45" t="inlineStr"/>
    </row>
    <row r="977">
      <c r="A977" s="45" t="inlineStr">
        <is>
          <t>253610690</t>
        </is>
      </c>
      <c r="B977" s="45" t="inlineStr">
        <is>
          <t>ĐỖ MINH SƠN</t>
        </is>
      </c>
      <c r="C977" s="45" t="inlineStr">
        <is>
          <t>Khoa học máy tính K66</t>
        </is>
      </c>
      <c r="D977" s="45" t="inlineStr">
        <is>
          <t>Năm 2</t>
        </is>
      </c>
      <c r="E977" s="45" t="inlineStr">
        <is>
          <t>2026_2027</t>
        </is>
      </c>
      <c r="F977" s="45" t="n">
        <v>4</v>
      </c>
      <c r="G977" s="46">
        <f>VLOOKUP(D977,'Cấu Hình Học Phí'!$A$8:$B$11,2,FALSE)</f>
        <v/>
      </c>
      <c r="H977" s="46">
        <f>F977*G977</f>
        <v/>
      </c>
      <c r="I977" s="45" t="n">
        <v>0</v>
      </c>
      <c r="J977" s="46">
        <f>I977*'Cấu Hình Học Phí'!$B$5</f>
        <v/>
      </c>
      <c r="K977" s="46" t="n">
        <v>0</v>
      </c>
      <c r="L977" s="46">
        <f>H977+J977-K977</f>
        <v/>
      </c>
      <c r="M977" s="46" t="n">
        <v>2420000</v>
      </c>
      <c r="N977" s="46" t="n">
        <v>0</v>
      </c>
      <c r="O977" s="46">
        <f>MAX(0,M977-N977-L977)</f>
        <v/>
      </c>
      <c r="P977" s="46">
        <f>MAX(0,L977-(M977-N977))</f>
        <v/>
      </c>
      <c r="Q977" s="45" t="inlineStr">
        <is>
          <t>30/09/2026</t>
        </is>
      </c>
      <c r="R977" s="45" t="inlineStr">
        <is>
          <t>PT2026-00974</t>
        </is>
      </c>
      <c r="S977" s="45" t="inlineStr"/>
    </row>
    <row r="978">
      <c r="A978" s="45" t="inlineStr">
        <is>
          <t>253610690</t>
        </is>
      </c>
      <c r="B978" s="45" t="inlineStr">
        <is>
          <t>ĐỖ MINH SƠN</t>
        </is>
      </c>
      <c r="C978" s="45" t="inlineStr">
        <is>
          <t>Khoa học máy tính K66</t>
        </is>
      </c>
      <c r="D978" s="45" t="inlineStr">
        <is>
          <t>Năm 3</t>
        </is>
      </c>
      <c r="E978" s="45" t="inlineStr">
        <is>
          <t>2027_2028</t>
        </is>
      </c>
      <c r="F978" s="45" t="n">
        <v>4</v>
      </c>
      <c r="G978" s="46">
        <f>VLOOKUP(D978,'Cấu Hình Học Phí'!$A$8:$B$11,2,FALSE)</f>
        <v/>
      </c>
      <c r="H978" s="46">
        <f>F978*G978</f>
        <v/>
      </c>
      <c r="I978" s="45" t="n">
        <v>1</v>
      </c>
      <c r="J978" s="46">
        <f>I978*'Cấu Hình Học Phí'!$B$5</f>
        <v/>
      </c>
      <c r="K978" s="46" t="n">
        <v>0</v>
      </c>
      <c r="L978" s="46">
        <f>H978+J978-K978</f>
        <v/>
      </c>
      <c r="M978" s="46" t="n">
        <v>2662000</v>
      </c>
      <c r="N978" s="46" t="n">
        <v>0</v>
      </c>
      <c r="O978" s="46">
        <f>MAX(0,M978-N978-L978)</f>
        <v/>
      </c>
      <c r="P978" s="46">
        <f>MAX(0,L978-(M978-N978))</f>
        <v/>
      </c>
      <c r="Q978" s="45" t="inlineStr">
        <is>
          <t>30/09/2027</t>
        </is>
      </c>
      <c r="R978" s="45" t="inlineStr">
        <is>
          <t>PT2027-00975</t>
        </is>
      </c>
      <c r="S978" s="45" t="inlineStr">
        <is>
          <t>Chưa nộp phí phụ đạo 1 môn</t>
        </is>
      </c>
    </row>
    <row r="979">
      <c r="A979" s="45" t="inlineStr">
        <is>
          <t>253610690</t>
        </is>
      </c>
      <c r="B979" s="45" t="inlineStr">
        <is>
          <t>ĐỖ MINH SƠN</t>
        </is>
      </c>
      <c r="C979" s="45" t="inlineStr">
        <is>
          <t>Khoa học máy tính K66</t>
        </is>
      </c>
      <c r="D979" s="45" t="inlineStr">
        <is>
          <t>Năm 4</t>
        </is>
      </c>
      <c r="E979" s="45" t="inlineStr">
        <is>
          <t>2028_2029</t>
        </is>
      </c>
      <c r="F979" s="45" t="n">
        <v>1</v>
      </c>
      <c r="G979" s="46">
        <f>VLOOKUP(D979,'Cấu Hình Học Phí'!$A$8:$B$11,2,FALSE)</f>
        <v/>
      </c>
      <c r="H979" s="46">
        <f>F979*G979</f>
        <v/>
      </c>
      <c r="I979" s="45" t="n">
        <v>0</v>
      </c>
      <c r="J979" s="46">
        <f>I979*'Cấu Hình Học Phí'!$B$5</f>
        <v/>
      </c>
      <c r="K979" s="46" t="n">
        <v>0</v>
      </c>
      <c r="L979" s="46">
        <f>H979+J979-K979</f>
        <v/>
      </c>
      <c r="M979" s="46" t="n">
        <v>732050</v>
      </c>
      <c r="N979" s="46" t="n">
        <v>0</v>
      </c>
      <c r="O979" s="46">
        <f>MAX(0,M979-N979-L979)</f>
        <v/>
      </c>
      <c r="P979" s="46">
        <f>MAX(0,L979-(M979-N979))</f>
        <v/>
      </c>
      <c r="Q979" s="45" t="inlineStr">
        <is>
          <t>30/09/2028</t>
        </is>
      </c>
      <c r="R979" s="45" t="inlineStr">
        <is>
          <t>PT2028-00976</t>
        </is>
      </c>
      <c r="S979" s="45" t="inlineStr"/>
    </row>
    <row r="980">
      <c r="A980" s="45" t="inlineStr">
        <is>
          <t>253630694</t>
        </is>
      </c>
      <c r="B980" s="45" t="inlineStr">
        <is>
          <t>HỒ SỸ THẮNG</t>
        </is>
      </c>
      <c r="C980" s="45" t="inlineStr">
        <is>
          <t>Khoa học máy tính K66</t>
        </is>
      </c>
      <c r="D980" s="45" t="inlineStr">
        <is>
          <t>Năm 1</t>
        </is>
      </c>
      <c r="E980" s="45" t="inlineStr">
        <is>
          <t>2025_2026</t>
        </is>
      </c>
      <c r="F980" s="45" t="n">
        <v>4</v>
      </c>
      <c r="G980" s="46">
        <f>VLOOKUP(D980,'Cấu Hình Học Phí'!$A$8:$B$11,2,FALSE)</f>
        <v/>
      </c>
      <c r="H980" s="46">
        <f>F980*G980</f>
        <v/>
      </c>
      <c r="I980" s="45" t="n">
        <v>0</v>
      </c>
      <c r="J980" s="46">
        <f>I980*'Cấu Hình Học Phí'!$B$5</f>
        <v/>
      </c>
      <c r="K980" s="46" t="n">
        <v>0</v>
      </c>
      <c r="L980" s="46">
        <f>H980+J980-K980</f>
        <v/>
      </c>
      <c r="M980" s="46" t="n">
        <v>2200000</v>
      </c>
      <c r="N980" s="46" t="n">
        <v>0</v>
      </c>
      <c r="O980" s="46">
        <f>MAX(0,M980-N980-L980)</f>
        <v/>
      </c>
      <c r="P980" s="46">
        <f>MAX(0,L980-(M980-N980))</f>
        <v/>
      </c>
      <c r="Q980" s="45" t="inlineStr">
        <is>
          <t>30/09/2025</t>
        </is>
      </c>
      <c r="R980" s="45" t="inlineStr">
        <is>
          <t>PT2025-00977</t>
        </is>
      </c>
      <c r="S980" s="45" t="inlineStr"/>
    </row>
    <row r="981">
      <c r="A981" s="45" t="inlineStr">
        <is>
          <t>253630694</t>
        </is>
      </c>
      <c r="B981" s="45" t="inlineStr">
        <is>
          <t>HỒ SỸ THẮNG</t>
        </is>
      </c>
      <c r="C981" s="45" t="inlineStr">
        <is>
          <t>Khoa học máy tính K66</t>
        </is>
      </c>
      <c r="D981" s="45" t="inlineStr">
        <is>
          <t>Năm 2</t>
        </is>
      </c>
      <c r="E981" s="45" t="inlineStr">
        <is>
          <t>2026_2027</t>
        </is>
      </c>
      <c r="F981" s="45" t="n">
        <v>4</v>
      </c>
      <c r="G981" s="46">
        <f>VLOOKUP(D981,'Cấu Hình Học Phí'!$A$8:$B$11,2,FALSE)</f>
        <v/>
      </c>
      <c r="H981" s="46">
        <f>F981*G981</f>
        <v/>
      </c>
      <c r="I981" s="45" t="n">
        <v>0</v>
      </c>
      <c r="J981" s="46">
        <f>I981*'Cấu Hình Học Phí'!$B$5</f>
        <v/>
      </c>
      <c r="K981" s="46" t="n">
        <v>0</v>
      </c>
      <c r="L981" s="46">
        <f>H981+J981-K981</f>
        <v/>
      </c>
      <c r="M981" s="46" t="n">
        <v>2420000</v>
      </c>
      <c r="N981" s="46" t="n">
        <v>0</v>
      </c>
      <c r="O981" s="46">
        <f>MAX(0,M981-N981-L981)</f>
        <v/>
      </c>
      <c r="P981" s="46">
        <f>MAX(0,L981-(M981-N981))</f>
        <v/>
      </c>
      <c r="Q981" s="45" t="inlineStr">
        <is>
          <t>30/09/2026</t>
        </is>
      </c>
      <c r="R981" s="45" t="inlineStr">
        <is>
          <t>PT2026-00978</t>
        </is>
      </c>
      <c r="S981" s="45" t="inlineStr"/>
    </row>
    <row r="982">
      <c r="A982" s="45" t="inlineStr">
        <is>
          <t>253630694</t>
        </is>
      </c>
      <c r="B982" s="45" t="inlineStr">
        <is>
          <t>HỒ SỸ THẮNG</t>
        </is>
      </c>
      <c r="C982" s="45" t="inlineStr">
        <is>
          <t>Khoa học máy tính K66</t>
        </is>
      </c>
      <c r="D982" s="45" t="inlineStr">
        <is>
          <t>Năm 3</t>
        </is>
      </c>
      <c r="E982" s="45" t="inlineStr">
        <is>
          <t>2027_2028</t>
        </is>
      </c>
      <c r="F982" s="45" t="n">
        <v>4</v>
      </c>
      <c r="G982" s="46">
        <f>VLOOKUP(D982,'Cấu Hình Học Phí'!$A$8:$B$11,2,FALSE)</f>
        <v/>
      </c>
      <c r="H982" s="46">
        <f>F982*G982</f>
        <v/>
      </c>
      <c r="I982" s="45" t="n">
        <v>0</v>
      </c>
      <c r="J982" s="46">
        <f>I982*'Cấu Hình Học Phí'!$B$5</f>
        <v/>
      </c>
      <c r="K982" s="46" t="n">
        <v>0</v>
      </c>
      <c r="L982" s="46">
        <f>H982+J982-K982</f>
        <v/>
      </c>
      <c r="M982" s="46" t="n">
        <v>2662000</v>
      </c>
      <c r="N982" s="46" t="n">
        <v>0</v>
      </c>
      <c r="O982" s="46">
        <f>MAX(0,M982-N982-L982)</f>
        <v/>
      </c>
      <c r="P982" s="46">
        <f>MAX(0,L982-(M982-N982))</f>
        <v/>
      </c>
      <c r="Q982" s="45" t="inlineStr">
        <is>
          <t>30/09/2027</t>
        </is>
      </c>
      <c r="R982" s="45" t="inlineStr">
        <is>
          <t>PT2027-00979</t>
        </is>
      </c>
      <c r="S982" s="45" t="inlineStr"/>
    </row>
    <row r="983">
      <c r="A983" s="45" t="inlineStr">
        <is>
          <t>253630694</t>
        </is>
      </c>
      <c r="B983" s="45" t="inlineStr">
        <is>
          <t>HỒ SỸ THẮNG</t>
        </is>
      </c>
      <c r="C983" s="45" t="inlineStr">
        <is>
          <t>Khoa học máy tính K66</t>
        </is>
      </c>
      <c r="D983" s="45" t="inlineStr">
        <is>
          <t>Năm 4</t>
        </is>
      </c>
      <c r="E983" s="45" t="inlineStr">
        <is>
          <t>2028_2029</t>
        </is>
      </c>
      <c r="F983" s="45" t="n">
        <v>1</v>
      </c>
      <c r="G983" s="46">
        <f>VLOOKUP(D983,'Cấu Hình Học Phí'!$A$8:$B$11,2,FALSE)</f>
        <v/>
      </c>
      <c r="H983" s="46">
        <f>F983*G983</f>
        <v/>
      </c>
      <c r="I983" s="45" t="n">
        <v>0</v>
      </c>
      <c r="J983" s="46">
        <f>I983*'Cấu Hình Học Phí'!$B$5</f>
        <v/>
      </c>
      <c r="K983" s="46" t="n">
        <v>0</v>
      </c>
      <c r="L983" s="46">
        <f>H983+J983-K983</f>
        <v/>
      </c>
      <c r="M983" s="46" t="n">
        <v>732050</v>
      </c>
      <c r="N983" s="46" t="n">
        <v>0</v>
      </c>
      <c r="O983" s="46">
        <f>MAX(0,M983-N983-L983)</f>
        <v/>
      </c>
      <c r="P983" s="46">
        <f>MAX(0,L983-(M983-N983))</f>
        <v/>
      </c>
      <c r="Q983" s="45" t="inlineStr">
        <is>
          <t>30/09/2028</t>
        </is>
      </c>
      <c r="R983" s="45" t="inlineStr">
        <is>
          <t>PT2028-00980</t>
        </is>
      </c>
      <c r="S983" s="45" t="inlineStr"/>
    </row>
    <row r="984">
      <c r="A984" s="45" t="inlineStr">
        <is>
          <t>253610691</t>
        </is>
      </c>
      <c r="B984" s="45" t="inlineStr">
        <is>
          <t>ĐẶNG THẾ THÀNH</t>
        </is>
      </c>
      <c r="C984" s="45" t="inlineStr">
        <is>
          <t>Khoa học máy tính K66</t>
        </is>
      </c>
      <c r="D984" s="45" t="inlineStr">
        <is>
          <t>Năm 1</t>
        </is>
      </c>
      <c r="E984" s="45" t="inlineStr">
        <is>
          <t>2025_2026</t>
        </is>
      </c>
      <c r="F984" s="45" t="n">
        <v>4</v>
      </c>
      <c r="G984" s="46">
        <f>VLOOKUP(D984,'Cấu Hình Học Phí'!$A$8:$B$11,2,FALSE)</f>
        <v/>
      </c>
      <c r="H984" s="46">
        <f>F984*G984</f>
        <v/>
      </c>
      <c r="I984" s="45" t="n">
        <v>2</v>
      </c>
      <c r="J984" s="46">
        <f>I984*'Cấu Hình Học Phí'!$B$5</f>
        <v/>
      </c>
      <c r="K984" s="46" t="n">
        <v>0</v>
      </c>
      <c r="L984" s="46">
        <f>H984+J984-K984</f>
        <v/>
      </c>
      <c r="M984" s="46" t="n">
        <v>4200000</v>
      </c>
      <c r="N984" s="46" t="n">
        <v>0</v>
      </c>
      <c r="O984" s="46">
        <f>MAX(0,M984-N984-L984)</f>
        <v/>
      </c>
      <c r="P984" s="46">
        <f>MAX(0,L984-(M984-N984))</f>
        <v/>
      </c>
      <c r="Q984" s="45" t="inlineStr">
        <is>
          <t>30/09/2025</t>
        </is>
      </c>
      <c r="R984" s="45" t="inlineStr">
        <is>
          <t>PT2025-00981</t>
        </is>
      </c>
      <c r="S984" s="45" t="inlineStr"/>
    </row>
    <row r="985">
      <c r="A985" s="45" t="inlineStr">
        <is>
          <t>253610691</t>
        </is>
      </c>
      <c r="B985" s="45" t="inlineStr">
        <is>
          <t>ĐẶNG THẾ THÀNH</t>
        </is>
      </c>
      <c r="C985" s="45" t="inlineStr">
        <is>
          <t>Khoa học máy tính K66</t>
        </is>
      </c>
      <c r="D985" s="45" t="inlineStr">
        <is>
          <t>Năm 2</t>
        </is>
      </c>
      <c r="E985" s="45" t="inlineStr">
        <is>
          <t>2026_2027</t>
        </is>
      </c>
      <c r="F985" s="45" t="n">
        <v>4</v>
      </c>
      <c r="G985" s="46">
        <f>VLOOKUP(D985,'Cấu Hình Học Phí'!$A$8:$B$11,2,FALSE)</f>
        <v/>
      </c>
      <c r="H985" s="46">
        <f>F985*G985</f>
        <v/>
      </c>
      <c r="I985" s="45" t="n">
        <v>1</v>
      </c>
      <c r="J985" s="46">
        <f>I985*'Cấu Hình Học Phí'!$B$5</f>
        <v/>
      </c>
      <c r="K985" s="46" t="n">
        <v>0</v>
      </c>
      <c r="L985" s="46">
        <f>H985+J985-K985</f>
        <v/>
      </c>
      <c r="M985" s="46" t="n">
        <v>3420000</v>
      </c>
      <c r="N985" s="46" t="n">
        <v>0</v>
      </c>
      <c r="O985" s="46">
        <f>MAX(0,M985-N985-L985)</f>
        <v/>
      </c>
      <c r="P985" s="46">
        <f>MAX(0,L985-(M985-N985))</f>
        <v/>
      </c>
      <c r="Q985" s="45" t="inlineStr">
        <is>
          <t>30/09/2026</t>
        </is>
      </c>
      <c r="R985" s="45" t="inlineStr">
        <is>
          <t>PT2026-00982</t>
        </is>
      </c>
      <c r="S985" s="45" t="inlineStr"/>
    </row>
    <row r="986">
      <c r="A986" s="45" t="inlineStr">
        <is>
          <t>253610691</t>
        </is>
      </c>
      <c r="B986" s="45" t="inlineStr">
        <is>
          <t>ĐẶNG THẾ THÀNH</t>
        </is>
      </c>
      <c r="C986" s="45" t="inlineStr">
        <is>
          <t>Khoa học máy tính K66</t>
        </is>
      </c>
      <c r="D986" s="45" t="inlineStr">
        <is>
          <t>Năm 3</t>
        </is>
      </c>
      <c r="E986" s="45" t="inlineStr">
        <is>
          <t>2027_2028</t>
        </is>
      </c>
      <c r="F986" s="45" t="n">
        <v>4</v>
      </c>
      <c r="G986" s="46">
        <f>VLOOKUP(D986,'Cấu Hình Học Phí'!$A$8:$B$11,2,FALSE)</f>
        <v/>
      </c>
      <c r="H986" s="46">
        <f>F986*G986</f>
        <v/>
      </c>
      <c r="I986" s="45" t="n">
        <v>0</v>
      </c>
      <c r="J986" s="46">
        <f>I986*'Cấu Hình Học Phí'!$B$5</f>
        <v/>
      </c>
      <c r="K986" s="46" t="n">
        <v>0</v>
      </c>
      <c r="L986" s="46">
        <f>H986+J986-K986</f>
        <v/>
      </c>
      <c r="M986" s="46" t="n">
        <v>2662000</v>
      </c>
      <c r="N986" s="46" t="n">
        <v>0</v>
      </c>
      <c r="O986" s="46">
        <f>MAX(0,M986-N986-L986)</f>
        <v/>
      </c>
      <c r="P986" s="46">
        <f>MAX(0,L986-(M986-N986))</f>
        <v/>
      </c>
      <c r="Q986" s="45" t="inlineStr">
        <is>
          <t>30/09/2027</t>
        </is>
      </c>
      <c r="R986" s="45" t="inlineStr">
        <is>
          <t>PT2027-00983</t>
        </is>
      </c>
      <c r="S986" s="45" t="inlineStr"/>
    </row>
    <row r="987">
      <c r="A987" s="45" t="inlineStr">
        <is>
          <t>253610691</t>
        </is>
      </c>
      <c r="B987" s="45" t="inlineStr">
        <is>
          <t>ĐẶNG THẾ THÀNH</t>
        </is>
      </c>
      <c r="C987" s="45" t="inlineStr">
        <is>
          <t>Khoa học máy tính K66</t>
        </is>
      </c>
      <c r="D987" s="45" t="inlineStr">
        <is>
          <t>Năm 4</t>
        </is>
      </c>
      <c r="E987" s="45" t="inlineStr">
        <is>
          <t>2028_2029</t>
        </is>
      </c>
      <c r="F987" s="45" t="n">
        <v>1</v>
      </c>
      <c r="G987" s="46">
        <f>VLOOKUP(D987,'Cấu Hình Học Phí'!$A$8:$B$11,2,FALSE)</f>
        <v/>
      </c>
      <c r="H987" s="46">
        <f>F987*G987</f>
        <v/>
      </c>
      <c r="I987" s="45" t="n">
        <v>0</v>
      </c>
      <c r="J987" s="46">
        <f>I987*'Cấu Hình Học Phí'!$B$5</f>
        <v/>
      </c>
      <c r="K987" s="46" t="n">
        <v>0</v>
      </c>
      <c r="L987" s="46">
        <f>H987+J987-K987</f>
        <v/>
      </c>
      <c r="M987" s="46" t="n">
        <v>732050</v>
      </c>
      <c r="N987" s="46" t="n">
        <v>0</v>
      </c>
      <c r="O987" s="46">
        <f>MAX(0,M987-N987-L987)</f>
        <v/>
      </c>
      <c r="P987" s="46">
        <f>MAX(0,L987-(M987-N987))</f>
        <v/>
      </c>
      <c r="Q987" s="45" t="inlineStr">
        <is>
          <t>30/09/2028</t>
        </is>
      </c>
      <c r="R987" s="45" t="inlineStr">
        <is>
          <t>PT2028-00984</t>
        </is>
      </c>
      <c r="S987" s="45" t="inlineStr"/>
    </row>
    <row r="988">
      <c r="A988" s="45" t="inlineStr">
        <is>
          <t>253630692</t>
        </is>
      </c>
      <c r="B988" s="45" t="inlineStr">
        <is>
          <t>PHAN CHÍNH THÀNH</t>
        </is>
      </c>
      <c r="C988" s="45" t="inlineStr">
        <is>
          <t>Khoa học máy tính K66</t>
        </is>
      </c>
      <c r="D988" s="45" t="inlineStr">
        <is>
          <t>Năm 1</t>
        </is>
      </c>
      <c r="E988" s="45" t="inlineStr">
        <is>
          <t>2025_2026</t>
        </is>
      </c>
      <c r="F988" s="45" t="n">
        <v>4</v>
      </c>
      <c r="G988" s="46">
        <f>VLOOKUP(D988,'Cấu Hình Học Phí'!$A$8:$B$11,2,FALSE)</f>
        <v/>
      </c>
      <c r="H988" s="46">
        <f>F988*G988</f>
        <v/>
      </c>
      <c r="I988" s="45" t="n">
        <v>2</v>
      </c>
      <c r="J988" s="46">
        <f>I988*'Cấu Hình Học Phí'!$B$5</f>
        <v/>
      </c>
      <c r="K988" s="46" t="n">
        <v>0</v>
      </c>
      <c r="L988" s="46">
        <f>H988+J988-K988</f>
        <v/>
      </c>
      <c r="M988" s="46" t="n">
        <v>3200000</v>
      </c>
      <c r="N988" s="46" t="n">
        <v>0</v>
      </c>
      <c r="O988" s="46">
        <f>MAX(0,M988-N988-L988)</f>
        <v/>
      </c>
      <c r="P988" s="46">
        <f>MAX(0,L988-(M988-N988))</f>
        <v/>
      </c>
      <c r="Q988" s="45" t="inlineStr">
        <is>
          <t>30/09/2025</t>
        </is>
      </c>
      <c r="R988" s="45" t="inlineStr">
        <is>
          <t>PT2025-00985</t>
        </is>
      </c>
      <c r="S988" s="45" t="inlineStr">
        <is>
          <t>Chưa nộp phí phụ đạo 1 môn</t>
        </is>
      </c>
    </row>
    <row r="989">
      <c r="A989" s="45" t="inlineStr">
        <is>
          <t>253630692</t>
        </is>
      </c>
      <c r="B989" s="45" t="inlineStr">
        <is>
          <t>PHAN CHÍNH THÀNH</t>
        </is>
      </c>
      <c r="C989" s="45" t="inlineStr">
        <is>
          <t>Khoa học máy tính K66</t>
        </is>
      </c>
      <c r="D989" s="45" t="inlineStr">
        <is>
          <t>Năm 2</t>
        </is>
      </c>
      <c r="E989" s="45" t="inlineStr">
        <is>
          <t>2026_2027</t>
        </is>
      </c>
      <c r="F989" s="45" t="n">
        <v>4</v>
      </c>
      <c r="G989" s="46">
        <f>VLOOKUP(D989,'Cấu Hình Học Phí'!$A$8:$B$11,2,FALSE)</f>
        <v/>
      </c>
      <c r="H989" s="46">
        <f>F989*G989</f>
        <v/>
      </c>
      <c r="I989" s="45" t="n">
        <v>0</v>
      </c>
      <c r="J989" s="46">
        <f>I989*'Cấu Hình Học Phí'!$B$5</f>
        <v/>
      </c>
      <c r="K989" s="46" t="n">
        <v>0</v>
      </c>
      <c r="L989" s="46">
        <f>H989+J989-K989</f>
        <v/>
      </c>
      <c r="M989" s="46" t="n">
        <v>2420000</v>
      </c>
      <c r="N989" s="46" t="n">
        <v>0</v>
      </c>
      <c r="O989" s="46">
        <f>MAX(0,M989-N989-L989)</f>
        <v/>
      </c>
      <c r="P989" s="46">
        <f>MAX(0,L989-(M989-N989))</f>
        <v/>
      </c>
      <c r="Q989" s="45" t="inlineStr">
        <is>
          <t>30/09/2026</t>
        </is>
      </c>
      <c r="R989" s="45" t="inlineStr">
        <is>
          <t>PT2026-00986</t>
        </is>
      </c>
      <c r="S989" s="45" t="inlineStr"/>
    </row>
    <row r="990">
      <c r="A990" s="45" t="inlineStr">
        <is>
          <t>253630692</t>
        </is>
      </c>
      <c r="B990" s="45" t="inlineStr">
        <is>
          <t>PHAN CHÍNH THÀNH</t>
        </is>
      </c>
      <c r="C990" s="45" t="inlineStr">
        <is>
          <t>Khoa học máy tính K66</t>
        </is>
      </c>
      <c r="D990" s="45" t="inlineStr">
        <is>
          <t>Năm 3</t>
        </is>
      </c>
      <c r="E990" s="45" t="inlineStr">
        <is>
          <t>2027_2028</t>
        </is>
      </c>
      <c r="F990" s="45" t="n">
        <v>4</v>
      </c>
      <c r="G990" s="46">
        <f>VLOOKUP(D990,'Cấu Hình Học Phí'!$A$8:$B$11,2,FALSE)</f>
        <v/>
      </c>
      <c r="H990" s="46">
        <f>F990*G990</f>
        <v/>
      </c>
      <c r="I990" s="45" t="n">
        <v>0</v>
      </c>
      <c r="J990" s="46">
        <f>I990*'Cấu Hình Học Phí'!$B$5</f>
        <v/>
      </c>
      <c r="K990" s="46" t="n">
        <v>0</v>
      </c>
      <c r="L990" s="46">
        <f>H990+J990-K990</f>
        <v/>
      </c>
      <c r="M990" s="46" t="n">
        <v>2662000</v>
      </c>
      <c r="N990" s="46" t="n">
        <v>0</v>
      </c>
      <c r="O990" s="46">
        <f>MAX(0,M990-N990-L990)</f>
        <v/>
      </c>
      <c r="P990" s="46">
        <f>MAX(0,L990-(M990-N990))</f>
        <v/>
      </c>
      <c r="Q990" s="45" t="inlineStr">
        <is>
          <t>30/09/2027</t>
        </is>
      </c>
      <c r="R990" s="45" t="inlineStr">
        <is>
          <t>PT2027-00987</t>
        </is>
      </c>
      <c r="S990" s="45" t="inlineStr"/>
    </row>
    <row r="991">
      <c r="A991" s="45" t="inlineStr">
        <is>
          <t>253630692</t>
        </is>
      </c>
      <c r="B991" s="45" t="inlineStr">
        <is>
          <t>PHAN CHÍNH THÀNH</t>
        </is>
      </c>
      <c r="C991" s="45" t="inlineStr">
        <is>
          <t>Khoa học máy tính K66</t>
        </is>
      </c>
      <c r="D991" s="45" t="inlineStr">
        <is>
          <t>Năm 4</t>
        </is>
      </c>
      <c r="E991" s="45" t="inlineStr">
        <is>
          <t>2028_2029</t>
        </is>
      </c>
      <c r="F991" s="45" t="n">
        <v>1</v>
      </c>
      <c r="G991" s="46">
        <f>VLOOKUP(D991,'Cấu Hình Học Phí'!$A$8:$B$11,2,FALSE)</f>
        <v/>
      </c>
      <c r="H991" s="46">
        <f>F991*G991</f>
        <v/>
      </c>
      <c r="I991" s="45" t="n">
        <v>0</v>
      </c>
      <c r="J991" s="46">
        <f>I991*'Cấu Hình Học Phí'!$B$5</f>
        <v/>
      </c>
      <c r="K991" s="46" t="n">
        <v>0</v>
      </c>
      <c r="L991" s="46">
        <f>H991+J991-K991</f>
        <v/>
      </c>
      <c r="M991" s="46" t="n">
        <v>732050</v>
      </c>
      <c r="N991" s="46" t="n">
        <v>0</v>
      </c>
      <c r="O991" s="46">
        <f>MAX(0,M991-N991-L991)</f>
        <v/>
      </c>
      <c r="P991" s="46">
        <f>MAX(0,L991-(M991-N991))</f>
        <v/>
      </c>
      <c r="Q991" s="45" t="inlineStr">
        <is>
          <t>30/09/2028</t>
        </is>
      </c>
      <c r="R991" s="45" t="inlineStr">
        <is>
          <t>PT2028-00988</t>
        </is>
      </c>
      <c r="S991" s="45" t="inlineStr"/>
    </row>
    <row r="992">
      <c r="A992" s="45" t="inlineStr">
        <is>
          <t>253610693</t>
        </is>
      </c>
      <c r="B992" s="45" t="inlineStr">
        <is>
          <t>TRẦN NHẬT THÀNH</t>
        </is>
      </c>
      <c r="C992" s="45" t="inlineStr">
        <is>
          <t>Khoa học máy tính K66</t>
        </is>
      </c>
      <c r="D992" s="45" t="inlineStr">
        <is>
          <t>Năm 1</t>
        </is>
      </c>
      <c r="E992" s="45" t="inlineStr">
        <is>
          <t>2025_2026</t>
        </is>
      </c>
      <c r="F992" s="45" t="n">
        <v>4</v>
      </c>
      <c r="G992" s="46">
        <f>VLOOKUP(D992,'Cấu Hình Học Phí'!$A$8:$B$11,2,FALSE)</f>
        <v/>
      </c>
      <c r="H992" s="46">
        <f>F992*G992</f>
        <v/>
      </c>
      <c r="I992" s="45" t="n">
        <v>1</v>
      </c>
      <c r="J992" s="46">
        <f>I992*'Cấu Hình Học Phí'!$B$5</f>
        <v/>
      </c>
      <c r="K992" s="46" t="n">
        <v>0</v>
      </c>
      <c r="L992" s="46">
        <f>H992+J992-K992</f>
        <v/>
      </c>
      <c r="M992" s="46" t="n">
        <v>2200000</v>
      </c>
      <c r="N992" s="46" t="n">
        <v>0</v>
      </c>
      <c r="O992" s="46">
        <f>MAX(0,M992-N992-L992)</f>
        <v/>
      </c>
      <c r="P992" s="46">
        <f>MAX(0,L992-(M992-N992))</f>
        <v/>
      </c>
      <c r="Q992" s="45" t="inlineStr">
        <is>
          <t>30/09/2025</t>
        </is>
      </c>
      <c r="R992" s="45" t="inlineStr">
        <is>
          <t>PT2025-00989</t>
        </is>
      </c>
      <c r="S992" s="45" t="inlineStr">
        <is>
          <t>Chưa nộp phí phụ đạo 1 môn</t>
        </is>
      </c>
    </row>
    <row r="993">
      <c r="A993" s="45" t="inlineStr">
        <is>
          <t>253610693</t>
        </is>
      </c>
      <c r="B993" s="45" t="inlineStr">
        <is>
          <t>TRẦN NHẬT THÀNH</t>
        </is>
      </c>
      <c r="C993" s="45" t="inlineStr">
        <is>
          <t>Khoa học máy tính K66</t>
        </is>
      </c>
      <c r="D993" s="45" t="inlineStr">
        <is>
          <t>Năm 2</t>
        </is>
      </c>
      <c r="E993" s="45" t="inlineStr">
        <is>
          <t>2026_2027</t>
        </is>
      </c>
      <c r="F993" s="45" t="n">
        <v>4</v>
      </c>
      <c r="G993" s="46">
        <f>VLOOKUP(D993,'Cấu Hình Học Phí'!$A$8:$B$11,2,FALSE)</f>
        <v/>
      </c>
      <c r="H993" s="46">
        <f>F993*G993</f>
        <v/>
      </c>
      <c r="I993" s="45" t="n">
        <v>0</v>
      </c>
      <c r="J993" s="46">
        <f>I993*'Cấu Hình Học Phí'!$B$5</f>
        <v/>
      </c>
      <c r="K993" s="46" t="n">
        <v>0</v>
      </c>
      <c r="L993" s="46">
        <f>H993+J993-K993</f>
        <v/>
      </c>
      <c r="M993" s="46" t="n">
        <v>2420000</v>
      </c>
      <c r="N993" s="46" t="n">
        <v>0</v>
      </c>
      <c r="O993" s="46">
        <f>MAX(0,M993-N993-L993)</f>
        <v/>
      </c>
      <c r="P993" s="46">
        <f>MAX(0,L993-(M993-N993))</f>
        <v/>
      </c>
      <c r="Q993" s="45" t="inlineStr">
        <is>
          <t>30/09/2026</t>
        </is>
      </c>
      <c r="R993" s="45" t="inlineStr">
        <is>
          <t>PT2026-00990</t>
        </is>
      </c>
      <c r="S993" s="45" t="inlineStr"/>
    </row>
    <row r="994">
      <c r="A994" s="45" t="inlineStr">
        <is>
          <t>253610693</t>
        </is>
      </c>
      <c r="B994" s="45" t="inlineStr">
        <is>
          <t>TRẦN NHẬT THÀNH</t>
        </is>
      </c>
      <c r="C994" s="45" t="inlineStr">
        <is>
          <t>Khoa học máy tính K66</t>
        </is>
      </c>
      <c r="D994" s="45" t="inlineStr">
        <is>
          <t>Năm 3</t>
        </is>
      </c>
      <c r="E994" s="45" t="inlineStr">
        <is>
          <t>2027_2028</t>
        </is>
      </c>
      <c r="F994" s="45" t="n">
        <v>4</v>
      </c>
      <c r="G994" s="46">
        <f>VLOOKUP(D994,'Cấu Hình Học Phí'!$A$8:$B$11,2,FALSE)</f>
        <v/>
      </c>
      <c r="H994" s="46">
        <f>F994*G994</f>
        <v/>
      </c>
      <c r="I994" s="45" t="n">
        <v>0</v>
      </c>
      <c r="J994" s="46">
        <f>I994*'Cấu Hình Học Phí'!$B$5</f>
        <v/>
      </c>
      <c r="K994" s="46" t="n">
        <v>0</v>
      </c>
      <c r="L994" s="46">
        <f>H994+J994-K994</f>
        <v/>
      </c>
      <c r="M994" s="46" t="n">
        <v>2662000</v>
      </c>
      <c r="N994" s="46" t="n">
        <v>0</v>
      </c>
      <c r="O994" s="46">
        <f>MAX(0,M994-N994-L994)</f>
        <v/>
      </c>
      <c r="P994" s="46">
        <f>MAX(0,L994-(M994-N994))</f>
        <v/>
      </c>
      <c r="Q994" s="45" t="inlineStr">
        <is>
          <t>30/09/2027</t>
        </is>
      </c>
      <c r="R994" s="45" t="inlineStr">
        <is>
          <t>PT2027-00991</t>
        </is>
      </c>
      <c r="S994" s="45" t="inlineStr"/>
    </row>
    <row r="995">
      <c r="A995" s="45" t="inlineStr">
        <is>
          <t>253610693</t>
        </is>
      </c>
      <c r="B995" s="45" t="inlineStr">
        <is>
          <t>TRẦN NHẬT THÀNH</t>
        </is>
      </c>
      <c r="C995" s="45" t="inlineStr">
        <is>
          <t>Khoa học máy tính K66</t>
        </is>
      </c>
      <c r="D995" s="45" t="inlineStr">
        <is>
          <t>Năm 4</t>
        </is>
      </c>
      <c r="E995" s="45" t="inlineStr">
        <is>
          <t>2028_2029</t>
        </is>
      </c>
      <c r="F995" s="45" t="n">
        <v>1</v>
      </c>
      <c r="G995" s="46">
        <f>VLOOKUP(D995,'Cấu Hình Học Phí'!$A$8:$B$11,2,FALSE)</f>
        <v/>
      </c>
      <c r="H995" s="46">
        <f>F995*G995</f>
        <v/>
      </c>
      <c r="I995" s="45" t="n">
        <v>0</v>
      </c>
      <c r="J995" s="46">
        <f>I995*'Cấu Hình Học Phí'!$B$5</f>
        <v/>
      </c>
      <c r="K995" s="46" t="n">
        <v>0</v>
      </c>
      <c r="L995" s="46">
        <f>H995+J995-K995</f>
        <v/>
      </c>
      <c r="M995" s="46" t="n">
        <v>732050</v>
      </c>
      <c r="N995" s="46" t="n">
        <v>0</v>
      </c>
      <c r="O995" s="46">
        <f>MAX(0,M995-N995-L995)</f>
        <v/>
      </c>
      <c r="P995" s="46">
        <f>MAX(0,L995-(M995-N995))</f>
        <v/>
      </c>
      <c r="Q995" s="45" t="inlineStr">
        <is>
          <t>30/09/2028</t>
        </is>
      </c>
      <c r="R995" s="45" t="inlineStr">
        <is>
          <t>PT2028-00992</t>
        </is>
      </c>
      <c r="S995" s="45" t="inlineStr"/>
    </row>
    <row r="996">
      <c r="A996" s="45" t="inlineStr">
        <is>
          <t>253630695</t>
        </is>
      </c>
      <c r="B996" s="45" t="inlineStr">
        <is>
          <t>CAO ĐĂNG THIỆN</t>
        </is>
      </c>
      <c r="C996" s="45" t="inlineStr">
        <is>
          <t>Khoa học máy tính K66</t>
        </is>
      </c>
      <c r="D996" s="45" t="inlineStr">
        <is>
          <t>Năm 1</t>
        </is>
      </c>
      <c r="E996" s="45" t="inlineStr">
        <is>
          <t>2025_2026</t>
        </is>
      </c>
      <c r="F996" s="45" t="n">
        <v>4</v>
      </c>
      <c r="G996" s="46">
        <f>VLOOKUP(D996,'Cấu Hình Học Phí'!$A$8:$B$11,2,FALSE)</f>
        <v/>
      </c>
      <c r="H996" s="46">
        <f>F996*G996</f>
        <v/>
      </c>
      <c r="I996" s="45" t="n">
        <v>1</v>
      </c>
      <c r="J996" s="46">
        <f>I996*'Cấu Hình Học Phí'!$B$5</f>
        <v/>
      </c>
      <c r="K996" s="46" t="n">
        <v>0</v>
      </c>
      <c r="L996" s="46">
        <f>H996+J996-K996</f>
        <v/>
      </c>
      <c r="M996" s="46" t="n">
        <v>2200000</v>
      </c>
      <c r="N996" s="46" t="n">
        <v>0</v>
      </c>
      <c r="O996" s="46">
        <f>MAX(0,M996-N996-L996)</f>
        <v/>
      </c>
      <c r="P996" s="46">
        <f>MAX(0,L996-(M996-N996))</f>
        <v/>
      </c>
      <c r="Q996" s="45" t="inlineStr">
        <is>
          <t>30/09/2025</t>
        </is>
      </c>
      <c r="R996" s="45" t="inlineStr">
        <is>
          <t>PT2025-00993</t>
        </is>
      </c>
      <c r="S996" s="45" t="inlineStr">
        <is>
          <t>Chưa nộp phí phụ đạo 1 môn</t>
        </is>
      </c>
    </row>
    <row r="997">
      <c r="A997" s="45" t="inlineStr">
        <is>
          <t>253630695</t>
        </is>
      </c>
      <c r="B997" s="45" t="inlineStr">
        <is>
          <t>CAO ĐĂNG THIỆN</t>
        </is>
      </c>
      <c r="C997" s="45" t="inlineStr">
        <is>
          <t>Khoa học máy tính K66</t>
        </is>
      </c>
      <c r="D997" s="45" t="inlineStr">
        <is>
          <t>Năm 2</t>
        </is>
      </c>
      <c r="E997" s="45" t="inlineStr">
        <is>
          <t>2026_2027</t>
        </is>
      </c>
      <c r="F997" s="45" t="n">
        <v>4</v>
      </c>
      <c r="G997" s="46">
        <f>VLOOKUP(D997,'Cấu Hình Học Phí'!$A$8:$B$11,2,FALSE)</f>
        <v/>
      </c>
      <c r="H997" s="46">
        <f>F997*G997</f>
        <v/>
      </c>
      <c r="I997" s="45" t="n">
        <v>0</v>
      </c>
      <c r="J997" s="46">
        <f>I997*'Cấu Hình Học Phí'!$B$5</f>
        <v/>
      </c>
      <c r="K997" s="46" t="n">
        <v>0</v>
      </c>
      <c r="L997" s="46">
        <f>H997+J997-K997</f>
        <v/>
      </c>
      <c r="M997" s="46" t="n">
        <v>2420000</v>
      </c>
      <c r="N997" s="46" t="n">
        <v>0</v>
      </c>
      <c r="O997" s="46">
        <f>MAX(0,M997-N997-L997)</f>
        <v/>
      </c>
      <c r="P997" s="46">
        <f>MAX(0,L997-(M997-N997))</f>
        <v/>
      </c>
      <c r="Q997" s="45" t="inlineStr">
        <is>
          <t>30/09/2026</t>
        </is>
      </c>
      <c r="R997" s="45" t="inlineStr">
        <is>
          <t>PT2026-00994</t>
        </is>
      </c>
      <c r="S997" s="45" t="inlineStr"/>
    </row>
    <row r="998">
      <c r="A998" s="45" t="inlineStr">
        <is>
          <t>253630695</t>
        </is>
      </c>
      <c r="B998" s="45" t="inlineStr">
        <is>
          <t>CAO ĐĂNG THIỆN</t>
        </is>
      </c>
      <c r="C998" s="45" t="inlineStr">
        <is>
          <t>Khoa học máy tính K66</t>
        </is>
      </c>
      <c r="D998" s="45" t="inlineStr">
        <is>
          <t>Năm 3</t>
        </is>
      </c>
      <c r="E998" s="45" t="inlineStr">
        <is>
          <t>2027_2028</t>
        </is>
      </c>
      <c r="F998" s="45" t="n">
        <v>4</v>
      </c>
      <c r="G998" s="46">
        <f>VLOOKUP(D998,'Cấu Hình Học Phí'!$A$8:$B$11,2,FALSE)</f>
        <v/>
      </c>
      <c r="H998" s="46">
        <f>F998*G998</f>
        <v/>
      </c>
      <c r="I998" s="45" t="n">
        <v>0</v>
      </c>
      <c r="J998" s="46">
        <f>I998*'Cấu Hình Học Phí'!$B$5</f>
        <v/>
      </c>
      <c r="K998" s="46" t="n">
        <v>0</v>
      </c>
      <c r="L998" s="46">
        <f>H998+J998-K998</f>
        <v/>
      </c>
      <c r="M998" s="46" t="n">
        <v>2662000</v>
      </c>
      <c r="N998" s="46" t="n">
        <v>0</v>
      </c>
      <c r="O998" s="46">
        <f>MAX(0,M998-N998-L998)</f>
        <v/>
      </c>
      <c r="P998" s="46">
        <f>MAX(0,L998-(M998-N998))</f>
        <v/>
      </c>
      <c r="Q998" s="45" t="inlineStr">
        <is>
          <t>30/09/2027</t>
        </is>
      </c>
      <c r="R998" s="45" t="inlineStr">
        <is>
          <t>PT2027-00995</t>
        </is>
      </c>
      <c r="S998" s="45" t="inlineStr"/>
    </row>
    <row r="999">
      <c r="A999" s="45" t="inlineStr">
        <is>
          <t>253630695</t>
        </is>
      </c>
      <c r="B999" s="45" t="inlineStr">
        <is>
          <t>CAO ĐĂNG THIỆN</t>
        </is>
      </c>
      <c r="C999" s="45" t="inlineStr">
        <is>
          <t>Khoa học máy tính K66</t>
        </is>
      </c>
      <c r="D999" s="45" t="inlineStr">
        <is>
          <t>Năm 4</t>
        </is>
      </c>
      <c r="E999" s="45" t="inlineStr">
        <is>
          <t>2028_2029</t>
        </is>
      </c>
      <c r="F999" s="45" t="n">
        <v>1</v>
      </c>
      <c r="G999" s="46">
        <f>VLOOKUP(D999,'Cấu Hình Học Phí'!$A$8:$B$11,2,FALSE)</f>
        <v/>
      </c>
      <c r="H999" s="46">
        <f>F999*G999</f>
        <v/>
      </c>
      <c r="I999" s="45" t="n">
        <v>0</v>
      </c>
      <c r="J999" s="46">
        <f>I999*'Cấu Hình Học Phí'!$B$5</f>
        <v/>
      </c>
      <c r="K999" s="46" t="n">
        <v>0</v>
      </c>
      <c r="L999" s="46">
        <f>H999+J999-K999</f>
        <v/>
      </c>
      <c r="M999" s="46" t="n">
        <v>732050</v>
      </c>
      <c r="N999" s="46" t="n">
        <v>0</v>
      </c>
      <c r="O999" s="46">
        <f>MAX(0,M999-N999-L999)</f>
        <v/>
      </c>
      <c r="P999" s="46">
        <f>MAX(0,L999-(M999-N999))</f>
        <v/>
      </c>
      <c r="Q999" s="45" t="inlineStr">
        <is>
          <t>30/09/2028</t>
        </is>
      </c>
      <c r="R999" s="45" t="inlineStr">
        <is>
          <t>PT2028-00996</t>
        </is>
      </c>
      <c r="S999" s="45" t="inlineStr"/>
    </row>
    <row r="1000">
      <c r="A1000" s="45" t="inlineStr">
        <is>
          <t>253610696</t>
        </is>
      </c>
      <c r="B1000" s="45" t="inlineStr">
        <is>
          <t>NGUYỄN ĐỨC THỊNH</t>
        </is>
      </c>
      <c r="C1000" s="45" t="inlineStr">
        <is>
          <t>Khoa học máy tính K66</t>
        </is>
      </c>
      <c r="D1000" s="45" t="inlineStr">
        <is>
          <t>Năm 1</t>
        </is>
      </c>
      <c r="E1000" s="45" t="inlineStr">
        <is>
          <t>2025_2026</t>
        </is>
      </c>
      <c r="F1000" s="45" t="n">
        <v>4</v>
      </c>
      <c r="G1000" s="46">
        <f>VLOOKUP(D1000,'Cấu Hình Học Phí'!$A$8:$B$11,2,FALSE)</f>
        <v/>
      </c>
      <c r="H1000" s="46">
        <f>F1000*G1000</f>
        <v/>
      </c>
      <c r="I1000" s="45" t="n">
        <v>1</v>
      </c>
      <c r="J1000" s="46">
        <f>I1000*'Cấu Hình Học Phí'!$B$5</f>
        <v/>
      </c>
      <c r="K1000" s="46" t="n">
        <v>0</v>
      </c>
      <c r="L1000" s="46">
        <f>H1000+J1000-K1000</f>
        <v/>
      </c>
      <c r="M1000" s="46" t="n">
        <v>3200000</v>
      </c>
      <c r="N1000" s="46" t="n">
        <v>0</v>
      </c>
      <c r="O1000" s="46">
        <f>MAX(0,M1000-N1000-L1000)</f>
        <v/>
      </c>
      <c r="P1000" s="46">
        <f>MAX(0,L1000-(M1000-N1000))</f>
        <v/>
      </c>
      <c r="Q1000" s="45" t="inlineStr">
        <is>
          <t>30/09/2025</t>
        </is>
      </c>
      <c r="R1000" s="45" t="inlineStr">
        <is>
          <t>PT2025-00997</t>
        </is>
      </c>
      <c r="S1000" s="45" t="inlineStr"/>
    </row>
    <row r="1001">
      <c r="A1001" s="45" t="inlineStr">
        <is>
          <t>253610696</t>
        </is>
      </c>
      <c r="B1001" s="45" t="inlineStr">
        <is>
          <t>NGUYỄN ĐỨC THỊNH</t>
        </is>
      </c>
      <c r="C1001" s="45" t="inlineStr">
        <is>
          <t>Khoa học máy tính K66</t>
        </is>
      </c>
      <c r="D1001" s="45" t="inlineStr">
        <is>
          <t>Năm 2</t>
        </is>
      </c>
      <c r="E1001" s="45" t="inlineStr">
        <is>
          <t>2026_2027</t>
        </is>
      </c>
      <c r="F1001" s="45" t="n">
        <v>4</v>
      </c>
      <c r="G1001" s="46">
        <f>VLOOKUP(D1001,'Cấu Hình Học Phí'!$A$8:$B$11,2,FALSE)</f>
        <v/>
      </c>
      <c r="H1001" s="46">
        <f>F1001*G1001</f>
        <v/>
      </c>
      <c r="I1001" s="45" t="n">
        <v>1</v>
      </c>
      <c r="J1001" s="46">
        <f>I1001*'Cấu Hình Học Phí'!$B$5</f>
        <v/>
      </c>
      <c r="K1001" s="46" t="n">
        <v>0</v>
      </c>
      <c r="L1001" s="46">
        <f>H1001+J1001-K1001</f>
        <v/>
      </c>
      <c r="M1001" s="46" t="n">
        <v>3420000</v>
      </c>
      <c r="N1001" s="46" t="n">
        <v>0</v>
      </c>
      <c r="O1001" s="46">
        <f>MAX(0,M1001-N1001-L1001)</f>
        <v/>
      </c>
      <c r="P1001" s="46">
        <f>MAX(0,L1001-(M1001-N1001))</f>
        <v/>
      </c>
      <c r="Q1001" s="45" t="inlineStr">
        <is>
          <t>30/09/2026</t>
        </is>
      </c>
      <c r="R1001" s="45" t="inlineStr">
        <is>
          <t>PT2026-00998</t>
        </is>
      </c>
      <c r="S1001" s="45" t="inlineStr"/>
    </row>
    <row r="1002">
      <c r="A1002" s="45" t="inlineStr">
        <is>
          <t>253610696</t>
        </is>
      </c>
      <c r="B1002" s="45" t="inlineStr">
        <is>
          <t>NGUYỄN ĐỨC THỊNH</t>
        </is>
      </c>
      <c r="C1002" s="45" t="inlineStr">
        <is>
          <t>Khoa học máy tính K66</t>
        </is>
      </c>
      <c r="D1002" s="45" t="inlineStr">
        <is>
          <t>Năm 3</t>
        </is>
      </c>
      <c r="E1002" s="45" t="inlineStr">
        <is>
          <t>2027_2028</t>
        </is>
      </c>
      <c r="F1002" s="45" t="n">
        <v>4</v>
      </c>
      <c r="G1002" s="46">
        <f>VLOOKUP(D1002,'Cấu Hình Học Phí'!$A$8:$B$11,2,FALSE)</f>
        <v/>
      </c>
      <c r="H1002" s="46">
        <f>F1002*G1002</f>
        <v/>
      </c>
      <c r="I1002" s="45" t="n">
        <v>0</v>
      </c>
      <c r="J1002" s="46">
        <f>I1002*'Cấu Hình Học Phí'!$B$5</f>
        <v/>
      </c>
      <c r="K1002" s="46" t="n">
        <v>0</v>
      </c>
      <c r="L1002" s="46">
        <f>H1002+J1002-K1002</f>
        <v/>
      </c>
      <c r="M1002" s="46" t="n">
        <v>2662000</v>
      </c>
      <c r="N1002" s="46" t="n">
        <v>0</v>
      </c>
      <c r="O1002" s="46">
        <f>MAX(0,M1002-N1002-L1002)</f>
        <v/>
      </c>
      <c r="P1002" s="46">
        <f>MAX(0,L1002-(M1002-N1002))</f>
        <v/>
      </c>
      <c r="Q1002" s="45" t="inlineStr">
        <is>
          <t>30/09/2027</t>
        </is>
      </c>
      <c r="R1002" s="45" t="inlineStr">
        <is>
          <t>PT2027-00999</t>
        </is>
      </c>
      <c r="S1002" s="45" t="inlineStr"/>
    </row>
    <row r="1003">
      <c r="A1003" s="45" t="inlineStr">
        <is>
          <t>253610696</t>
        </is>
      </c>
      <c r="B1003" s="45" t="inlineStr">
        <is>
          <t>NGUYỄN ĐỨC THỊNH</t>
        </is>
      </c>
      <c r="C1003" s="45" t="inlineStr">
        <is>
          <t>Khoa học máy tính K66</t>
        </is>
      </c>
      <c r="D1003" s="45" t="inlineStr">
        <is>
          <t>Năm 4</t>
        </is>
      </c>
      <c r="E1003" s="45" t="inlineStr">
        <is>
          <t>2028_2029</t>
        </is>
      </c>
      <c r="F1003" s="45" t="n">
        <v>1</v>
      </c>
      <c r="G1003" s="46">
        <f>VLOOKUP(D1003,'Cấu Hình Học Phí'!$A$8:$B$11,2,FALSE)</f>
        <v/>
      </c>
      <c r="H1003" s="46">
        <f>F1003*G1003</f>
        <v/>
      </c>
      <c r="I1003" s="45" t="n">
        <v>1</v>
      </c>
      <c r="J1003" s="46">
        <f>I1003*'Cấu Hình Học Phí'!$B$5</f>
        <v/>
      </c>
      <c r="K1003" s="46" t="n">
        <v>0</v>
      </c>
      <c r="L1003" s="46">
        <f>H1003+J1003-K1003</f>
        <v/>
      </c>
      <c r="M1003" s="46" t="n">
        <v>1732050</v>
      </c>
      <c r="N1003" s="46" t="n">
        <v>0</v>
      </c>
      <c r="O1003" s="46">
        <f>MAX(0,M1003-N1003-L1003)</f>
        <v/>
      </c>
      <c r="P1003" s="46">
        <f>MAX(0,L1003-(M1003-N1003))</f>
        <v/>
      </c>
      <c r="Q1003" s="45" t="inlineStr">
        <is>
          <t>30/09/2028</t>
        </is>
      </c>
      <c r="R1003" s="45" t="inlineStr">
        <is>
          <t>PT2028-01000</t>
        </is>
      </c>
      <c r="S1003" s="45" t="inlineStr"/>
    </row>
    <row r="1004">
      <c r="A1004" s="45" t="inlineStr">
        <is>
          <t>253610697</t>
        </is>
      </c>
      <c r="B1004" s="45" t="inlineStr">
        <is>
          <t>PHẠM THANH THÙY</t>
        </is>
      </c>
      <c r="C1004" s="45" t="inlineStr">
        <is>
          <t>Khoa học máy tính K66</t>
        </is>
      </c>
      <c r="D1004" s="45" t="inlineStr">
        <is>
          <t>Năm 1</t>
        </is>
      </c>
      <c r="E1004" s="45" t="inlineStr">
        <is>
          <t>2025_2026</t>
        </is>
      </c>
      <c r="F1004" s="45" t="n">
        <v>4</v>
      </c>
      <c r="G1004" s="46">
        <f>VLOOKUP(D1004,'Cấu Hình Học Phí'!$A$8:$B$11,2,FALSE)</f>
        <v/>
      </c>
      <c r="H1004" s="46">
        <f>F1004*G1004</f>
        <v/>
      </c>
      <c r="I1004" s="45" t="n">
        <v>0</v>
      </c>
      <c r="J1004" s="46">
        <f>I1004*'Cấu Hình Học Phí'!$B$5</f>
        <v/>
      </c>
      <c r="K1004" s="46" t="n">
        <v>0</v>
      </c>
      <c r="L1004" s="46">
        <f>H1004+J1004-K1004</f>
        <v/>
      </c>
      <c r="M1004" s="46" t="n">
        <v>2200000</v>
      </c>
      <c r="N1004" s="46" t="n">
        <v>0</v>
      </c>
      <c r="O1004" s="46">
        <f>MAX(0,M1004-N1004-L1004)</f>
        <v/>
      </c>
      <c r="P1004" s="46">
        <f>MAX(0,L1004-(M1004-N1004))</f>
        <v/>
      </c>
      <c r="Q1004" s="45" t="inlineStr">
        <is>
          <t>30/09/2025</t>
        </is>
      </c>
      <c r="R1004" s="45" t="inlineStr">
        <is>
          <t>PT2025-01001</t>
        </is>
      </c>
      <c r="S1004" s="45" t="inlineStr"/>
    </row>
    <row r="1005">
      <c r="A1005" s="45" t="inlineStr">
        <is>
          <t>253610697</t>
        </is>
      </c>
      <c r="B1005" s="45" t="inlineStr">
        <is>
          <t>PHẠM THANH THÙY</t>
        </is>
      </c>
      <c r="C1005" s="45" t="inlineStr">
        <is>
          <t>Khoa học máy tính K66</t>
        </is>
      </c>
      <c r="D1005" s="45" t="inlineStr">
        <is>
          <t>Năm 2</t>
        </is>
      </c>
      <c r="E1005" s="45" t="inlineStr">
        <is>
          <t>2026_2027</t>
        </is>
      </c>
      <c r="F1005" s="45" t="n">
        <v>4</v>
      </c>
      <c r="G1005" s="46">
        <f>VLOOKUP(D1005,'Cấu Hình Học Phí'!$A$8:$B$11,2,FALSE)</f>
        <v/>
      </c>
      <c r="H1005" s="46">
        <f>F1005*G1005</f>
        <v/>
      </c>
      <c r="I1005" s="45" t="n">
        <v>0</v>
      </c>
      <c r="J1005" s="46">
        <f>I1005*'Cấu Hình Học Phí'!$B$5</f>
        <v/>
      </c>
      <c r="K1005" s="46" t="n">
        <v>0</v>
      </c>
      <c r="L1005" s="46">
        <f>H1005+J1005-K1005</f>
        <v/>
      </c>
      <c r="M1005" s="46" t="n">
        <v>2420000</v>
      </c>
      <c r="N1005" s="46" t="n">
        <v>0</v>
      </c>
      <c r="O1005" s="46">
        <f>MAX(0,M1005-N1005-L1005)</f>
        <v/>
      </c>
      <c r="P1005" s="46">
        <f>MAX(0,L1005-(M1005-N1005))</f>
        <v/>
      </c>
      <c r="Q1005" s="45" t="inlineStr">
        <is>
          <t>30/09/2026</t>
        </is>
      </c>
      <c r="R1005" s="45" t="inlineStr">
        <is>
          <t>PT2026-01002</t>
        </is>
      </c>
      <c r="S1005" s="45" t="inlineStr"/>
    </row>
    <row r="1006">
      <c r="A1006" s="45" t="inlineStr">
        <is>
          <t>253610697</t>
        </is>
      </c>
      <c r="B1006" s="45" t="inlineStr">
        <is>
          <t>PHẠM THANH THÙY</t>
        </is>
      </c>
      <c r="C1006" s="45" t="inlineStr">
        <is>
          <t>Khoa học máy tính K66</t>
        </is>
      </c>
      <c r="D1006" s="45" t="inlineStr">
        <is>
          <t>Năm 3</t>
        </is>
      </c>
      <c r="E1006" s="45" t="inlineStr">
        <is>
          <t>2027_2028</t>
        </is>
      </c>
      <c r="F1006" s="45" t="n">
        <v>4</v>
      </c>
      <c r="G1006" s="46">
        <f>VLOOKUP(D1006,'Cấu Hình Học Phí'!$A$8:$B$11,2,FALSE)</f>
        <v/>
      </c>
      <c r="H1006" s="46">
        <f>F1006*G1006</f>
        <v/>
      </c>
      <c r="I1006" s="45" t="n">
        <v>0</v>
      </c>
      <c r="J1006" s="46">
        <f>I1006*'Cấu Hình Học Phí'!$B$5</f>
        <v/>
      </c>
      <c r="K1006" s="46" t="n">
        <v>0</v>
      </c>
      <c r="L1006" s="46">
        <f>H1006+J1006-K1006</f>
        <v/>
      </c>
      <c r="M1006" s="46" t="n">
        <v>2662000</v>
      </c>
      <c r="N1006" s="46" t="n">
        <v>0</v>
      </c>
      <c r="O1006" s="46">
        <f>MAX(0,M1006-N1006-L1006)</f>
        <v/>
      </c>
      <c r="P1006" s="46">
        <f>MAX(0,L1006-(M1006-N1006))</f>
        <v/>
      </c>
      <c r="Q1006" s="45" t="inlineStr">
        <is>
          <t>30/09/2027</t>
        </is>
      </c>
      <c r="R1006" s="45" t="inlineStr">
        <is>
          <t>PT2027-01003</t>
        </is>
      </c>
      <c r="S1006" s="45" t="inlineStr"/>
    </row>
    <row r="1007">
      <c r="A1007" s="45" t="inlineStr">
        <is>
          <t>253610697</t>
        </is>
      </c>
      <c r="B1007" s="45" t="inlineStr">
        <is>
          <t>PHẠM THANH THÙY</t>
        </is>
      </c>
      <c r="C1007" s="45" t="inlineStr">
        <is>
          <t>Khoa học máy tính K66</t>
        </is>
      </c>
      <c r="D1007" s="45" t="inlineStr">
        <is>
          <t>Năm 4</t>
        </is>
      </c>
      <c r="E1007" s="45" t="inlineStr">
        <is>
          <t>2028_2029</t>
        </is>
      </c>
      <c r="F1007" s="45" t="n">
        <v>1</v>
      </c>
      <c r="G1007" s="46">
        <f>VLOOKUP(D1007,'Cấu Hình Học Phí'!$A$8:$B$11,2,FALSE)</f>
        <v/>
      </c>
      <c r="H1007" s="46">
        <f>F1007*G1007</f>
        <v/>
      </c>
      <c r="I1007" s="45" t="n">
        <v>0</v>
      </c>
      <c r="J1007" s="46">
        <f>I1007*'Cấu Hình Học Phí'!$B$5</f>
        <v/>
      </c>
      <c r="K1007" s="46" t="n">
        <v>0</v>
      </c>
      <c r="L1007" s="46">
        <f>H1007+J1007-K1007</f>
        <v/>
      </c>
      <c r="M1007" s="46" t="n">
        <v>732050</v>
      </c>
      <c r="N1007" s="46" t="n">
        <v>0</v>
      </c>
      <c r="O1007" s="46">
        <f>MAX(0,M1007-N1007-L1007)</f>
        <v/>
      </c>
      <c r="P1007" s="46">
        <f>MAX(0,L1007-(M1007-N1007))</f>
        <v/>
      </c>
      <c r="Q1007" s="45" t="inlineStr">
        <is>
          <t>30/09/2028</t>
        </is>
      </c>
      <c r="R1007" s="45" t="inlineStr">
        <is>
          <t>PT2028-01004</t>
        </is>
      </c>
      <c r="S1007" s="45" t="inlineStr"/>
    </row>
    <row r="1008">
      <c r="A1008" s="45" t="inlineStr">
        <is>
          <t>253630698</t>
        </is>
      </c>
      <c r="B1008" s="45" t="inlineStr">
        <is>
          <t>NGUYỄN VĂN TIỆM</t>
        </is>
      </c>
      <c r="C1008" s="45" t="inlineStr">
        <is>
          <t>Khoa học máy tính K66</t>
        </is>
      </c>
      <c r="D1008" s="45" t="inlineStr">
        <is>
          <t>Năm 1</t>
        </is>
      </c>
      <c r="E1008" s="45" t="inlineStr">
        <is>
          <t>2025_2026</t>
        </is>
      </c>
      <c r="F1008" s="45" t="n">
        <v>4</v>
      </c>
      <c r="G1008" s="46">
        <f>VLOOKUP(D1008,'Cấu Hình Học Phí'!$A$8:$B$11,2,FALSE)</f>
        <v/>
      </c>
      <c r="H1008" s="46">
        <f>F1008*G1008</f>
        <v/>
      </c>
      <c r="I1008" s="45" t="n">
        <v>0</v>
      </c>
      <c r="J1008" s="46">
        <f>I1008*'Cấu Hình Học Phí'!$B$5</f>
        <v/>
      </c>
      <c r="K1008" s="46" t="n">
        <v>0</v>
      </c>
      <c r="L1008" s="46">
        <f>H1008+J1008-K1008</f>
        <v/>
      </c>
      <c r="M1008" s="46" t="n">
        <v>2200000</v>
      </c>
      <c r="N1008" s="46" t="n">
        <v>0</v>
      </c>
      <c r="O1008" s="46">
        <f>MAX(0,M1008-N1008-L1008)</f>
        <v/>
      </c>
      <c r="P1008" s="46">
        <f>MAX(0,L1008-(M1008-N1008))</f>
        <v/>
      </c>
      <c r="Q1008" s="45" t="inlineStr">
        <is>
          <t>30/09/2025</t>
        </is>
      </c>
      <c r="R1008" s="45" t="inlineStr">
        <is>
          <t>PT2025-01005</t>
        </is>
      </c>
      <c r="S1008" s="45" t="inlineStr"/>
    </row>
    <row r="1009">
      <c r="A1009" s="45" t="inlineStr">
        <is>
          <t>253630698</t>
        </is>
      </c>
      <c r="B1009" s="45" t="inlineStr">
        <is>
          <t>NGUYỄN VĂN TIỆM</t>
        </is>
      </c>
      <c r="C1009" s="45" t="inlineStr">
        <is>
          <t>Khoa học máy tính K66</t>
        </is>
      </c>
      <c r="D1009" s="45" t="inlineStr">
        <is>
          <t>Năm 2</t>
        </is>
      </c>
      <c r="E1009" s="45" t="inlineStr">
        <is>
          <t>2026_2027</t>
        </is>
      </c>
      <c r="F1009" s="45" t="n">
        <v>4</v>
      </c>
      <c r="G1009" s="46">
        <f>VLOOKUP(D1009,'Cấu Hình Học Phí'!$A$8:$B$11,2,FALSE)</f>
        <v/>
      </c>
      <c r="H1009" s="46">
        <f>F1009*G1009</f>
        <v/>
      </c>
      <c r="I1009" s="45" t="n">
        <v>0</v>
      </c>
      <c r="J1009" s="46">
        <f>I1009*'Cấu Hình Học Phí'!$B$5</f>
        <v/>
      </c>
      <c r="K1009" s="46" t="n">
        <v>0</v>
      </c>
      <c r="L1009" s="46">
        <f>H1009+J1009-K1009</f>
        <v/>
      </c>
      <c r="M1009" s="46" t="n">
        <v>2420000</v>
      </c>
      <c r="N1009" s="46" t="n">
        <v>0</v>
      </c>
      <c r="O1009" s="46">
        <f>MAX(0,M1009-N1009-L1009)</f>
        <v/>
      </c>
      <c r="P1009" s="46">
        <f>MAX(0,L1009-(M1009-N1009))</f>
        <v/>
      </c>
      <c r="Q1009" s="45" t="inlineStr">
        <is>
          <t>30/09/2026</t>
        </is>
      </c>
      <c r="R1009" s="45" t="inlineStr">
        <is>
          <t>PT2026-01006</t>
        </is>
      </c>
      <c r="S1009" s="45" t="inlineStr"/>
    </row>
    <row r="1010">
      <c r="A1010" s="45" t="inlineStr">
        <is>
          <t>253630698</t>
        </is>
      </c>
      <c r="B1010" s="45" t="inlineStr">
        <is>
          <t>NGUYỄN VĂN TIỆM</t>
        </is>
      </c>
      <c r="C1010" s="45" t="inlineStr">
        <is>
          <t>Khoa học máy tính K66</t>
        </is>
      </c>
      <c r="D1010" s="45" t="inlineStr">
        <is>
          <t>Năm 3</t>
        </is>
      </c>
      <c r="E1010" s="45" t="inlineStr">
        <is>
          <t>2027_2028</t>
        </is>
      </c>
      <c r="F1010" s="45" t="n">
        <v>4</v>
      </c>
      <c r="G1010" s="46">
        <f>VLOOKUP(D1010,'Cấu Hình Học Phí'!$A$8:$B$11,2,FALSE)</f>
        <v/>
      </c>
      <c r="H1010" s="46">
        <f>F1010*G1010</f>
        <v/>
      </c>
      <c r="I1010" s="45" t="n">
        <v>0</v>
      </c>
      <c r="J1010" s="46">
        <f>I1010*'Cấu Hình Học Phí'!$B$5</f>
        <v/>
      </c>
      <c r="K1010" s="46" t="n">
        <v>0</v>
      </c>
      <c r="L1010" s="46">
        <f>H1010+J1010-K1010</f>
        <v/>
      </c>
      <c r="M1010" s="46" t="n">
        <v>2662000</v>
      </c>
      <c r="N1010" s="46" t="n">
        <v>0</v>
      </c>
      <c r="O1010" s="46">
        <f>MAX(0,M1010-N1010-L1010)</f>
        <v/>
      </c>
      <c r="P1010" s="46">
        <f>MAX(0,L1010-(M1010-N1010))</f>
        <v/>
      </c>
      <c r="Q1010" s="45" t="inlineStr">
        <is>
          <t>30/09/2027</t>
        </is>
      </c>
      <c r="R1010" s="45" t="inlineStr">
        <is>
          <t>PT2027-01007</t>
        </is>
      </c>
      <c r="S1010" s="45" t="inlineStr"/>
    </row>
    <row r="1011">
      <c r="A1011" s="45" t="inlineStr">
        <is>
          <t>253630698</t>
        </is>
      </c>
      <c r="B1011" s="45" t="inlineStr">
        <is>
          <t>NGUYỄN VĂN TIỆM</t>
        </is>
      </c>
      <c r="C1011" s="45" t="inlineStr">
        <is>
          <t>Khoa học máy tính K66</t>
        </is>
      </c>
      <c r="D1011" s="45" t="inlineStr">
        <is>
          <t>Năm 4</t>
        </is>
      </c>
      <c r="E1011" s="45" t="inlineStr">
        <is>
          <t>2028_2029</t>
        </is>
      </c>
      <c r="F1011" s="45" t="n">
        <v>1</v>
      </c>
      <c r="G1011" s="46">
        <f>VLOOKUP(D1011,'Cấu Hình Học Phí'!$A$8:$B$11,2,FALSE)</f>
        <v/>
      </c>
      <c r="H1011" s="46">
        <f>F1011*G1011</f>
        <v/>
      </c>
      <c r="I1011" s="45" t="n">
        <v>0</v>
      </c>
      <c r="J1011" s="46">
        <f>I1011*'Cấu Hình Học Phí'!$B$5</f>
        <v/>
      </c>
      <c r="K1011" s="46" t="n">
        <v>0</v>
      </c>
      <c r="L1011" s="46">
        <f>H1011+J1011-K1011</f>
        <v/>
      </c>
      <c r="M1011" s="46" t="n">
        <v>732050</v>
      </c>
      <c r="N1011" s="46" t="n">
        <v>0</v>
      </c>
      <c r="O1011" s="46">
        <f>MAX(0,M1011-N1011-L1011)</f>
        <v/>
      </c>
      <c r="P1011" s="46">
        <f>MAX(0,L1011-(M1011-N1011))</f>
        <v/>
      </c>
      <c r="Q1011" s="45" t="inlineStr">
        <is>
          <t>30/09/2028</t>
        </is>
      </c>
      <c r="R1011" s="45" t="inlineStr">
        <is>
          <t>PT2028-01008</t>
        </is>
      </c>
      <c r="S1011" s="45" t="inlineStr"/>
    </row>
    <row r="1012">
      <c r="A1012" s="45" t="inlineStr">
        <is>
          <t>253610699</t>
        </is>
      </c>
      <c r="B1012" s="45" t="inlineStr">
        <is>
          <t>CAO VĂN TRÌNH</t>
        </is>
      </c>
      <c r="C1012" s="45" t="inlineStr">
        <is>
          <t>Khoa học máy tính K66</t>
        </is>
      </c>
      <c r="D1012" s="45" t="inlineStr">
        <is>
          <t>Năm 1</t>
        </is>
      </c>
      <c r="E1012" s="45" t="inlineStr">
        <is>
          <t>2025_2026</t>
        </is>
      </c>
      <c r="F1012" s="45" t="n">
        <v>4</v>
      </c>
      <c r="G1012" s="46">
        <f>VLOOKUP(D1012,'Cấu Hình Học Phí'!$A$8:$B$11,2,FALSE)</f>
        <v/>
      </c>
      <c r="H1012" s="46">
        <f>F1012*G1012</f>
        <v/>
      </c>
      <c r="I1012" s="45" t="n">
        <v>1</v>
      </c>
      <c r="J1012" s="46">
        <f>I1012*'Cấu Hình Học Phí'!$B$5</f>
        <v/>
      </c>
      <c r="K1012" s="46" t="n">
        <v>0</v>
      </c>
      <c r="L1012" s="46">
        <f>H1012+J1012-K1012</f>
        <v/>
      </c>
      <c r="M1012" s="46" t="n">
        <v>3200000</v>
      </c>
      <c r="N1012" s="46" t="n">
        <v>0</v>
      </c>
      <c r="O1012" s="46">
        <f>MAX(0,M1012-N1012-L1012)</f>
        <v/>
      </c>
      <c r="P1012" s="46">
        <f>MAX(0,L1012-(M1012-N1012))</f>
        <v/>
      </c>
      <c r="Q1012" s="45" t="inlineStr">
        <is>
          <t>30/09/2025</t>
        </is>
      </c>
      <c r="R1012" s="45" t="inlineStr">
        <is>
          <t>PT2025-01009</t>
        </is>
      </c>
      <c r="S1012" s="45" t="inlineStr"/>
    </row>
    <row r="1013">
      <c r="A1013" s="45" t="inlineStr">
        <is>
          <t>253610699</t>
        </is>
      </c>
      <c r="B1013" s="45" t="inlineStr">
        <is>
          <t>CAO VĂN TRÌNH</t>
        </is>
      </c>
      <c r="C1013" s="45" t="inlineStr">
        <is>
          <t>Khoa học máy tính K66</t>
        </is>
      </c>
      <c r="D1013" s="45" t="inlineStr">
        <is>
          <t>Năm 2</t>
        </is>
      </c>
      <c r="E1013" s="45" t="inlineStr">
        <is>
          <t>2026_2027</t>
        </is>
      </c>
      <c r="F1013" s="45" t="n">
        <v>4</v>
      </c>
      <c r="G1013" s="46">
        <f>VLOOKUP(D1013,'Cấu Hình Học Phí'!$A$8:$B$11,2,FALSE)</f>
        <v/>
      </c>
      <c r="H1013" s="46">
        <f>F1013*G1013</f>
        <v/>
      </c>
      <c r="I1013" s="45" t="n">
        <v>1</v>
      </c>
      <c r="J1013" s="46">
        <f>I1013*'Cấu Hình Học Phí'!$B$5</f>
        <v/>
      </c>
      <c r="K1013" s="46" t="n">
        <v>0</v>
      </c>
      <c r="L1013" s="46">
        <f>H1013+J1013-K1013</f>
        <v/>
      </c>
      <c r="M1013" s="46" t="n">
        <v>3420000</v>
      </c>
      <c r="N1013" s="46" t="n">
        <v>0</v>
      </c>
      <c r="O1013" s="46">
        <f>MAX(0,M1013-N1013-L1013)</f>
        <v/>
      </c>
      <c r="P1013" s="46">
        <f>MAX(0,L1013-(M1013-N1013))</f>
        <v/>
      </c>
      <c r="Q1013" s="45" t="inlineStr">
        <is>
          <t>30/09/2026</t>
        </is>
      </c>
      <c r="R1013" s="45" t="inlineStr">
        <is>
          <t>PT2026-01010</t>
        </is>
      </c>
      <c r="S1013" s="45" t="inlineStr"/>
    </row>
    <row r="1014">
      <c r="A1014" s="45" t="inlineStr">
        <is>
          <t>253610699</t>
        </is>
      </c>
      <c r="B1014" s="45" t="inlineStr">
        <is>
          <t>CAO VĂN TRÌNH</t>
        </is>
      </c>
      <c r="C1014" s="45" t="inlineStr">
        <is>
          <t>Khoa học máy tính K66</t>
        </is>
      </c>
      <c r="D1014" s="45" t="inlineStr">
        <is>
          <t>Năm 3</t>
        </is>
      </c>
      <c r="E1014" s="45" t="inlineStr">
        <is>
          <t>2027_2028</t>
        </is>
      </c>
      <c r="F1014" s="45" t="n">
        <v>4</v>
      </c>
      <c r="G1014" s="46">
        <f>VLOOKUP(D1014,'Cấu Hình Học Phí'!$A$8:$B$11,2,FALSE)</f>
        <v/>
      </c>
      <c r="H1014" s="46">
        <f>F1014*G1014</f>
        <v/>
      </c>
      <c r="I1014" s="45" t="n">
        <v>0</v>
      </c>
      <c r="J1014" s="46">
        <f>I1014*'Cấu Hình Học Phí'!$B$5</f>
        <v/>
      </c>
      <c r="K1014" s="46" t="n">
        <v>0</v>
      </c>
      <c r="L1014" s="46">
        <f>H1014+J1014-K1014</f>
        <v/>
      </c>
      <c r="M1014" s="46" t="n">
        <v>2662000</v>
      </c>
      <c r="N1014" s="46" t="n">
        <v>0</v>
      </c>
      <c r="O1014" s="46">
        <f>MAX(0,M1014-N1014-L1014)</f>
        <v/>
      </c>
      <c r="P1014" s="46">
        <f>MAX(0,L1014-(M1014-N1014))</f>
        <v/>
      </c>
      <c r="Q1014" s="45" t="inlineStr">
        <is>
          <t>30/09/2027</t>
        </is>
      </c>
      <c r="R1014" s="45" t="inlineStr">
        <is>
          <t>PT2027-01011</t>
        </is>
      </c>
      <c r="S1014" s="45" t="inlineStr"/>
    </row>
    <row r="1015">
      <c r="A1015" s="45" t="inlineStr">
        <is>
          <t>253610699</t>
        </is>
      </c>
      <c r="B1015" s="45" t="inlineStr">
        <is>
          <t>CAO VĂN TRÌNH</t>
        </is>
      </c>
      <c r="C1015" s="45" t="inlineStr">
        <is>
          <t>Khoa học máy tính K66</t>
        </is>
      </c>
      <c r="D1015" s="45" t="inlineStr">
        <is>
          <t>Năm 4</t>
        </is>
      </c>
      <c r="E1015" s="45" t="inlineStr">
        <is>
          <t>2028_2029</t>
        </is>
      </c>
      <c r="F1015" s="45" t="n">
        <v>1</v>
      </c>
      <c r="G1015" s="46">
        <f>VLOOKUP(D1015,'Cấu Hình Học Phí'!$A$8:$B$11,2,FALSE)</f>
        <v/>
      </c>
      <c r="H1015" s="46">
        <f>F1015*G1015</f>
        <v/>
      </c>
      <c r="I1015" s="45" t="n">
        <v>0</v>
      </c>
      <c r="J1015" s="46">
        <f>I1015*'Cấu Hình Học Phí'!$B$5</f>
        <v/>
      </c>
      <c r="K1015" s="46" t="n">
        <v>0</v>
      </c>
      <c r="L1015" s="46">
        <f>H1015+J1015-K1015</f>
        <v/>
      </c>
      <c r="M1015" s="46" t="n">
        <v>732050</v>
      </c>
      <c r="N1015" s="46" t="n">
        <v>0</v>
      </c>
      <c r="O1015" s="46">
        <f>MAX(0,M1015-N1015-L1015)</f>
        <v/>
      </c>
      <c r="P1015" s="46">
        <f>MAX(0,L1015-(M1015-N1015))</f>
        <v/>
      </c>
      <c r="Q1015" s="45" t="inlineStr">
        <is>
          <t>30/09/2028</t>
        </is>
      </c>
      <c r="R1015" s="45" t="inlineStr">
        <is>
          <t>PT2028-01012</t>
        </is>
      </c>
      <c r="S1015" s="45" t="inlineStr"/>
    </row>
    <row r="1016">
      <c r="A1016" s="45" t="inlineStr">
        <is>
          <t>253610700</t>
        </is>
      </c>
      <c r="B1016" s="45" t="inlineStr">
        <is>
          <t>TRƯƠNG ANH TUẤN</t>
        </is>
      </c>
      <c r="C1016" s="45" t="inlineStr">
        <is>
          <t>Khoa học máy tính K66</t>
        </is>
      </c>
      <c r="D1016" s="45" t="inlineStr">
        <is>
          <t>Năm 1</t>
        </is>
      </c>
      <c r="E1016" s="45" t="inlineStr">
        <is>
          <t>2025_2026</t>
        </is>
      </c>
      <c r="F1016" s="45" t="n">
        <v>4</v>
      </c>
      <c r="G1016" s="46">
        <f>VLOOKUP(D1016,'Cấu Hình Học Phí'!$A$8:$B$11,2,FALSE)</f>
        <v/>
      </c>
      <c r="H1016" s="46">
        <f>F1016*G1016</f>
        <v/>
      </c>
      <c r="I1016" s="45" t="n">
        <v>0</v>
      </c>
      <c r="J1016" s="46">
        <f>I1016*'Cấu Hình Học Phí'!$B$5</f>
        <v/>
      </c>
      <c r="K1016" s="46" t="n">
        <v>0</v>
      </c>
      <c r="L1016" s="46">
        <f>H1016+J1016-K1016</f>
        <v/>
      </c>
      <c r="M1016" s="46" t="n">
        <v>2200000</v>
      </c>
      <c r="N1016" s="46" t="n">
        <v>0</v>
      </c>
      <c r="O1016" s="46">
        <f>MAX(0,M1016-N1016-L1016)</f>
        <v/>
      </c>
      <c r="P1016" s="46">
        <f>MAX(0,L1016-(M1016-N1016))</f>
        <v/>
      </c>
      <c r="Q1016" s="45" t="inlineStr">
        <is>
          <t>30/09/2025</t>
        </is>
      </c>
      <c r="R1016" s="45" t="inlineStr">
        <is>
          <t>PT2025-01013</t>
        </is>
      </c>
      <c r="S1016" s="45" t="inlineStr"/>
    </row>
    <row r="1017">
      <c r="A1017" s="45" t="inlineStr">
        <is>
          <t>253610700</t>
        </is>
      </c>
      <c r="B1017" s="45" t="inlineStr">
        <is>
          <t>TRƯƠNG ANH TUẤN</t>
        </is>
      </c>
      <c r="C1017" s="45" t="inlineStr">
        <is>
          <t>Khoa học máy tính K66</t>
        </is>
      </c>
      <c r="D1017" s="45" t="inlineStr">
        <is>
          <t>Năm 2</t>
        </is>
      </c>
      <c r="E1017" s="45" t="inlineStr">
        <is>
          <t>2026_2027</t>
        </is>
      </c>
      <c r="F1017" s="45" t="n">
        <v>4</v>
      </c>
      <c r="G1017" s="46">
        <f>VLOOKUP(D1017,'Cấu Hình Học Phí'!$A$8:$B$11,2,FALSE)</f>
        <v/>
      </c>
      <c r="H1017" s="46">
        <f>F1017*G1017</f>
        <v/>
      </c>
      <c r="I1017" s="45" t="n">
        <v>1</v>
      </c>
      <c r="J1017" s="46">
        <f>I1017*'Cấu Hình Học Phí'!$B$5</f>
        <v/>
      </c>
      <c r="K1017" s="46" t="n">
        <v>0</v>
      </c>
      <c r="L1017" s="46">
        <f>H1017+J1017-K1017</f>
        <v/>
      </c>
      <c r="M1017" s="46" t="n">
        <v>2420000</v>
      </c>
      <c r="N1017" s="46" t="n">
        <v>0</v>
      </c>
      <c r="O1017" s="46">
        <f>MAX(0,M1017-N1017-L1017)</f>
        <v/>
      </c>
      <c r="P1017" s="46">
        <f>MAX(0,L1017-(M1017-N1017))</f>
        <v/>
      </c>
      <c r="Q1017" s="45" t="inlineStr">
        <is>
          <t>30/09/2026</t>
        </is>
      </c>
      <c r="R1017" s="45" t="inlineStr">
        <is>
          <t>PT2026-01014</t>
        </is>
      </c>
      <c r="S1017" s="45" t="inlineStr">
        <is>
          <t>Chưa nộp phí phụ đạo 1 môn</t>
        </is>
      </c>
    </row>
    <row r="1018">
      <c r="A1018" s="45" t="inlineStr">
        <is>
          <t>253610700</t>
        </is>
      </c>
      <c r="B1018" s="45" t="inlineStr">
        <is>
          <t>TRƯƠNG ANH TUẤN</t>
        </is>
      </c>
      <c r="C1018" s="45" t="inlineStr">
        <is>
          <t>Khoa học máy tính K66</t>
        </is>
      </c>
      <c r="D1018" s="45" t="inlineStr">
        <is>
          <t>Năm 3</t>
        </is>
      </c>
      <c r="E1018" s="45" t="inlineStr">
        <is>
          <t>2027_2028</t>
        </is>
      </c>
      <c r="F1018" s="45" t="n">
        <v>4</v>
      </c>
      <c r="G1018" s="46">
        <f>VLOOKUP(D1018,'Cấu Hình Học Phí'!$A$8:$B$11,2,FALSE)</f>
        <v/>
      </c>
      <c r="H1018" s="46">
        <f>F1018*G1018</f>
        <v/>
      </c>
      <c r="I1018" s="45" t="n">
        <v>0</v>
      </c>
      <c r="J1018" s="46">
        <f>I1018*'Cấu Hình Học Phí'!$B$5</f>
        <v/>
      </c>
      <c r="K1018" s="46" t="n">
        <v>0</v>
      </c>
      <c r="L1018" s="46">
        <f>H1018+J1018-K1018</f>
        <v/>
      </c>
      <c r="M1018" s="46" t="n">
        <v>2662000</v>
      </c>
      <c r="N1018" s="46" t="n">
        <v>0</v>
      </c>
      <c r="O1018" s="46">
        <f>MAX(0,M1018-N1018-L1018)</f>
        <v/>
      </c>
      <c r="P1018" s="46">
        <f>MAX(0,L1018-(M1018-N1018))</f>
        <v/>
      </c>
      <c r="Q1018" s="45" t="inlineStr">
        <is>
          <t>30/09/2027</t>
        </is>
      </c>
      <c r="R1018" s="45" t="inlineStr">
        <is>
          <t>PT2027-01015</t>
        </is>
      </c>
      <c r="S1018" s="45" t="inlineStr"/>
    </row>
    <row r="1019">
      <c r="A1019" s="45" t="inlineStr">
        <is>
          <t>253610700</t>
        </is>
      </c>
      <c r="B1019" s="45" t="inlineStr">
        <is>
          <t>TRƯƠNG ANH TUẤN</t>
        </is>
      </c>
      <c r="C1019" s="45" t="inlineStr">
        <is>
          <t>Khoa học máy tính K66</t>
        </is>
      </c>
      <c r="D1019" s="45" t="inlineStr">
        <is>
          <t>Năm 4</t>
        </is>
      </c>
      <c r="E1019" s="45" t="inlineStr">
        <is>
          <t>2028_2029</t>
        </is>
      </c>
      <c r="F1019" s="45" t="n">
        <v>1</v>
      </c>
      <c r="G1019" s="46">
        <f>VLOOKUP(D1019,'Cấu Hình Học Phí'!$A$8:$B$11,2,FALSE)</f>
        <v/>
      </c>
      <c r="H1019" s="46">
        <f>F1019*G1019</f>
        <v/>
      </c>
      <c r="I1019" s="45" t="n">
        <v>0</v>
      </c>
      <c r="J1019" s="46">
        <f>I1019*'Cấu Hình Học Phí'!$B$5</f>
        <v/>
      </c>
      <c r="K1019" s="46" t="n">
        <v>0</v>
      </c>
      <c r="L1019" s="46">
        <f>H1019+J1019-K1019</f>
        <v/>
      </c>
      <c r="M1019" s="46" t="n">
        <v>732050</v>
      </c>
      <c r="N1019" s="46" t="n">
        <v>0</v>
      </c>
      <c r="O1019" s="46">
        <f>MAX(0,M1019-N1019-L1019)</f>
        <v/>
      </c>
      <c r="P1019" s="46">
        <f>MAX(0,L1019-(M1019-N1019))</f>
        <v/>
      </c>
      <c r="Q1019" s="45" t="inlineStr">
        <is>
          <t>30/09/2028</t>
        </is>
      </c>
      <c r="R1019" s="45" t="inlineStr">
        <is>
          <t>PT2028-01016</t>
        </is>
      </c>
      <c r="S1019" s="45" t="inlineStr"/>
    </row>
    <row r="1020">
      <c r="A1020" s="45" t="inlineStr">
        <is>
          <t>253610701</t>
        </is>
      </c>
      <c r="B1020" s="45" t="inlineStr">
        <is>
          <t>NGUYỄN ĐĂNG VIỆT</t>
        </is>
      </c>
      <c r="C1020" s="45" t="inlineStr">
        <is>
          <t>Khoa học máy tính K66</t>
        </is>
      </c>
      <c r="D1020" s="45" t="inlineStr">
        <is>
          <t>Năm 1</t>
        </is>
      </c>
      <c r="E1020" s="45" t="inlineStr">
        <is>
          <t>2025_2026</t>
        </is>
      </c>
      <c r="F1020" s="45" t="n">
        <v>4</v>
      </c>
      <c r="G1020" s="46">
        <f>VLOOKUP(D1020,'Cấu Hình Học Phí'!$A$8:$B$11,2,FALSE)</f>
        <v/>
      </c>
      <c r="H1020" s="46">
        <f>F1020*G1020</f>
        <v/>
      </c>
      <c r="I1020" s="45" t="n">
        <v>2</v>
      </c>
      <c r="J1020" s="46">
        <f>I1020*'Cấu Hình Học Phí'!$B$5</f>
        <v/>
      </c>
      <c r="K1020" s="46" t="n">
        <v>0</v>
      </c>
      <c r="L1020" s="46">
        <f>H1020+J1020-K1020</f>
        <v/>
      </c>
      <c r="M1020" s="46" t="n">
        <v>4200000</v>
      </c>
      <c r="N1020" s="46" t="n">
        <v>0</v>
      </c>
      <c r="O1020" s="46">
        <f>MAX(0,M1020-N1020-L1020)</f>
        <v/>
      </c>
      <c r="P1020" s="46">
        <f>MAX(0,L1020-(M1020-N1020))</f>
        <v/>
      </c>
      <c r="Q1020" s="45" t="inlineStr">
        <is>
          <t>30/09/2025</t>
        </is>
      </c>
      <c r="R1020" s="45" t="inlineStr">
        <is>
          <t>PT2025-01017</t>
        </is>
      </c>
      <c r="S1020" s="45" t="inlineStr"/>
    </row>
    <row r="1021">
      <c r="A1021" s="45" t="inlineStr">
        <is>
          <t>253610701</t>
        </is>
      </c>
      <c r="B1021" s="45" t="inlineStr">
        <is>
          <t>NGUYỄN ĐĂNG VIỆT</t>
        </is>
      </c>
      <c r="C1021" s="45" t="inlineStr">
        <is>
          <t>Khoa học máy tính K66</t>
        </is>
      </c>
      <c r="D1021" s="45" t="inlineStr">
        <is>
          <t>Năm 2</t>
        </is>
      </c>
      <c r="E1021" s="45" t="inlineStr">
        <is>
          <t>2026_2027</t>
        </is>
      </c>
      <c r="F1021" s="45" t="n">
        <v>4</v>
      </c>
      <c r="G1021" s="46">
        <f>VLOOKUP(D1021,'Cấu Hình Học Phí'!$A$8:$B$11,2,FALSE)</f>
        <v/>
      </c>
      <c r="H1021" s="46">
        <f>F1021*G1021</f>
        <v/>
      </c>
      <c r="I1021" s="45" t="n">
        <v>2</v>
      </c>
      <c r="J1021" s="46">
        <f>I1021*'Cấu Hình Học Phí'!$B$5</f>
        <v/>
      </c>
      <c r="K1021" s="46" t="n">
        <v>0</v>
      </c>
      <c r="L1021" s="46">
        <f>H1021+J1021-K1021</f>
        <v/>
      </c>
      <c r="M1021" s="46" t="n">
        <v>4420000</v>
      </c>
      <c r="N1021" s="46" t="n">
        <v>0</v>
      </c>
      <c r="O1021" s="46">
        <f>MAX(0,M1021-N1021-L1021)</f>
        <v/>
      </c>
      <c r="P1021" s="46">
        <f>MAX(0,L1021-(M1021-N1021))</f>
        <v/>
      </c>
      <c r="Q1021" s="45" t="inlineStr">
        <is>
          <t>30/09/2026</t>
        </is>
      </c>
      <c r="R1021" s="45" t="inlineStr">
        <is>
          <t>PT2026-01018</t>
        </is>
      </c>
      <c r="S1021" s="45" t="inlineStr"/>
    </row>
    <row r="1022">
      <c r="A1022" s="45" t="inlineStr">
        <is>
          <t>253610701</t>
        </is>
      </c>
      <c r="B1022" s="45" t="inlineStr">
        <is>
          <t>NGUYỄN ĐĂNG VIỆT</t>
        </is>
      </c>
      <c r="C1022" s="45" t="inlineStr">
        <is>
          <t>Khoa học máy tính K66</t>
        </is>
      </c>
      <c r="D1022" s="45" t="inlineStr">
        <is>
          <t>Năm 3</t>
        </is>
      </c>
      <c r="E1022" s="45" t="inlineStr">
        <is>
          <t>2027_2028</t>
        </is>
      </c>
      <c r="F1022" s="45" t="n">
        <v>4</v>
      </c>
      <c r="G1022" s="46">
        <f>VLOOKUP(D1022,'Cấu Hình Học Phí'!$A$8:$B$11,2,FALSE)</f>
        <v/>
      </c>
      <c r="H1022" s="46">
        <f>F1022*G1022</f>
        <v/>
      </c>
      <c r="I1022" s="45" t="n">
        <v>0</v>
      </c>
      <c r="J1022" s="46">
        <f>I1022*'Cấu Hình Học Phí'!$B$5</f>
        <v/>
      </c>
      <c r="K1022" s="46" t="n">
        <v>0</v>
      </c>
      <c r="L1022" s="46">
        <f>H1022+J1022-K1022</f>
        <v/>
      </c>
      <c r="M1022" s="46" t="n">
        <v>2662000</v>
      </c>
      <c r="N1022" s="46" t="n">
        <v>0</v>
      </c>
      <c r="O1022" s="46">
        <f>MAX(0,M1022-N1022-L1022)</f>
        <v/>
      </c>
      <c r="P1022" s="46">
        <f>MAX(0,L1022-(M1022-N1022))</f>
        <v/>
      </c>
      <c r="Q1022" s="45" t="inlineStr">
        <is>
          <t>30/09/2027</t>
        </is>
      </c>
      <c r="R1022" s="45" t="inlineStr">
        <is>
          <t>PT2027-01019</t>
        </is>
      </c>
      <c r="S1022" s="45" t="inlineStr"/>
    </row>
    <row r="1023">
      <c r="A1023" s="45" t="inlineStr">
        <is>
          <t>253610701</t>
        </is>
      </c>
      <c r="B1023" s="45" t="inlineStr">
        <is>
          <t>NGUYỄN ĐĂNG VIỆT</t>
        </is>
      </c>
      <c r="C1023" s="45" t="inlineStr">
        <is>
          <t>Khoa học máy tính K66</t>
        </is>
      </c>
      <c r="D1023" s="45" t="inlineStr">
        <is>
          <t>Năm 4</t>
        </is>
      </c>
      <c r="E1023" s="45" t="inlineStr">
        <is>
          <t>2028_2029</t>
        </is>
      </c>
      <c r="F1023" s="45" t="n">
        <v>1</v>
      </c>
      <c r="G1023" s="46">
        <f>VLOOKUP(D1023,'Cấu Hình Học Phí'!$A$8:$B$11,2,FALSE)</f>
        <v/>
      </c>
      <c r="H1023" s="46">
        <f>F1023*G1023</f>
        <v/>
      </c>
      <c r="I1023" s="45" t="n">
        <v>0</v>
      </c>
      <c r="J1023" s="46">
        <f>I1023*'Cấu Hình Học Phí'!$B$5</f>
        <v/>
      </c>
      <c r="K1023" s="46" t="n">
        <v>0</v>
      </c>
      <c r="L1023" s="46">
        <f>H1023+J1023-K1023</f>
        <v/>
      </c>
      <c r="M1023" s="46" t="n">
        <v>732050</v>
      </c>
      <c r="N1023" s="46" t="n">
        <v>0</v>
      </c>
      <c r="O1023" s="46">
        <f>MAX(0,M1023-N1023-L1023)</f>
        <v/>
      </c>
      <c r="P1023" s="46">
        <f>MAX(0,L1023-(M1023-N1023))</f>
        <v/>
      </c>
      <c r="Q1023" s="45" t="inlineStr">
        <is>
          <t>30/09/2028</t>
        </is>
      </c>
      <c r="R1023" s="45" t="inlineStr">
        <is>
          <t>PT2028-01020</t>
        </is>
      </c>
      <c r="S1023" s="45" t="inlineStr"/>
    </row>
  </sheetData>
  <autoFilter ref="A3:S1023"/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18" min="1" max="1"/>
    <col width="26" customWidth="1" style="18" min="2" max="2"/>
    <col width="26" customWidth="1" style="18" min="3" max="3"/>
    <col width="16" customWidth="1" style="18" min="4" max="4"/>
    <col width="14" customWidth="1" style="18" min="5" max="5"/>
    <col width="12" customWidth="1" style="18" min="6" max="6"/>
    <col width="18" customWidth="1" style="18" min="7" max="7"/>
    <col width="18" customWidth="1" style="18" min="8" max="8"/>
    <col width="14" customWidth="1" style="18" min="9" max="9"/>
    <col width="16" customWidth="1" style="18" min="10" max="10"/>
    <col width="16" customWidth="1" style="18" min="11" max="11"/>
  </cols>
  <sheetData>
    <row r="1">
      <c r="A1" s="39" t="inlineStr">
        <is>
          <t>TỔNG HỢP HỌC PHÍ THEO SINH VIÊN</t>
        </is>
      </c>
    </row>
    <row r="3" ht="32" customHeight="1" s="18">
      <c r="A3" s="43" t="inlineStr">
        <is>
          <t>MSV</t>
        </is>
      </c>
      <c r="B3" s="43" t="inlineStr">
        <is>
          <t>Họ và tên</t>
        </is>
      </c>
      <c r="C3" s="43" t="inlineStr">
        <is>
          <t>Lớp</t>
        </is>
      </c>
      <c r="D3" s="43" t="inlineStr">
        <is>
          <t>Học phí môn học</t>
        </is>
      </c>
      <c r="E3" s="43" t="inlineStr">
        <is>
          <t>Phí phụ đạo</t>
        </is>
      </c>
      <c r="F3" s="43" t="inlineStr">
        <is>
          <t>Miễn giảm</t>
        </is>
      </c>
      <c r="G3" s="43" t="inlineStr">
        <is>
          <t>Học phí phải nộp</t>
        </is>
      </c>
      <c r="H3" s="43" t="inlineStr">
        <is>
          <t>Học phí đã nộp</t>
        </is>
      </c>
      <c r="I3" s="43" t="inlineStr">
        <is>
          <t>Học phí thừa</t>
        </is>
      </c>
      <c r="J3" s="43" t="inlineStr">
        <is>
          <t>Học phí còn nợ</t>
        </is>
      </c>
      <c r="K3" s="43" t="inlineStr">
        <is>
          <t>Trạng thái</t>
        </is>
      </c>
    </row>
    <row r="4">
      <c r="A4" s="45" t="inlineStr">
        <is>
          <t>251230808</t>
        </is>
      </c>
      <c r="B4" s="45" t="inlineStr">
        <is>
          <t>CHU ĐỨC ÁNH</t>
        </is>
      </c>
      <c r="C4" s="45" t="inlineStr">
        <is>
          <t>Công nghệ thông tin 1 K66</t>
        </is>
      </c>
      <c r="D4" s="46">
        <f>SUMIFS('Chi Tiết Học Phí'!$H$4:$H$1023,'Chi Tiết Học Phí'!$A$4:$A$1023,A4)</f>
        <v/>
      </c>
      <c r="E4" s="46">
        <f>SUMIFS('Chi Tiết Học Phí'!$J$4:$J$1023,'Chi Tiết Học Phí'!$A$4:$A$1023,A4)</f>
        <v/>
      </c>
      <c r="F4" s="46">
        <f>SUMIFS('Chi Tiết Học Phí'!$K$4:$K$1023,'Chi Tiết Học Phí'!$A$4:$A$1023,A4)</f>
        <v/>
      </c>
      <c r="G4" s="46">
        <f>SUMIFS('Chi Tiết Học Phí'!$L$4:$L$1023,'Chi Tiết Học Phí'!$A$4:$A$1023,A4)</f>
        <v/>
      </c>
      <c r="H4" s="46">
        <f>SUMIFS('Chi Tiết Học Phí'!$M$4:$M$1023,'Chi Tiết Học Phí'!$A$4:$A$1023,A4)-SUMIFS('Chi Tiết Học Phí'!$N$4:$N$1023,'Chi Tiết Học Phí'!$A$4:$A$1023,A4)</f>
        <v/>
      </c>
      <c r="I4" s="46">
        <f>SUMIFS('Chi Tiết Học Phí'!$O$4:$O$1023,'Chi Tiết Học Phí'!$A$4:$A$1023,A4)</f>
        <v/>
      </c>
      <c r="J4" s="46">
        <f>SUMIFS('Chi Tiết Học Phí'!$P$4:$P$1023,'Chi Tiết Học Phí'!$A$4:$A$1023,A4)</f>
        <v/>
      </c>
      <c r="K4" s="45">
        <f>IF(J4&gt;0,"Còn nợ","Đã hoàn thành")</f>
        <v/>
      </c>
    </row>
    <row r="5">
      <c r="A5" s="45" t="inlineStr">
        <is>
          <t>251210800</t>
        </is>
      </c>
      <c r="B5" s="45" t="inlineStr">
        <is>
          <t>LÊ QUANG ANH</t>
        </is>
      </c>
      <c r="C5" s="45" t="inlineStr">
        <is>
          <t>Công nghệ thông tin 1 K66</t>
        </is>
      </c>
      <c r="D5" s="46">
        <f>SUMIFS('Chi Tiết Học Phí'!$H$4:$H$1023,'Chi Tiết Học Phí'!$A$4:$A$1023,A5)</f>
        <v/>
      </c>
      <c r="E5" s="46">
        <f>SUMIFS('Chi Tiết Học Phí'!$J$4:$J$1023,'Chi Tiết Học Phí'!$A$4:$A$1023,A5)</f>
        <v/>
      </c>
      <c r="F5" s="46">
        <f>SUMIFS('Chi Tiết Học Phí'!$K$4:$K$1023,'Chi Tiết Học Phí'!$A$4:$A$1023,A5)</f>
        <v/>
      </c>
      <c r="G5" s="46">
        <f>SUMIFS('Chi Tiết Học Phí'!$L$4:$L$1023,'Chi Tiết Học Phí'!$A$4:$A$1023,A5)</f>
        <v/>
      </c>
      <c r="H5" s="46">
        <f>SUMIFS('Chi Tiết Học Phí'!$M$4:$M$1023,'Chi Tiết Học Phí'!$A$4:$A$1023,A5)-SUMIFS('Chi Tiết Học Phí'!$N$4:$N$1023,'Chi Tiết Học Phí'!$A$4:$A$1023,A5)</f>
        <v/>
      </c>
      <c r="I5" s="46">
        <f>SUMIFS('Chi Tiết Học Phí'!$O$4:$O$1023,'Chi Tiết Học Phí'!$A$4:$A$1023,A5)</f>
        <v/>
      </c>
      <c r="J5" s="46">
        <f>SUMIFS('Chi Tiết Học Phí'!$P$4:$P$1023,'Chi Tiết Học Phí'!$A$4:$A$1023,A5)</f>
        <v/>
      </c>
      <c r="K5" s="45">
        <f>IF(J5&gt;0,"Còn nợ","Đã hoàn thành")</f>
        <v/>
      </c>
    </row>
    <row r="6">
      <c r="A6" s="45" t="inlineStr">
        <is>
          <t>251230801</t>
        </is>
      </c>
      <c r="B6" s="45" t="inlineStr">
        <is>
          <t>NGÔ AN ĐỨC ANH</t>
        </is>
      </c>
      <c r="C6" s="45" t="inlineStr">
        <is>
          <t>Công nghệ thông tin 1 K66</t>
        </is>
      </c>
      <c r="D6" s="46">
        <f>SUMIFS('Chi Tiết Học Phí'!$H$4:$H$1023,'Chi Tiết Học Phí'!$A$4:$A$1023,A6)</f>
        <v/>
      </c>
      <c r="E6" s="46">
        <f>SUMIFS('Chi Tiết Học Phí'!$J$4:$J$1023,'Chi Tiết Học Phí'!$A$4:$A$1023,A6)</f>
        <v/>
      </c>
      <c r="F6" s="46">
        <f>SUMIFS('Chi Tiết Học Phí'!$K$4:$K$1023,'Chi Tiết Học Phí'!$A$4:$A$1023,A6)</f>
        <v/>
      </c>
      <c r="G6" s="46">
        <f>SUMIFS('Chi Tiết Học Phí'!$L$4:$L$1023,'Chi Tiết Học Phí'!$A$4:$A$1023,A6)</f>
        <v/>
      </c>
      <c r="H6" s="46">
        <f>SUMIFS('Chi Tiết Học Phí'!$M$4:$M$1023,'Chi Tiết Học Phí'!$A$4:$A$1023,A6)-SUMIFS('Chi Tiết Học Phí'!$N$4:$N$1023,'Chi Tiết Học Phí'!$A$4:$A$1023,A6)</f>
        <v/>
      </c>
      <c r="I6" s="46">
        <f>SUMIFS('Chi Tiết Học Phí'!$O$4:$O$1023,'Chi Tiết Học Phí'!$A$4:$A$1023,A6)</f>
        <v/>
      </c>
      <c r="J6" s="46">
        <f>SUMIFS('Chi Tiết Học Phí'!$P$4:$P$1023,'Chi Tiết Học Phí'!$A$4:$A$1023,A6)</f>
        <v/>
      </c>
      <c r="K6" s="45">
        <f>IF(J6&gt;0,"Còn nợ","Đã hoàn thành")</f>
        <v/>
      </c>
    </row>
    <row r="7">
      <c r="A7" s="45" t="inlineStr">
        <is>
          <t>251230807</t>
        </is>
      </c>
      <c r="B7" s="45" t="inlineStr">
        <is>
          <t>TÔ VIỆT ANH</t>
        </is>
      </c>
      <c r="C7" s="45" t="inlineStr">
        <is>
          <t>Công nghệ thông tin 1 K66</t>
        </is>
      </c>
      <c r="D7" s="46">
        <f>SUMIFS('Chi Tiết Học Phí'!$H$4:$H$1023,'Chi Tiết Học Phí'!$A$4:$A$1023,A7)</f>
        <v/>
      </c>
      <c r="E7" s="46">
        <f>SUMIFS('Chi Tiết Học Phí'!$J$4:$J$1023,'Chi Tiết Học Phí'!$A$4:$A$1023,A7)</f>
        <v/>
      </c>
      <c r="F7" s="46">
        <f>SUMIFS('Chi Tiết Học Phí'!$K$4:$K$1023,'Chi Tiết Học Phí'!$A$4:$A$1023,A7)</f>
        <v/>
      </c>
      <c r="G7" s="46">
        <f>SUMIFS('Chi Tiết Học Phí'!$L$4:$L$1023,'Chi Tiết Học Phí'!$A$4:$A$1023,A7)</f>
        <v/>
      </c>
      <c r="H7" s="46">
        <f>SUMIFS('Chi Tiết Học Phí'!$M$4:$M$1023,'Chi Tiết Học Phí'!$A$4:$A$1023,A7)-SUMIFS('Chi Tiết Học Phí'!$N$4:$N$1023,'Chi Tiết Học Phí'!$A$4:$A$1023,A7)</f>
        <v/>
      </c>
      <c r="I7" s="46">
        <f>SUMIFS('Chi Tiết Học Phí'!$O$4:$O$1023,'Chi Tiết Học Phí'!$A$4:$A$1023,A7)</f>
        <v/>
      </c>
      <c r="J7" s="46">
        <f>SUMIFS('Chi Tiết Học Phí'!$P$4:$P$1023,'Chi Tiết Học Phí'!$A$4:$A$1023,A7)</f>
        <v/>
      </c>
      <c r="K7" s="45">
        <f>IF(J7&gt;0,"Còn nợ","Đã hoàn thành")</f>
        <v/>
      </c>
    </row>
    <row r="8">
      <c r="A8" s="45" t="inlineStr">
        <is>
          <t>251230813</t>
        </is>
      </c>
      <c r="B8" s="45" t="inlineStr">
        <is>
          <t>TRẦN MẬU BẮC</t>
        </is>
      </c>
      <c r="C8" s="45" t="inlineStr">
        <is>
          <t>Công nghệ thông tin 1 K66</t>
        </is>
      </c>
      <c r="D8" s="46">
        <f>SUMIFS('Chi Tiết Học Phí'!$H$4:$H$1023,'Chi Tiết Học Phí'!$A$4:$A$1023,A8)</f>
        <v/>
      </c>
      <c r="E8" s="46">
        <f>SUMIFS('Chi Tiết Học Phí'!$J$4:$J$1023,'Chi Tiết Học Phí'!$A$4:$A$1023,A8)</f>
        <v/>
      </c>
      <c r="F8" s="46">
        <f>SUMIFS('Chi Tiết Học Phí'!$K$4:$K$1023,'Chi Tiết Học Phí'!$A$4:$A$1023,A8)</f>
        <v/>
      </c>
      <c r="G8" s="46">
        <f>SUMIFS('Chi Tiết Học Phí'!$L$4:$L$1023,'Chi Tiết Học Phí'!$A$4:$A$1023,A8)</f>
        <v/>
      </c>
      <c r="H8" s="46">
        <f>SUMIFS('Chi Tiết Học Phí'!$M$4:$M$1023,'Chi Tiết Học Phí'!$A$4:$A$1023,A8)-SUMIFS('Chi Tiết Học Phí'!$N$4:$N$1023,'Chi Tiết Học Phí'!$A$4:$A$1023,A8)</f>
        <v/>
      </c>
      <c r="I8" s="46">
        <f>SUMIFS('Chi Tiết Học Phí'!$O$4:$O$1023,'Chi Tiết Học Phí'!$A$4:$A$1023,A8)</f>
        <v/>
      </c>
      <c r="J8" s="46">
        <f>SUMIFS('Chi Tiết Học Phí'!$P$4:$P$1023,'Chi Tiết Học Phí'!$A$4:$A$1023,A8)</f>
        <v/>
      </c>
      <c r="K8" s="45">
        <f>IF(J8&gt;0,"Còn nợ","Đã hoàn thành")</f>
        <v/>
      </c>
    </row>
    <row r="9">
      <c r="A9" s="45" t="inlineStr">
        <is>
          <t>251230811</t>
        </is>
      </c>
      <c r="B9" s="45" t="inlineStr">
        <is>
          <t>NGUYỄN VĂN CHÍ BẢO</t>
        </is>
      </c>
      <c r="C9" s="45" t="inlineStr">
        <is>
          <t>Công nghệ thông tin 1 K66</t>
        </is>
      </c>
      <c r="D9" s="46">
        <f>SUMIFS('Chi Tiết Học Phí'!$H$4:$H$1023,'Chi Tiết Học Phí'!$A$4:$A$1023,A9)</f>
        <v/>
      </c>
      <c r="E9" s="46">
        <f>SUMIFS('Chi Tiết Học Phí'!$J$4:$J$1023,'Chi Tiết Học Phí'!$A$4:$A$1023,A9)</f>
        <v/>
      </c>
      <c r="F9" s="46">
        <f>SUMIFS('Chi Tiết Học Phí'!$K$4:$K$1023,'Chi Tiết Học Phí'!$A$4:$A$1023,A9)</f>
        <v/>
      </c>
      <c r="G9" s="46">
        <f>SUMIFS('Chi Tiết Học Phí'!$L$4:$L$1023,'Chi Tiết Học Phí'!$A$4:$A$1023,A9)</f>
        <v/>
      </c>
      <c r="H9" s="46">
        <f>SUMIFS('Chi Tiết Học Phí'!$M$4:$M$1023,'Chi Tiết Học Phí'!$A$4:$A$1023,A9)-SUMIFS('Chi Tiết Học Phí'!$N$4:$N$1023,'Chi Tiết Học Phí'!$A$4:$A$1023,A9)</f>
        <v/>
      </c>
      <c r="I9" s="46">
        <f>SUMIFS('Chi Tiết Học Phí'!$O$4:$O$1023,'Chi Tiết Học Phí'!$A$4:$A$1023,A9)</f>
        <v/>
      </c>
      <c r="J9" s="46">
        <f>SUMIFS('Chi Tiết Học Phí'!$P$4:$P$1023,'Chi Tiết Học Phí'!$A$4:$A$1023,A9)</f>
        <v/>
      </c>
      <c r="K9" s="45">
        <f>IF(J9&gt;0,"Còn nợ","Đã hoàn thành")</f>
        <v/>
      </c>
    </row>
    <row r="10">
      <c r="A10" s="45" t="inlineStr">
        <is>
          <t>251230812</t>
        </is>
      </c>
      <c r="B10" s="45" t="inlineStr">
        <is>
          <t>NGUYỄN VĂN GIA BẢO</t>
        </is>
      </c>
      <c r="C10" s="45" t="inlineStr">
        <is>
          <t>Công nghệ thông tin 1 K66</t>
        </is>
      </c>
      <c r="D10" s="46">
        <f>SUMIFS('Chi Tiết Học Phí'!$H$4:$H$1023,'Chi Tiết Học Phí'!$A$4:$A$1023,A10)</f>
        <v/>
      </c>
      <c r="E10" s="46">
        <f>SUMIFS('Chi Tiết Học Phí'!$J$4:$J$1023,'Chi Tiết Học Phí'!$A$4:$A$1023,A10)</f>
        <v/>
      </c>
      <c r="F10" s="46">
        <f>SUMIFS('Chi Tiết Học Phí'!$K$4:$K$1023,'Chi Tiết Học Phí'!$A$4:$A$1023,A10)</f>
        <v/>
      </c>
      <c r="G10" s="46">
        <f>SUMIFS('Chi Tiết Học Phí'!$L$4:$L$1023,'Chi Tiết Học Phí'!$A$4:$A$1023,A10)</f>
        <v/>
      </c>
      <c r="H10" s="46">
        <f>SUMIFS('Chi Tiết Học Phí'!$M$4:$M$1023,'Chi Tiết Học Phí'!$A$4:$A$1023,A10)-SUMIFS('Chi Tiết Học Phí'!$N$4:$N$1023,'Chi Tiết Học Phí'!$A$4:$A$1023,A10)</f>
        <v/>
      </c>
      <c r="I10" s="46">
        <f>SUMIFS('Chi Tiết Học Phí'!$O$4:$O$1023,'Chi Tiết Học Phí'!$A$4:$A$1023,A10)</f>
        <v/>
      </c>
      <c r="J10" s="46">
        <f>SUMIFS('Chi Tiết Học Phí'!$P$4:$P$1023,'Chi Tiết Học Phí'!$A$4:$A$1023,A10)</f>
        <v/>
      </c>
      <c r="K10" s="45">
        <f>IF(J10&gt;0,"Còn nợ","Đã hoàn thành")</f>
        <v/>
      </c>
    </row>
    <row r="11">
      <c r="A11" s="45" t="inlineStr">
        <is>
          <t>251210818</t>
        </is>
      </c>
      <c r="B11" s="45" t="inlineStr">
        <is>
          <t>NGUYỄN ĐỨC CƯƠNG</t>
        </is>
      </c>
      <c r="C11" s="45" t="inlineStr">
        <is>
          <t>Công nghệ thông tin 1 K66</t>
        </is>
      </c>
      <c r="D11" s="46">
        <f>SUMIFS('Chi Tiết Học Phí'!$H$4:$H$1023,'Chi Tiết Học Phí'!$A$4:$A$1023,A11)</f>
        <v/>
      </c>
      <c r="E11" s="46">
        <f>SUMIFS('Chi Tiết Học Phí'!$J$4:$J$1023,'Chi Tiết Học Phí'!$A$4:$A$1023,A11)</f>
        <v/>
      </c>
      <c r="F11" s="46">
        <f>SUMIFS('Chi Tiết Học Phí'!$K$4:$K$1023,'Chi Tiết Học Phí'!$A$4:$A$1023,A11)</f>
        <v/>
      </c>
      <c r="G11" s="46">
        <f>SUMIFS('Chi Tiết Học Phí'!$L$4:$L$1023,'Chi Tiết Học Phí'!$A$4:$A$1023,A11)</f>
        <v/>
      </c>
      <c r="H11" s="46">
        <f>SUMIFS('Chi Tiết Học Phí'!$M$4:$M$1023,'Chi Tiết Học Phí'!$A$4:$A$1023,A11)-SUMIFS('Chi Tiết Học Phí'!$N$4:$N$1023,'Chi Tiết Học Phí'!$A$4:$A$1023,A11)</f>
        <v/>
      </c>
      <c r="I11" s="46">
        <f>SUMIFS('Chi Tiết Học Phí'!$O$4:$O$1023,'Chi Tiết Học Phí'!$A$4:$A$1023,A11)</f>
        <v/>
      </c>
      <c r="J11" s="46">
        <f>SUMIFS('Chi Tiết Học Phí'!$P$4:$P$1023,'Chi Tiết Học Phí'!$A$4:$A$1023,A11)</f>
        <v/>
      </c>
      <c r="K11" s="45">
        <f>IF(J11&gt;0,"Còn nợ","Đã hoàn thành")</f>
        <v/>
      </c>
    </row>
    <row r="12">
      <c r="A12" s="45" t="inlineStr">
        <is>
          <t>251230821</t>
        </is>
      </c>
      <c r="B12" s="45" t="inlineStr">
        <is>
          <t>VŨ MẠNH CƯỜNG</t>
        </is>
      </c>
      <c r="C12" s="45" t="inlineStr">
        <is>
          <t>Công nghệ thông tin 1 K66</t>
        </is>
      </c>
      <c r="D12" s="46">
        <f>SUMIFS('Chi Tiết Học Phí'!$H$4:$H$1023,'Chi Tiết Học Phí'!$A$4:$A$1023,A12)</f>
        <v/>
      </c>
      <c r="E12" s="46">
        <f>SUMIFS('Chi Tiết Học Phí'!$J$4:$J$1023,'Chi Tiết Học Phí'!$A$4:$A$1023,A12)</f>
        <v/>
      </c>
      <c r="F12" s="46">
        <f>SUMIFS('Chi Tiết Học Phí'!$K$4:$K$1023,'Chi Tiết Học Phí'!$A$4:$A$1023,A12)</f>
        <v/>
      </c>
      <c r="G12" s="46">
        <f>SUMIFS('Chi Tiết Học Phí'!$L$4:$L$1023,'Chi Tiết Học Phí'!$A$4:$A$1023,A12)</f>
        <v/>
      </c>
      <c r="H12" s="46">
        <f>SUMIFS('Chi Tiết Học Phí'!$M$4:$M$1023,'Chi Tiết Học Phí'!$A$4:$A$1023,A12)-SUMIFS('Chi Tiết Học Phí'!$N$4:$N$1023,'Chi Tiết Học Phí'!$A$4:$A$1023,A12)</f>
        <v/>
      </c>
      <c r="I12" s="46">
        <f>SUMIFS('Chi Tiết Học Phí'!$O$4:$O$1023,'Chi Tiết Học Phí'!$A$4:$A$1023,A12)</f>
        <v/>
      </c>
      <c r="J12" s="46">
        <f>SUMIFS('Chi Tiết Học Phí'!$P$4:$P$1023,'Chi Tiết Học Phí'!$A$4:$A$1023,A12)</f>
        <v/>
      </c>
      <c r="K12" s="45">
        <f>IF(J12&gt;0,"Còn nợ","Đã hoàn thành")</f>
        <v/>
      </c>
    </row>
    <row r="13">
      <c r="A13" s="45" t="inlineStr">
        <is>
          <t>251230822</t>
        </is>
      </c>
      <c r="B13" s="45" t="inlineStr">
        <is>
          <t>NGUYỄN KHÁNH DOANH</t>
        </is>
      </c>
      <c r="C13" s="45" t="inlineStr">
        <is>
          <t>Công nghệ thông tin 1 K66</t>
        </is>
      </c>
      <c r="D13" s="46">
        <f>SUMIFS('Chi Tiết Học Phí'!$H$4:$H$1023,'Chi Tiết Học Phí'!$A$4:$A$1023,A13)</f>
        <v/>
      </c>
      <c r="E13" s="46">
        <f>SUMIFS('Chi Tiết Học Phí'!$J$4:$J$1023,'Chi Tiết Học Phí'!$A$4:$A$1023,A13)</f>
        <v/>
      </c>
      <c r="F13" s="46">
        <f>SUMIFS('Chi Tiết Học Phí'!$K$4:$K$1023,'Chi Tiết Học Phí'!$A$4:$A$1023,A13)</f>
        <v/>
      </c>
      <c r="G13" s="46">
        <f>SUMIFS('Chi Tiết Học Phí'!$L$4:$L$1023,'Chi Tiết Học Phí'!$A$4:$A$1023,A13)</f>
        <v/>
      </c>
      <c r="H13" s="46">
        <f>SUMIFS('Chi Tiết Học Phí'!$M$4:$M$1023,'Chi Tiết Học Phí'!$A$4:$A$1023,A13)-SUMIFS('Chi Tiết Học Phí'!$N$4:$N$1023,'Chi Tiết Học Phí'!$A$4:$A$1023,A13)</f>
        <v/>
      </c>
      <c r="I13" s="46">
        <f>SUMIFS('Chi Tiết Học Phí'!$O$4:$O$1023,'Chi Tiết Học Phí'!$A$4:$A$1023,A13)</f>
        <v/>
      </c>
      <c r="J13" s="46">
        <f>SUMIFS('Chi Tiết Học Phí'!$P$4:$P$1023,'Chi Tiết Học Phí'!$A$4:$A$1023,A13)</f>
        <v/>
      </c>
      <c r="K13" s="45">
        <f>IF(J13&gt;0,"Còn nợ","Đã hoàn thành")</f>
        <v/>
      </c>
    </row>
    <row r="14">
      <c r="A14" s="45" t="inlineStr">
        <is>
          <t>251210825</t>
        </is>
      </c>
      <c r="B14" s="45" t="inlineStr">
        <is>
          <t>ĐỖ QUANG DŨNG</t>
        </is>
      </c>
      <c r="C14" s="45" t="inlineStr">
        <is>
          <t>Công nghệ thông tin 1 K66</t>
        </is>
      </c>
      <c r="D14" s="46">
        <f>SUMIFS('Chi Tiết Học Phí'!$H$4:$H$1023,'Chi Tiết Học Phí'!$A$4:$A$1023,A14)</f>
        <v/>
      </c>
      <c r="E14" s="46">
        <f>SUMIFS('Chi Tiết Học Phí'!$J$4:$J$1023,'Chi Tiết Học Phí'!$A$4:$A$1023,A14)</f>
        <v/>
      </c>
      <c r="F14" s="46">
        <f>SUMIFS('Chi Tiết Học Phí'!$K$4:$K$1023,'Chi Tiết Học Phí'!$A$4:$A$1023,A14)</f>
        <v/>
      </c>
      <c r="G14" s="46">
        <f>SUMIFS('Chi Tiết Học Phí'!$L$4:$L$1023,'Chi Tiết Học Phí'!$A$4:$A$1023,A14)</f>
        <v/>
      </c>
      <c r="H14" s="46">
        <f>SUMIFS('Chi Tiết Học Phí'!$M$4:$M$1023,'Chi Tiết Học Phí'!$A$4:$A$1023,A14)-SUMIFS('Chi Tiết Học Phí'!$N$4:$N$1023,'Chi Tiết Học Phí'!$A$4:$A$1023,A14)</f>
        <v/>
      </c>
      <c r="I14" s="46">
        <f>SUMIFS('Chi Tiết Học Phí'!$O$4:$O$1023,'Chi Tiết Học Phí'!$A$4:$A$1023,A14)</f>
        <v/>
      </c>
      <c r="J14" s="46">
        <f>SUMIFS('Chi Tiết Học Phí'!$P$4:$P$1023,'Chi Tiết Học Phí'!$A$4:$A$1023,A14)</f>
        <v/>
      </c>
      <c r="K14" s="45">
        <f>IF(J14&gt;0,"Còn nợ","Đã hoàn thành")</f>
        <v/>
      </c>
    </row>
    <row r="15">
      <c r="A15" s="45" t="inlineStr">
        <is>
          <t>251210833</t>
        </is>
      </c>
      <c r="B15" s="45" t="inlineStr">
        <is>
          <t>NGUYỄN TÙNG DƯƠNG</t>
        </is>
      </c>
      <c r="C15" s="45" t="inlineStr">
        <is>
          <t>Công nghệ thông tin 1 K66</t>
        </is>
      </c>
      <c r="D15" s="46">
        <f>SUMIFS('Chi Tiết Học Phí'!$H$4:$H$1023,'Chi Tiết Học Phí'!$A$4:$A$1023,A15)</f>
        <v/>
      </c>
      <c r="E15" s="46">
        <f>SUMIFS('Chi Tiết Học Phí'!$J$4:$J$1023,'Chi Tiết Học Phí'!$A$4:$A$1023,A15)</f>
        <v/>
      </c>
      <c r="F15" s="46">
        <f>SUMIFS('Chi Tiết Học Phí'!$K$4:$K$1023,'Chi Tiết Học Phí'!$A$4:$A$1023,A15)</f>
        <v/>
      </c>
      <c r="G15" s="46">
        <f>SUMIFS('Chi Tiết Học Phí'!$L$4:$L$1023,'Chi Tiết Học Phí'!$A$4:$A$1023,A15)</f>
        <v/>
      </c>
      <c r="H15" s="46">
        <f>SUMIFS('Chi Tiết Học Phí'!$M$4:$M$1023,'Chi Tiết Học Phí'!$A$4:$A$1023,A15)-SUMIFS('Chi Tiết Học Phí'!$N$4:$N$1023,'Chi Tiết Học Phí'!$A$4:$A$1023,A15)</f>
        <v/>
      </c>
      <c r="I15" s="46">
        <f>SUMIFS('Chi Tiết Học Phí'!$O$4:$O$1023,'Chi Tiết Học Phí'!$A$4:$A$1023,A15)</f>
        <v/>
      </c>
      <c r="J15" s="46">
        <f>SUMIFS('Chi Tiết Học Phí'!$P$4:$P$1023,'Chi Tiết Học Phí'!$A$4:$A$1023,A15)</f>
        <v/>
      </c>
      <c r="K15" s="45">
        <f>IF(J15&gt;0,"Còn nợ","Đã hoàn thành")</f>
        <v/>
      </c>
    </row>
    <row r="16">
      <c r="A16" s="45" t="inlineStr">
        <is>
          <t>251210834</t>
        </is>
      </c>
      <c r="B16" s="45" t="inlineStr">
        <is>
          <t>NGUYỄN VŨ THÀNH DƯƠNG</t>
        </is>
      </c>
      <c r="C16" s="45" t="inlineStr">
        <is>
          <t>Công nghệ thông tin 1 K66</t>
        </is>
      </c>
      <c r="D16" s="46">
        <f>SUMIFS('Chi Tiết Học Phí'!$H$4:$H$1023,'Chi Tiết Học Phí'!$A$4:$A$1023,A16)</f>
        <v/>
      </c>
      <c r="E16" s="46">
        <f>SUMIFS('Chi Tiết Học Phí'!$J$4:$J$1023,'Chi Tiết Học Phí'!$A$4:$A$1023,A16)</f>
        <v/>
      </c>
      <c r="F16" s="46">
        <f>SUMIFS('Chi Tiết Học Phí'!$K$4:$K$1023,'Chi Tiết Học Phí'!$A$4:$A$1023,A16)</f>
        <v/>
      </c>
      <c r="G16" s="46">
        <f>SUMIFS('Chi Tiết Học Phí'!$L$4:$L$1023,'Chi Tiết Học Phí'!$A$4:$A$1023,A16)</f>
        <v/>
      </c>
      <c r="H16" s="46">
        <f>SUMIFS('Chi Tiết Học Phí'!$M$4:$M$1023,'Chi Tiết Học Phí'!$A$4:$A$1023,A16)-SUMIFS('Chi Tiết Học Phí'!$N$4:$N$1023,'Chi Tiết Học Phí'!$A$4:$A$1023,A16)</f>
        <v/>
      </c>
      <c r="I16" s="46">
        <f>SUMIFS('Chi Tiết Học Phí'!$O$4:$O$1023,'Chi Tiết Học Phí'!$A$4:$A$1023,A16)</f>
        <v/>
      </c>
      <c r="J16" s="46">
        <f>SUMIFS('Chi Tiết Học Phí'!$P$4:$P$1023,'Chi Tiết Học Phí'!$A$4:$A$1023,A16)</f>
        <v/>
      </c>
      <c r="K16" s="45">
        <f>IF(J16&gt;0,"Còn nợ","Đã hoàn thành")</f>
        <v/>
      </c>
    </row>
    <row r="17">
      <c r="A17" s="45" t="inlineStr">
        <is>
          <t>241224474</t>
        </is>
      </c>
      <c r="B17" s="45" t="inlineStr">
        <is>
          <t>Nguyễn Xuân Đại</t>
        </is>
      </c>
      <c r="C17" s="45" t="inlineStr">
        <is>
          <t>Công nghệ thông tin 1 K66</t>
        </is>
      </c>
      <c r="D17" s="46">
        <f>SUMIFS('Chi Tiết Học Phí'!$H$4:$H$1023,'Chi Tiết Học Phí'!$A$4:$A$1023,A17)</f>
        <v/>
      </c>
      <c r="E17" s="46">
        <f>SUMIFS('Chi Tiết Học Phí'!$J$4:$J$1023,'Chi Tiết Học Phí'!$A$4:$A$1023,A17)</f>
        <v/>
      </c>
      <c r="F17" s="46">
        <f>SUMIFS('Chi Tiết Học Phí'!$K$4:$K$1023,'Chi Tiết Học Phí'!$A$4:$A$1023,A17)</f>
        <v/>
      </c>
      <c r="G17" s="46">
        <f>SUMIFS('Chi Tiết Học Phí'!$L$4:$L$1023,'Chi Tiết Học Phí'!$A$4:$A$1023,A17)</f>
        <v/>
      </c>
      <c r="H17" s="46">
        <f>SUMIFS('Chi Tiết Học Phí'!$M$4:$M$1023,'Chi Tiết Học Phí'!$A$4:$A$1023,A17)-SUMIFS('Chi Tiết Học Phí'!$N$4:$N$1023,'Chi Tiết Học Phí'!$A$4:$A$1023,A17)</f>
        <v/>
      </c>
      <c r="I17" s="46">
        <f>SUMIFS('Chi Tiết Học Phí'!$O$4:$O$1023,'Chi Tiết Học Phí'!$A$4:$A$1023,A17)</f>
        <v/>
      </c>
      <c r="J17" s="46">
        <f>SUMIFS('Chi Tiết Học Phí'!$P$4:$P$1023,'Chi Tiết Học Phí'!$A$4:$A$1023,A17)</f>
        <v/>
      </c>
      <c r="K17" s="45">
        <f>IF(J17&gt;0,"Còn nợ","Đã hoàn thành")</f>
        <v/>
      </c>
    </row>
    <row r="18">
      <c r="A18" s="45" t="inlineStr">
        <is>
          <t>251230836</t>
        </is>
      </c>
      <c r="B18" s="45" t="inlineStr">
        <is>
          <t>CHỬ TIẾN ĐẠT</t>
        </is>
      </c>
      <c r="C18" s="45" t="inlineStr">
        <is>
          <t>Công nghệ thông tin 1 K66</t>
        </is>
      </c>
      <c r="D18" s="46">
        <f>SUMIFS('Chi Tiết Học Phí'!$H$4:$H$1023,'Chi Tiết Học Phí'!$A$4:$A$1023,A18)</f>
        <v/>
      </c>
      <c r="E18" s="46">
        <f>SUMIFS('Chi Tiết Học Phí'!$J$4:$J$1023,'Chi Tiết Học Phí'!$A$4:$A$1023,A18)</f>
        <v/>
      </c>
      <c r="F18" s="46">
        <f>SUMIFS('Chi Tiết Học Phí'!$K$4:$K$1023,'Chi Tiết Học Phí'!$A$4:$A$1023,A18)</f>
        <v/>
      </c>
      <c r="G18" s="46">
        <f>SUMIFS('Chi Tiết Học Phí'!$L$4:$L$1023,'Chi Tiết Học Phí'!$A$4:$A$1023,A18)</f>
        <v/>
      </c>
      <c r="H18" s="46">
        <f>SUMIFS('Chi Tiết Học Phí'!$M$4:$M$1023,'Chi Tiết Học Phí'!$A$4:$A$1023,A18)-SUMIFS('Chi Tiết Học Phí'!$N$4:$N$1023,'Chi Tiết Học Phí'!$A$4:$A$1023,A18)</f>
        <v/>
      </c>
      <c r="I18" s="46">
        <f>SUMIFS('Chi Tiết Học Phí'!$O$4:$O$1023,'Chi Tiết Học Phí'!$A$4:$A$1023,A18)</f>
        <v/>
      </c>
      <c r="J18" s="46">
        <f>SUMIFS('Chi Tiết Học Phí'!$P$4:$P$1023,'Chi Tiết Học Phí'!$A$4:$A$1023,A18)</f>
        <v/>
      </c>
      <c r="K18" s="45">
        <f>IF(J18&gt;0,"Còn nợ","Đã hoàn thành")</f>
        <v/>
      </c>
    </row>
    <row r="19">
      <c r="A19" s="45" t="inlineStr">
        <is>
          <t>251210848</t>
        </is>
      </c>
      <c r="B19" s="45" t="inlineStr">
        <is>
          <t>PHẠM ANH ĐỨC</t>
        </is>
      </c>
      <c r="C19" s="45" t="inlineStr">
        <is>
          <t>Công nghệ thông tin 1 K66</t>
        </is>
      </c>
      <c r="D19" s="46">
        <f>SUMIFS('Chi Tiết Học Phí'!$H$4:$H$1023,'Chi Tiết Học Phí'!$A$4:$A$1023,A19)</f>
        <v/>
      </c>
      <c r="E19" s="46">
        <f>SUMIFS('Chi Tiết Học Phí'!$J$4:$J$1023,'Chi Tiết Học Phí'!$A$4:$A$1023,A19)</f>
        <v/>
      </c>
      <c r="F19" s="46">
        <f>SUMIFS('Chi Tiết Học Phí'!$K$4:$K$1023,'Chi Tiết Học Phí'!$A$4:$A$1023,A19)</f>
        <v/>
      </c>
      <c r="G19" s="46">
        <f>SUMIFS('Chi Tiết Học Phí'!$L$4:$L$1023,'Chi Tiết Học Phí'!$A$4:$A$1023,A19)</f>
        <v/>
      </c>
      <c r="H19" s="46">
        <f>SUMIFS('Chi Tiết Học Phí'!$M$4:$M$1023,'Chi Tiết Học Phí'!$A$4:$A$1023,A19)-SUMIFS('Chi Tiết Học Phí'!$N$4:$N$1023,'Chi Tiết Học Phí'!$A$4:$A$1023,A19)</f>
        <v/>
      </c>
      <c r="I19" s="46">
        <f>SUMIFS('Chi Tiết Học Phí'!$O$4:$O$1023,'Chi Tiết Học Phí'!$A$4:$A$1023,A19)</f>
        <v/>
      </c>
      <c r="J19" s="46">
        <f>SUMIFS('Chi Tiết Học Phí'!$P$4:$P$1023,'Chi Tiết Học Phí'!$A$4:$A$1023,A19)</f>
        <v/>
      </c>
      <c r="K19" s="45">
        <f>IF(J19&gt;0,"Còn nợ","Đã hoàn thành")</f>
        <v/>
      </c>
    </row>
    <row r="20">
      <c r="A20" s="45" t="inlineStr">
        <is>
          <t>251210849</t>
        </is>
      </c>
      <c r="B20" s="45" t="inlineStr">
        <is>
          <t>PHẠM ANH ĐỨC</t>
        </is>
      </c>
      <c r="C20" s="45" t="inlineStr">
        <is>
          <t>Công nghệ thông tin 1 K66</t>
        </is>
      </c>
      <c r="D20" s="46">
        <f>SUMIFS('Chi Tiết Học Phí'!$H$4:$H$1023,'Chi Tiết Học Phí'!$A$4:$A$1023,A20)</f>
        <v/>
      </c>
      <c r="E20" s="46">
        <f>SUMIFS('Chi Tiết Học Phí'!$J$4:$J$1023,'Chi Tiết Học Phí'!$A$4:$A$1023,A20)</f>
        <v/>
      </c>
      <c r="F20" s="46">
        <f>SUMIFS('Chi Tiết Học Phí'!$K$4:$K$1023,'Chi Tiết Học Phí'!$A$4:$A$1023,A20)</f>
        <v/>
      </c>
      <c r="G20" s="46">
        <f>SUMIFS('Chi Tiết Học Phí'!$L$4:$L$1023,'Chi Tiết Học Phí'!$A$4:$A$1023,A20)</f>
        <v/>
      </c>
      <c r="H20" s="46">
        <f>SUMIFS('Chi Tiết Học Phí'!$M$4:$M$1023,'Chi Tiết Học Phí'!$A$4:$A$1023,A20)-SUMIFS('Chi Tiết Học Phí'!$N$4:$N$1023,'Chi Tiết Học Phí'!$A$4:$A$1023,A20)</f>
        <v/>
      </c>
      <c r="I20" s="46">
        <f>SUMIFS('Chi Tiết Học Phí'!$O$4:$O$1023,'Chi Tiết Học Phí'!$A$4:$A$1023,A20)</f>
        <v/>
      </c>
      <c r="J20" s="46">
        <f>SUMIFS('Chi Tiết Học Phí'!$P$4:$P$1023,'Chi Tiết Học Phí'!$A$4:$A$1023,A20)</f>
        <v/>
      </c>
      <c r="K20" s="45">
        <f>IF(J20&gt;0,"Còn nợ","Đã hoàn thành")</f>
        <v/>
      </c>
    </row>
    <row r="21">
      <c r="A21" s="45" t="inlineStr">
        <is>
          <t>251210852</t>
        </is>
      </c>
      <c r="B21" s="45" t="inlineStr">
        <is>
          <t>NGUYỄN PHÚC HẢI</t>
        </is>
      </c>
      <c r="C21" s="45" t="inlineStr">
        <is>
          <t>Công nghệ thông tin 1 K66</t>
        </is>
      </c>
      <c r="D21" s="46">
        <f>SUMIFS('Chi Tiết Học Phí'!$H$4:$H$1023,'Chi Tiết Học Phí'!$A$4:$A$1023,A21)</f>
        <v/>
      </c>
      <c r="E21" s="46">
        <f>SUMIFS('Chi Tiết Học Phí'!$J$4:$J$1023,'Chi Tiết Học Phí'!$A$4:$A$1023,A21)</f>
        <v/>
      </c>
      <c r="F21" s="46">
        <f>SUMIFS('Chi Tiết Học Phí'!$K$4:$K$1023,'Chi Tiết Học Phí'!$A$4:$A$1023,A21)</f>
        <v/>
      </c>
      <c r="G21" s="46">
        <f>SUMIFS('Chi Tiết Học Phí'!$L$4:$L$1023,'Chi Tiết Học Phí'!$A$4:$A$1023,A21)</f>
        <v/>
      </c>
      <c r="H21" s="46">
        <f>SUMIFS('Chi Tiết Học Phí'!$M$4:$M$1023,'Chi Tiết Học Phí'!$A$4:$A$1023,A21)-SUMIFS('Chi Tiết Học Phí'!$N$4:$N$1023,'Chi Tiết Học Phí'!$A$4:$A$1023,A21)</f>
        <v/>
      </c>
      <c r="I21" s="46">
        <f>SUMIFS('Chi Tiết Học Phí'!$O$4:$O$1023,'Chi Tiết Học Phí'!$A$4:$A$1023,A21)</f>
        <v/>
      </c>
      <c r="J21" s="46">
        <f>SUMIFS('Chi Tiết Học Phí'!$P$4:$P$1023,'Chi Tiết Học Phí'!$A$4:$A$1023,A21)</f>
        <v/>
      </c>
      <c r="K21" s="45">
        <f>IF(J21&gt;0,"Còn nợ","Đã hoàn thành")</f>
        <v/>
      </c>
    </row>
    <row r="22">
      <c r="A22" s="45" t="inlineStr">
        <is>
          <t>251230854</t>
        </is>
      </c>
      <c r="B22" s="45" t="inlineStr">
        <is>
          <t>NGUYỄN TIẾN HẢI</t>
        </is>
      </c>
      <c r="C22" s="45" t="inlineStr">
        <is>
          <t>Công nghệ thông tin 1 K66</t>
        </is>
      </c>
      <c r="D22" s="46">
        <f>SUMIFS('Chi Tiết Học Phí'!$H$4:$H$1023,'Chi Tiết Học Phí'!$A$4:$A$1023,A22)</f>
        <v/>
      </c>
      <c r="E22" s="46">
        <f>SUMIFS('Chi Tiết Học Phí'!$J$4:$J$1023,'Chi Tiết Học Phí'!$A$4:$A$1023,A22)</f>
        <v/>
      </c>
      <c r="F22" s="46">
        <f>SUMIFS('Chi Tiết Học Phí'!$K$4:$K$1023,'Chi Tiết Học Phí'!$A$4:$A$1023,A22)</f>
        <v/>
      </c>
      <c r="G22" s="46">
        <f>SUMIFS('Chi Tiết Học Phí'!$L$4:$L$1023,'Chi Tiết Học Phí'!$A$4:$A$1023,A22)</f>
        <v/>
      </c>
      <c r="H22" s="46">
        <f>SUMIFS('Chi Tiết Học Phí'!$M$4:$M$1023,'Chi Tiết Học Phí'!$A$4:$A$1023,A22)-SUMIFS('Chi Tiết Học Phí'!$N$4:$N$1023,'Chi Tiết Học Phí'!$A$4:$A$1023,A22)</f>
        <v/>
      </c>
      <c r="I22" s="46">
        <f>SUMIFS('Chi Tiết Học Phí'!$O$4:$O$1023,'Chi Tiết Học Phí'!$A$4:$A$1023,A22)</f>
        <v/>
      </c>
      <c r="J22" s="46">
        <f>SUMIFS('Chi Tiết Học Phí'!$P$4:$P$1023,'Chi Tiết Học Phí'!$A$4:$A$1023,A22)</f>
        <v/>
      </c>
      <c r="K22" s="45">
        <f>IF(J22&gt;0,"Còn nợ","Đã hoàn thành")</f>
        <v/>
      </c>
    </row>
    <row r="23">
      <c r="A23" s="45" t="inlineStr">
        <is>
          <t>251230856</t>
        </is>
      </c>
      <c r="B23" s="45" t="inlineStr">
        <is>
          <t>ĐÀM KHÁNH HIỀN</t>
        </is>
      </c>
      <c r="C23" s="45" t="inlineStr">
        <is>
          <t>Công nghệ thông tin 1 K66</t>
        </is>
      </c>
      <c r="D23" s="46">
        <f>SUMIFS('Chi Tiết Học Phí'!$H$4:$H$1023,'Chi Tiết Học Phí'!$A$4:$A$1023,A23)</f>
        <v/>
      </c>
      <c r="E23" s="46">
        <f>SUMIFS('Chi Tiết Học Phí'!$J$4:$J$1023,'Chi Tiết Học Phí'!$A$4:$A$1023,A23)</f>
        <v/>
      </c>
      <c r="F23" s="46">
        <f>SUMIFS('Chi Tiết Học Phí'!$K$4:$K$1023,'Chi Tiết Học Phí'!$A$4:$A$1023,A23)</f>
        <v/>
      </c>
      <c r="G23" s="46">
        <f>SUMIFS('Chi Tiết Học Phí'!$L$4:$L$1023,'Chi Tiết Học Phí'!$A$4:$A$1023,A23)</f>
        <v/>
      </c>
      <c r="H23" s="46">
        <f>SUMIFS('Chi Tiết Học Phí'!$M$4:$M$1023,'Chi Tiết Học Phí'!$A$4:$A$1023,A23)-SUMIFS('Chi Tiết Học Phí'!$N$4:$N$1023,'Chi Tiết Học Phí'!$A$4:$A$1023,A23)</f>
        <v/>
      </c>
      <c r="I23" s="46">
        <f>SUMIFS('Chi Tiết Học Phí'!$O$4:$O$1023,'Chi Tiết Học Phí'!$A$4:$A$1023,A23)</f>
        <v/>
      </c>
      <c r="J23" s="46">
        <f>SUMIFS('Chi Tiết Học Phí'!$P$4:$P$1023,'Chi Tiết Học Phí'!$A$4:$A$1023,A23)</f>
        <v/>
      </c>
      <c r="K23" s="45">
        <f>IF(J23&gt;0,"Còn nợ","Đã hoàn thành")</f>
        <v/>
      </c>
    </row>
    <row r="24">
      <c r="A24" s="45" t="inlineStr">
        <is>
          <t>251230858</t>
        </is>
      </c>
      <c r="B24" s="45" t="inlineStr">
        <is>
          <t>BÙI TIẾN HIỆP</t>
        </is>
      </c>
      <c r="C24" s="45" t="inlineStr">
        <is>
          <t>Công nghệ thông tin 1 K66</t>
        </is>
      </c>
      <c r="D24" s="46">
        <f>SUMIFS('Chi Tiết Học Phí'!$H$4:$H$1023,'Chi Tiết Học Phí'!$A$4:$A$1023,A24)</f>
        <v/>
      </c>
      <c r="E24" s="46">
        <f>SUMIFS('Chi Tiết Học Phí'!$J$4:$J$1023,'Chi Tiết Học Phí'!$A$4:$A$1023,A24)</f>
        <v/>
      </c>
      <c r="F24" s="46">
        <f>SUMIFS('Chi Tiết Học Phí'!$K$4:$K$1023,'Chi Tiết Học Phí'!$A$4:$A$1023,A24)</f>
        <v/>
      </c>
      <c r="G24" s="46">
        <f>SUMIFS('Chi Tiết Học Phí'!$L$4:$L$1023,'Chi Tiết Học Phí'!$A$4:$A$1023,A24)</f>
        <v/>
      </c>
      <c r="H24" s="46">
        <f>SUMIFS('Chi Tiết Học Phí'!$M$4:$M$1023,'Chi Tiết Học Phí'!$A$4:$A$1023,A24)-SUMIFS('Chi Tiết Học Phí'!$N$4:$N$1023,'Chi Tiết Học Phí'!$A$4:$A$1023,A24)</f>
        <v/>
      </c>
      <c r="I24" s="46">
        <f>SUMIFS('Chi Tiết Học Phí'!$O$4:$O$1023,'Chi Tiết Học Phí'!$A$4:$A$1023,A24)</f>
        <v/>
      </c>
      <c r="J24" s="46">
        <f>SUMIFS('Chi Tiết Học Phí'!$P$4:$P$1023,'Chi Tiết Học Phí'!$A$4:$A$1023,A24)</f>
        <v/>
      </c>
      <c r="K24" s="45">
        <f>IF(J24&gt;0,"Còn nợ","Đã hoàn thành")</f>
        <v/>
      </c>
    </row>
    <row r="25">
      <c r="A25" s="45" t="inlineStr">
        <is>
          <t>251230861</t>
        </is>
      </c>
      <c r="B25" s="45" t="inlineStr">
        <is>
          <t>NGUYỄN ANH HIẾU</t>
        </is>
      </c>
      <c r="C25" s="45" t="inlineStr">
        <is>
          <t>Công nghệ thông tin 1 K66</t>
        </is>
      </c>
      <c r="D25" s="46">
        <f>SUMIFS('Chi Tiết Học Phí'!$H$4:$H$1023,'Chi Tiết Học Phí'!$A$4:$A$1023,A25)</f>
        <v/>
      </c>
      <c r="E25" s="46">
        <f>SUMIFS('Chi Tiết Học Phí'!$J$4:$J$1023,'Chi Tiết Học Phí'!$A$4:$A$1023,A25)</f>
        <v/>
      </c>
      <c r="F25" s="46">
        <f>SUMIFS('Chi Tiết Học Phí'!$K$4:$K$1023,'Chi Tiết Học Phí'!$A$4:$A$1023,A25)</f>
        <v/>
      </c>
      <c r="G25" s="46">
        <f>SUMIFS('Chi Tiết Học Phí'!$L$4:$L$1023,'Chi Tiết Học Phí'!$A$4:$A$1023,A25)</f>
        <v/>
      </c>
      <c r="H25" s="46">
        <f>SUMIFS('Chi Tiết Học Phí'!$M$4:$M$1023,'Chi Tiết Học Phí'!$A$4:$A$1023,A25)-SUMIFS('Chi Tiết Học Phí'!$N$4:$N$1023,'Chi Tiết Học Phí'!$A$4:$A$1023,A25)</f>
        <v/>
      </c>
      <c r="I25" s="46">
        <f>SUMIFS('Chi Tiết Học Phí'!$O$4:$O$1023,'Chi Tiết Học Phí'!$A$4:$A$1023,A25)</f>
        <v/>
      </c>
      <c r="J25" s="46">
        <f>SUMIFS('Chi Tiết Học Phí'!$P$4:$P$1023,'Chi Tiết Học Phí'!$A$4:$A$1023,A25)</f>
        <v/>
      </c>
      <c r="K25" s="45">
        <f>IF(J25&gt;0,"Còn nợ","Đã hoàn thành")</f>
        <v/>
      </c>
    </row>
    <row r="26">
      <c r="A26" s="45" t="inlineStr">
        <is>
          <t>251230863</t>
        </is>
      </c>
      <c r="B26" s="45" t="inlineStr">
        <is>
          <t>TRẦN VĂN HIỆU</t>
        </is>
      </c>
      <c r="C26" s="45" t="inlineStr">
        <is>
          <t>Công nghệ thông tin 1 K66</t>
        </is>
      </c>
      <c r="D26" s="46">
        <f>SUMIFS('Chi Tiết Học Phí'!$H$4:$H$1023,'Chi Tiết Học Phí'!$A$4:$A$1023,A26)</f>
        <v/>
      </c>
      <c r="E26" s="46">
        <f>SUMIFS('Chi Tiết Học Phí'!$J$4:$J$1023,'Chi Tiết Học Phí'!$A$4:$A$1023,A26)</f>
        <v/>
      </c>
      <c r="F26" s="46">
        <f>SUMIFS('Chi Tiết Học Phí'!$K$4:$K$1023,'Chi Tiết Học Phí'!$A$4:$A$1023,A26)</f>
        <v/>
      </c>
      <c r="G26" s="46">
        <f>SUMIFS('Chi Tiết Học Phí'!$L$4:$L$1023,'Chi Tiết Học Phí'!$A$4:$A$1023,A26)</f>
        <v/>
      </c>
      <c r="H26" s="46">
        <f>SUMIFS('Chi Tiết Học Phí'!$M$4:$M$1023,'Chi Tiết Học Phí'!$A$4:$A$1023,A26)-SUMIFS('Chi Tiết Học Phí'!$N$4:$N$1023,'Chi Tiết Học Phí'!$A$4:$A$1023,A26)</f>
        <v/>
      </c>
      <c r="I26" s="46">
        <f>SUMIFS('Chi Tiết Học Phí'!$O$4:$O$1023,'Chi Tiết Học Phí'!$A$4:$A$1023,A26)</f>
        <v/>
      </c>
      <c r="J26" s="46">
        <f>SUMIFS('Chi Tiết Học Phí'!$P$4:$P$1023,'Chi Tiết Học Phí'!$A$4:$A$1023,A26)</f>
        <v/>
      </c>
      <c r="K26" s="45">
        <f>IF(J26&gt;0,"Còn nợ","Đã hoàn thành")</f>
        <v/>
      </c>
    </row>
    <row r="27">
      <c r="A27" s="45" t="inlineStr">
        <is>
          <t>251210866</t>
        </is>
      </c>
      <c r="B27" s="45" t="inlineStr">
        <is>
          <t>NGUYỄN VIỆT HOÀNG</t>
        </is>
      </c>
      <c r="C27" s="45" t="inlineStr">
        <is>
          <t>Công nghệ thông tin 1 K66</t>
        </is>
      </c>
      <c r="D27" s="46">
        <f>SUMIFS('Chi Tiết Học Phí'!$H$4:$H$1023,'Chi Tiết Học Phí'!$A$4:$A$1023,A27)</f>
        <v/>
      </c>
      <c r="E27" s="46">
        <f>SUMIFS('Chi Tiết Học Phí'!$J$4:$J$1023,'Chi Tiết Học Phí'!$A$4:$A$1023,A27)</f>
        <v/>
      </c>
      <c r="F27" s="46">
        <f>SUMIFS('Chi Tiết Học Phí'!$K$4:$K$1023,'Chi Tiết Học Phí'!$A$4:$A$1023,A27)</f>
        <v/>
      </c>
      <c r="G27" s="46">
        <f>SUMIFS('Chi Tiết Học Phí'!$L$4:$L$1023,'Chi Tiết Học Phí'!$A$4:$A$1023,A27)</f>
        <v/>
      </c>
      <c r="H27" s="46">
        <f>SUMIFS('Chi Tiết Học Phí'!$M$4:$M$1023,'Chi Tiết Học Phí'!$A$4:$A$1023,A27)-SUMIFS('Chi Tiết Học Phí'!$N$4:$N$1023,'Chi Tiết Học Phí'!$A$4:$A$1023,A27)</f>
        <v/>
      </c>
      <c r="I27" s="46">
        <f>SUMIFS('Chi Tiết Học Phí'!$O$4:$O$1023,'Chi Tiết Học Phí'!$A$4:$A$1023,A27)</f>
        <v/>
      </c>
      <c r="J27" s="46">
        <f>SUMIFS('Chi Tiết Học Phí'!$P$4:$P$1023,'Chi Tiết Học Phí'!$A$4:$A$1023,A27)</f>
        <v/>
      </c>
      <c r="K27" s="45">
        <f>IF(J27&gt;0,"Còn nợ","Đã hoàn thành")</f>
        <v/>
      </c>
    </row>
    <row r="28">
      <c r="A28" s="45" t="inlineStr">
        <is>
          <t>251210867</t>
        </is>
      </c>
      <c r="B28" s="45" t="inlineStr">
        <is>
          <t>TRẦN VIỆT HOÀNG</t>
        </is>
      </c>
      <c r="C28" s="45" t="inlineStr">
        <is>
          <t>Công nghệ thông tin 1 K66</t>
        </is>
      </c>
      <c r="D28" s="46">
        <f>SUMIFS('Chi Tiết Học Phí'!$H$4:$H$1023,'Chi Tiết Học Phí'!$A$4:$A$1023,A28)</f>
        <v/>
      </c>
      <c r="E28" s="46">
        <f>SUMIFS('Chi Tiết Học Phí'!$J$4:$J$1023,'Chi Tiết Học Phí'!$A$4:$A$1023,A28)</f>
        <v/>
      </c>
      <c r="F28" s="46">
        <f>SUMIFS('Chi Tiết Học Phí'!$K$4:$K$1023,'Chi Tiết Học Phí'!$A$4:$A$1023,A28)</f>
        <v/>
      </c>
      <c r="G28" s="46">
        <f>SUMIFS('Chi Tiết Học Phí'!$L$4:$L$1023,'Chi Tiết Học Phí'!$A$4:$A$1023,A28)</f>
        <v/>
      </c>
      <c r="H28" s="46">
        <f>SUMIFS('Chi Tiết Học Phí'!$M$4:$M$1023,'Chi Tiết Học Phí'!$A$4:$A$1023,A28)-SUMIFS('Chi Tiết Học Phí'!$N$4:$N$1023,'Chi Tiết Học Phí'!$A$4:$A$1023,A28)</f>
        <v/>
      </c>
      <c r="I28" s="46">
        <f>SUMIFS('Chi Tiết Học Phí'!$O$4:$O$1023,'Chi Tiết Học Phí'!$A$4:$A$1023,A28)</f>
        <v/>
      </c>
      <c r="J28" s="46">
        <f>SUMIFS('Chi Tiết Học Phí'!$P$4:$P$1023,'Chi Tiết Học Phí'!$A$4:$A$1023,A28)</f>
        <v/>
      </c>
      <c r="K28" s="45">
        <f>IF(J28&gt;0,"Còn nợ","Đã hoàn thành")</f>
        <v/>
      </c>
    </row>
    <row r="29">
      <c r="A29" s="45" t="inlineStr">
        <is>
          <t>251210876</t>
        </is>
      </c>
      <c r="B29" s="45" t="inlineStr">
        <is>
          <t>HOÀNG VĨNH HƯNG</t>
        </is>
      </c>
      <c r="C29" s="45" t="inlineStr">
        <is>
          <t>Công nghệ thông tin 1 K66</t>
        </is>
      </c>
      <c r="D29" s="46">
        <f>SUMIFS('Chi Tiết Học Phí'!$H$4:$H$1023,'Chi Tiết Học Phí'!$A$4:$A$1023,A29)</f>
        <v/>
      </c>
      <c r="E29" s="46">
        <f>SUMIFS('Chi Tiết Học Phí'!$J$4:$J$1023,'Chi Tiết Học Phí'!$A$4:$A$1023,A29)</f>
        <v/>
      </c>
      <c r="F29" s="46">
        <f>SUMIFS('Chi Tiết Học Phí'!$K$4:$K$1023,'Chi Tiết Học Phí'!$A$4:$A$1023,A29)</f>
        <v/>
      </c>
      <c r="G29" s="46">
        <f>SUMIFS('Chi Tiết Học Phí'!$L$4:$L$1023,'Chi Tiết Học Phí'!$A$4:$A$1023,A29)</f>
        <v/>
      </c>
      <c r="H29" s="46">
        <f>SUMIFS('Chi Tiết Học Phí'!$M$4:$M$1023,'Chi Tiết Học Phí'!$A$4:$A$1023,A29)-SUMIFS('Chi Tiết Học Phí'!$N$4:$N$1023,'Chi Tiết Học Phí'!$A$4:$A$1023,A29)</f>
        <v/>
      </c>
      <c r="I29" s="46">
        <f>SUMIFS('Chi Tiết Học Phí'!$O$4:$O$1023,'Chi Tiết Học Phí'!$A$4:$A$1023,A29)</f>
        <v/>
      </c>
      <c r="J29" s="46">
        <f>SUMIFS('Chi Tiết Học Phí'!$P$4:$P$1023,'Chi Tiết Học Phí'!$A$4:$A$1023,A29)</f>
        <v/>
      </c>
      <c r="K29" s="45">
        <f>IF(J29&gt;0,"Còn nợ","Đã hoàn thành")</f>
        <v/>
      </c>
    </row>
    <row r="30">
      <c r="A30" s="45" t="inlineStr">
        <is>
          <t>251210881</t>
        </is>
      </c>
      <c r="B30" s="45" t="inlineStr">
        <is>
          <t>CHU THỊ HƯƠNG</t>
        </is>
      </c>
      <c r="C30" s="45" t="inlineStr">
        <is>
          <t>Công nghệ thông tin 1 K66</t>
        </is>
      </c>
      <c r="D30" s="46">
        <f>SUMIFS('Chi Tiết Học Phí'!$H$4:$H$1023,'Chi Tiết Học Phí'!$A$4:$A$1023,A30)</f>
        <v/>
      </c>
      <c r="E30" s="46">
        <f>SUMIFS('Chi Tiết Học Phí'!$J$4:$J$1023,'Chi Tiết Học Phí'!$A$4:$A$1023,A30)</f>
        <v/>
      </c>
      <c r="F30" s="46">
        <f>SUMIFS('Chi Tiết Học Phí'!$K$4:$K$1023,'Chi Tiết Học Phí'!$A$4:$A$1023,A30)</f>
        <v/>
      </c>
      <c r="G30" s="46">
        <f>SUMIFS('Chi Tiết Học Phí'!$L$4:$L$1023,'Chi Tiết Học Phí'!$A$4:$A$1023,A30)</f>
        <v/>
      </c>
      <c r="H30" s="46">
        <f>SUMIFS('Chi Tiết Học Phí'!$M$4:$M$1023,'Chi Tiết Học Phí'!$A$4:$A$1023,A30)-SUMIFS('Chi Tiết Học Phí'!$N$4:$N$1023,'Chi Tiết Học Phí'!$A$4:$A$1023,A30)</f>
        <v/>
      </c>
      <c r="I30" s="46">
        <f>SUMIFS('Chi Tiết Học Phí'!$O$4:$O$1023,'Chi Tiết Học Phí'!$A$4:$A$1023,A30)</f>
        <v/>
      </c>
      <c r="J30" s="46">
        <f>SUMIFS('Chi Tiết Học Phí'!$P$4:$P$1023,'Chi Tiết Học Phí'!$A$4:$A$1023,A30)</f>
        <v/>
      </c>
      <c r="K30" s="45">
        <f>IF(J30&gt;0,"Còn nợ","Đã hoàn thành")</f>
        <v/>
      </c>
    </row>
    <row r="31">
      <c r="A31" s="45" t="inlineStr">
        <is>
          <t>251230871</t>
        </is>
      </c>
      <c r="B31" s="45" t="inlineStr">
        <is>
          <t>NGUYỄN ĐÌNH HUY</t>
        </is>
      </c>
      <c r="C31" s="45" t="inlineStr">
        <is>
          <t>Công nghệ thông tin 1 K66</t>
        </is>
      </c>
      <c r="D31" s="46">
        <f>SUMIFS('Chi Tiết Học Phí'!$H$4:$H$1023,'Chi Tiết Học Phí'!$A$4:$A$1023,A31)</f>
        <v/>
      </c>
      <c r="E31" s="46">
        <f>SUMIFS('Chi Tiết Học Phí'!$J$4:$J$1023,'Chi Tiết Học Phí'!$A$4:$A$1023,A31)</f>
        <v/>
      </c>
      <c r="F31" s="46">
        <f>SUMIFS('Chi Tiết Học Phí'!$K$4:$K$1023,'Chi Tiết Học Phí'!$A$4:$A$1023,A31)</f>
        <v/>
      </c>
      <c r="G31" s="46">
        <f>SUMIFS('Chi Tiết Học Phí'!$L$4:$L$1023,'Chi Tiết Học Phí'!$A$4:$A$1023,A31)</f>
        <v/>
      </c>
      <c r="H31" s="46">
        <f>SUMIFS('Chi Tiết Học Phí'!$M$4:$M$1023,'Chi Tiết Học Phí'!$A$4:$A$1023,A31)-SUMIFS('Chi Tiết Học Phí'!$N$4:$N$1023,'Chi Tiết Học Phí'!$A$4:$A$1023,A31)</f>
        <v/>
      </c>
      <c r="I31" s="46">
        <f>SUMIFS('Chi Tiết Học Phí'!$O$4:$O$1023,'Chi Tiết Học Phí'!$A$4:$A$1023,A31)</f>
        <v/>
      </c>
      <c r="J31" s="46">
        <f>SUMIFS('Chi Tiết Học Phí'!$P$4:$P$1023,'Chi Tiết Học Phí'!$A$4:$A$1023,A31)</f>
        <v/>
      </c>
      <c r="K31" s="45">
        <f>IF(J31&gt;0,"Còn nợ","Đã hoàn thành")</f>
        <v/>
      </c>
    </row>
    <row r="32">
      <c r="A32" s="45" t="inlineStr">
        <is>
          <t>251230872</t>
        </is>
      </c>
      <c r="B32" s="45" t="inlineStr">
        <is>
          <t>PHẠM GIA HUY</t>
        </is>
      </c>
      <c r="C32" s="45" t="inlineStr">
        <is>
          <t>Công nghệ thông tin 1 K66</t>
        </is>
      </c>
      <c r="D32" s="46">
        <f>SUMIFS('Chi Tiết Học Phí'!$H$4:$H$1023,'Chi Tiết Học Phí'!$A$4:$A$1023,A32)</f>
        <v/>
      </c>
      <c r="E32" s="46">
        <f>SUMIFS('Chi Tiết Học Phí'!$J$4:$J$1023,'Chi Tiết Học Phí'!$A$4:$A$1023,A32)</f>
        <v/>
      </c>
      <c r="F32" s="46">
        <f>SUMIFS('Chi Tiết Học Phí'!$K$4:$K$1023,'Chi Tiết Học Phí'!$A$4:$A$1023,A32)</f>
        <v/>
      </c>
      <c r="G32" s="46">
        <f>SUMIFS('Chi Tiết Học Phí'!$L$4:$L$1023,'Chi Tiết Học Phí'!$A$4:$A$1023,A32)</f>
        <v/>
      </c>
      <c r="H32" s="46">
        <f>SUMIFS('Chi Tiết Học Phí'!$M$4:$M$1023,'Chi Tiết Học Phí'!$A$4:$A$1023,A32)-SUMIFS('Chi Tiết Học Phí'!$N$4:$N$1023,'Chi Tiết Học Phí'!$A$4:$A$1023,A32)</f>
        <v/>
      </c>
      <c r="I32" s="46">
        <f>SUMIFS('Chi Tiết Học Phí'!$O$4:$O$1023,'Chi Tiết Học Phí'!$A$4:$A$1023,A32)</f>
        <v/>
      </c>
      <c r="J32" s="46">
        <f>SUMIFS('Chi Tiết Học Phí'!$P$4:$P$1023,'Chi Tiết Học Phí'!$A$4:$A$1023,A32)</f>
        <v/>
      </c>
      <c r="K32" s="45">
        <f>IF(J32&gt;0,"Còn nợ","Đã hoàn thành")</f>
        <v/>
      </c>
    </row>
    <row r="33">
      <c r="A33" s="45" t="inlineStr">
        <is>
          <t>251230874</t>
        </is>
      </c>
      <c r="B33" s="45" t="inlineStr">
        <is>
          <t>VŨ TĂNG GIA HUY</t>
        </is>
      </c>
      <c r="C33" s="45" t="inlineStr">
        <is>
          <t>Công nghệ thông tin 1 K66</t>
        </is>
      </c>
      <c r="D33" s="46">
        <f>SUMIFS('Chi Tiết Học Phí'!$H$4:$H$1023,'Chi Tiết Học Phí'!$A$4:$A$1023,A33)</f>
        <v/>
      </c>
      <c r="E33" s="46">
        <f>SUMIFS('Chi Tiết Học Phí'!$J$4:$J$1023,'Chi Tiết Học Phí'!$A$4:$A$1023,A33)</f>
        <v/>
      </c>
      <c r="F33" s="46">
        <f>SUMIFS('Chi Tiết Học Phí'!$K$4:$K$1023,'Chi Tiết Học Phí'!$A$4:$A$1023,A33)</f>
        <v/>
      </c>
      <c r="G33" s="46">
        <f>SUMIFS('Chi Tiết Học Phí'!$L$4:$L$1023,'Chi Tiết Học Phí'!$A$4:$A$1023,A33)</f>
        <v/>
      </c>
      <c r="H33" s="46">
        <f>SUMIFS('Chi Tiết Học Phí'!$M$4:$M$1023,'Chi Tiết Học Phí'!$A$4:$A$1023,A33)-SUMIFS('Chi Tiết Học Phí'!$N$4:$N$1023,'Chi Tiết Học Phí'!$A$4:$A$1023,A33)</f>
        <v/>
      </c>
      <c r="I33" s="46">
        <f>SUMIFS('Chi Tiết Học Phí'!$O$4:$O$1023,'Chi Tiết Học Phí'!$A$4:$A$1023,A33)</f>
        <v/>
      </c>
      <c r="J33" s="46">
        <f>SUMIFS('Chi Tiết Học Phí'!$P$4:$P$1023,'Chi Tiết Học Phí'!$A$4:$A$1023,A33)</f>
        <v/>
      </c>
      <c r="K33" s="45">
        <f>IF(J33&gt;0,"Còn nợ","Đã hoàn thành")</f>
        <v/>
      </c>
    </row>
    <row r="34">
      <c r="A34" s="45" t="inlineStr">
        <is>
          <t>251230883</t>
        </is>
      </c>
      <c r="B34" s="45" t="inlineStr">
        <is>
          <t>TRẦN QUANG KHẢI</t>
        </is>
      </c>
      <c r="C34" s="45" t="inlineStr">
        <is>
          <t>Công nghệ thông tin 1 K66</t>
        </is>
      </c>
      <c r="D34" s="46">
        <f>SUMIFS('Chi Tiết Học Phí'!$H$4:$H$1023,'Chi Tiết Học Phí'!$A$4:$A$1023,A34)</f>
        <v/>
      </c>
      <c r="E34" s="46">
        <f>SUMIFS('Chi Tiết Học Phí'!$J$4:$J$1023,'Chi Tiết Học Phí'!$A$4:$A$1023,A34)</f>
        <v/>
      </c>
      <c r="F34" s="46">
        <f>SUMIFS('Chi Tiết Học Phí'!$K$4:$K$1023,'Chi Tiết Học Phí'!$A$4:$A$1023,A34)</f>
        <v/>
      </c>
      <c r="G34" s="46">
        <f>SUMIFS('Chi Tiết Học Phí'!$L$4:$L$1023,'Chi Tiết Học Phí'!$A$4:$A$1023,A34)</f>
        <v/>
      </c>
      <c r="H34" s="46">
        <f>SUMIFS('Chi Tiết Học Phí'!$M$4:$M$1023,'Chi Tiết Học Phí'!$A$4:$A$1023,A34)-SUMIFS('Chi Tiết Học Phí'!$N$4:$N$1023,'Chi Tiết Học Phí'!$A$4:$A$1023,A34)</f>
        <v/>
      </c>
      <c r="I34" s="46">
        <f>SUMIFS('Chi Tiết Học Phí'!$O$4:$O$1023,'Chi Tiết Học Phí'!$A$4:$A$1023,A34)</f>
        <v/>
      </c>
      <c r="J34" s="46">
        <f>SUMIFS('Chi Tiết Học Phí'!$P$4:$P$1023,'Chi Tiết Học Phí'!$A$4:$A$1023,A34)</f>
        <v/>
      </c>
      <c r="K34" s="45">
        <f>IF(J34&gt;0,"Còn nợ","Đã hoàn thành")</f>
        <v/>
      </c>
    </row>
    <row r="35">
      <c r="A35" s="45" t="inlineStr">
        <is>
          <t>251230886</t>
        </is>
      </c>
      <c r="B35" s="45" t="inlineStr">
        <is>
          <t>NGUYỄN LƯU GIA KHÁNH</t>
        </is>
      </c>
      <c r="C35" s="45" t="inlineStr">
        <is>
          <t>Công nghệ thông tin 1 K66</t>
        </is>
      </c>
      <c r="D35" s="46">
        <f>SUMIFS('Chi Tiết Học Phí'!$H$4:$H$1023,'Chi Tiết Học Phí'!$A$4:$A$1023,A35)</f>
        <v/>
      </c>
      <c r="E35" s="46">
        <f>SUMIFS('Chi Tiết Học Phí'!$J$4:$J$1023,'Chi Tiết Học Phí'!$A$4:$A$1023,A35)</f>
        <v/>
      </c>
      <c r="F35" s="46">
        <f>SUMIFS('Chi Tiết Học Phí'!$K$4:$K$1023,'Chi Tiết Học Phí'!$A$4:$A$1023,A35)</f>
        <v/>
      </c>
      <c r="G35" s="46">
        <f>SUMIFS('Chi Tiết Học Phí'!$L$4:$L$1023,'Chi Tiết Học Phí'!$A$4:$A$1023,A35)</f>
        <v/>
      </c>
      <c r="H35" s="46">
        <f>SUMIFS('Chi Tiết Học Phí'!$M$4:$M$1023,'Chi Tiết Học Phí'!$A$4:$A$1023,A35)-SUMIFS('Chi Tiết Học Phí'!$N$4:$N$1023,'Chi Tiết Học Phí'!$A$4:$A$1023,A35)</f>
        <v/>
      </c>
      <c r="I35" s="46">
        <f>SUMIFS('Chi Tiết Học Phí'!$O$4:$O$1023,'Chi Tiết Học Phí'!$A$4:$A$1023,A35)</f>
        <v/>
      </c>
      <c r="J35" s="46">
        <f>SUMIFS('Chi Tiết Học Phí'!$P$4:$P$1023,'Chi Tiết Học Phí'!$A$4:$A$1023,A35)</f>
        <v/>
      </c>
      <c r="K35" s="45">
        <f>IF(J35&gt;0,"Còn nợ","Đã hoàn thành")</f>
        <v/>
      </c>
    </row>
    <row r="36">
      <c r="A36" s="45" t="inlineStr">
        <is>
          <t>251230889</t>
        </is>
      </c>
      <c r="B36" s="45" t="inlineStr">
        <is>
          <t>PHẠM GIA KHÁNH</t>
        </is>
      </c>
      <c r="C36" s="45" t="inlineStr">
        <is>
          <t>Công nghệ thông tin 1 K66</t>
        </is>
      </c>
      <c r="D36" s="46">
        <f>SUMIFS('Chi Tiết Học Phí'!$H$4:$H$1023,'Chi Tiết Học Phí'!$A$4:$A$1023,A36)</f>
        <v/>
      </c>
      <c r="E36" s="46">
        <f>SUMIFS('Chi Tiết Học Phí'!$J$4:$J$1023,'Chi Tiết Học Phí'!$A$4:$A$1023,A36)</f>
        <v/>
      </c>
      <c r="F36" s="46">
        <f>SUMIFS('Chi Tiết Học Phí'!$K$4:$K$1023,'Chi Tiết Học Phí'!$A$4:$A$1023,A36)</f>
        <v/>
      </c>
      <c r="G36" s="46">
        <f>SUMIFS('Chi Tiết Học Phí'!$L$4:$L$1023,'Chi Tiết Học Phí'!$A$4:$A$1023,A36)</f>
        <v/>
      </c>
      <c r="H36" s="46">
        <f>SUMIFS('Chi Tiết Học Phí'!$M$4:$M$1023,'Chi Tiết Học Phí'!$A$4:$A$1023,A36)-SUMIFS('Chi Tiết Học Phí'!$N$4:$N$1023,'Chi Tiết Học Phí'!$A$4:$A$1023,A36)</f>
        <v/>
      </c>
      <c r="I36" s="46">
        <f>SUMIFS('Chi Tiết Học Phí'!$O$4:$O$1023,'Chi Tiết Học Phí'!$A$4:$A$1023,A36)</f>
        <v/>
      </c>
      <c r="J36" s="46">
        <f>SUMIFS('Chi Tiết Học Phí'!$P$4:$P$1023,'Chi Tiết Học Phí'!$A$4:$A$1023,A36)</f>
        <v/>
      </c>
      <c r="K36" s="45">
        <f>IF(J36&gt;0,"Còn nợ","Đã hoàn thành")</f>
        <v/>
      </c>
    </row>
    <row r="37">
      <c r="A37" s="45" t="inlineStr">
        <is>
          <t>251230891</t>
        </is>
      </c>
      <c r="B37" s="45" t="inlineStr">
        <is>
          <t>TRẦN DUY KHÁNH</t>
        </is>
      </c>
      <c r="C37" s="45" t="inlineStr">
        <is>
          <t>Công nghệ thông tin 1 K66</t>
        </is>
      </c>
      <c r="D37" s="46">
        <f>SUMIFS('Chi Tiết Học Phí'!$H$4:$H$1023,'Chi Tiết Học Phí'!$A$4:$A$1023,A37)</f>
        <v/>
      </c>
      <c r="E37" s="46">
        <f>SUMIFS('Chi Tiết Học Phí'!$J$4:$J$1023,'Chi Tiết Học Phí'!$A$4:$A$1023,A37)</f>
        <v/>
      </c>
      <c r="F37" s="46">
        <f>SUMIFS('Chi Tiết Học Phí'!$K$4:$K$1023,'Chi Tiết Học Phí'!$A$4:$A$1023,A37)</f>
        <v/>
      </c>
      <c r="G37" s="46">
        <f>SUMIFS('Chi Tiết Học Phí'!$L$4:$L$1023,'Chi Tiết Học Phí'!$A$4:$A$1023,A37)</f>
        <v/>
      </c>
      <c r="H37" s="46">
        <f>SUMIFS('Chi Tiết Học Phí'!$M$4:$M$1023,'Chi Tiết Học Phí'!$A$4:$A$1023,A37)-SUMIFS('Chi Tiết Học Phí'!$N$4:$N$1023,'Chi Tiết Học Phí'!$A$4:$A$1023,A37)</f>
        <v/>
      </c>
      <c r="I37" s="46">
        <f>SUMIFS('Chi Tiết Học Phí'!$O$4:$O$1023,'Chi Tiết Học Phí'!$A$4:$A$1023,A37)</f>
        <v/>
      </c>
      <c r="J37" s="46">
        <f>SUMIFS('Chi Tiết Học Phí'!$P$4:$P$1023,'Chi Tiết Học Phí'!$A$4:$A$1023,A37)</f>
        <v/>
      </c>
      <c r="K37" s="45">
        <f>IF(J37&gt;0,"Còn nợ","Đã hoàn thành")</f>
        <v/>
      </c>
    </row>
    <row r="38">
      <c r="A38" s="45" t="inlineStr">
        <is>
          <t>251230898</t>
        </is>
      </c>
      <c r="B38" s="45" t="inlineStr">
        <is>
          <t>NGUYỄN THANH LÂM</t>
        </is>
      </c>
      <c r="C38" s="45" t="inlineStr">
        <is>
          <t>Công nghệ thông tin 1 K66</t>
        </is>
      </c>
      <c r="D38" s="46">
        <f>SUMIFS('Chi Tiết Học Phí'!$H$4:$H$1023,'Chi Tiết Học Phí'!$A$4:$A$1023,A38)</f>
        <v/>
      </c>
      <c r="E38" s="46">
        <f>SUMIFS('Chi Tiết Học Phí'!$J$4:$J$1023,'Chi Tiết Học Phí'!$A$4:$A$1023,A38)</f>
        <v/>
      </c>
      <c r="F38" s="46">
        <f>SUMIFS('Chi Tiết Học Phí'!$K$4:$K$1023,'Chi Tiết Học Phí'!$A$4:$A$1023,A38)</f>
        <v/>
      </c>
      <c r="G38" s="46">
        <f>SUMIFS('Chi Tiết Học Phí'!$L$4:$L$1023,'Chi Tiết Học Phí'!$A$4:$A$1023,A38)</f>
        <v/>
      </c>
      <c r="H38" s="46">
        <f>SUMIFS('Chi Tiết Học Phí'!$M$4:$M$1023,'Chi Tiết Học Phí'!$A$4:$A$1023,A38)-SUMIFS('Chi Tiết Học Phí'!$N$4:$N$1023,'Chi Tiết Học Phí'!$A$4:$A$1023,A38)</f>
        <v/>
      </c>
      <c r="I38" s="46">
        <f>SUMIFS('Chi Tiết Học Phí'!$O$4:$O$1023,'Chi Tiết Học Phí'!$A$4:$A$1023,A38)</f>
        <v/>
      </c>
      <c r="J38" s="46">
        <f>SUMIFS('Chi Tiết Học Phí'!$P$4:$P$1023,'Chi Tiết Học Phí'!$A$4:$A$1023,A38)</f>
        <v/>
      </c>
      <c r="K38" s="45">
        <f>IF(J38&gt;0,"Còn nợ","Đã hoàn thành")</f>
        <v/>
      </c>
    </row>
    <row r="39">
      <c r="A39" s="45" t="inlineStr">
        <is>
          <t>251210899</t>
        </is>
      </c>
      <c r="B39" s="45" t="inlineStr">
        <is>
          <t>NGUYỄN TÙNG LÂM</t>
        </is>
      </c>
      <c r="C39" s="45" t="inlineStr">
        <is>
          <t>Công nghệ thông tin 1 K66</t>
        </is>
      </c>
      <c r="D39" s="46">
        <f>SUMIFS('Chi Tiết Học Phí'!$H$4:$H$1023,'Chi Tiết Học Phí'!$A$4:$A$1023,A39)</f>
        <v/>
      </c>
      <c r="E39" s="46">
        <f>SUMIFS('Chi Tiết Học Phí'!$J$4:$J$1023,'Chi Tiết Học Phí'!$A$4:$A$1023,A39)</f>
        <v/>
      </c>
      <c r="F39" s="46">
        <f>SUMIFS('Chi Tiết Học Phí'!$K$4:$K$1023,'Chi Tiết Học Phí'!$A$4:$A$1023,A39)</f>
        <v/>
      </c>
      <c r="G39" s="46">
        <f>SUMIFS('Chi Tiết Học Phí'!$L$4:$L$1023,'Chi Tiết Học Phí'!$A$4:$A$1023,A39)</f>
        <v/>
      </c>
      <c r="H39" s="46">
        <f>SUMIFS('Chi Tiết Học Phí'!$M$4:$M$1023,'Chi Tiết Học Phí'!$A$4:$A$1023,A39)-SUMIFS('Chi Tiết Học Phí'!$N$4:$N$1023,'Chi Tiết Học Phí'!$A$4:$A$1023,A39)</f>
        <v/>
      </c>
      <c r="I39" s="46">
        <f>SUMIFS('Chi Tiết Học Phí'!$O$4:$O$1023,'Chi Tiết Học Phí'!$A$4:$A$1023,A39)</f>
        <v/>
      </c>
      <c r="J39" s="46">
        <f>SUMIFS('Chi Tiết Học Phí'!$P$4:$P$1023,'Chi Tiết Học Phí'!$A$4:$A$1023,A39)</f>
        <v/>
      </c>
      <c r="K39" s="45">
        <f>IF(J39&gt;0,"Còn nợ","Đã hoàn thành")</f>
        <v/>
      </c>
    </row>
    <row r="40">
      <c r="A40" s="45" t="inlineStr">
        <is>
          <t>251230901</t>
        </is>
      </c>
      <c r="B40" s="45" t="inlineStr">
        <is>
          <t>NGUYỄN VŨ LÂM</t>
        </is>
      </c>
      <c r="C40" s="45" t="inlineStr">
        <is>
          <t>Công nghệ thông tin 1 K66</t>
        </is>
      </c>
      <c r="D40" s="46">
        <f>SUMIFS('Chi Tiết Học Phí'!$H$4:$H$1023,'Chi Tiết Học Phí'!$A$4:$A$1023,A40)</f>
        <v/>
      </c>
      <c r="E40" s="46">
        <f>SUMIFS('Chi Tiết Học Phí'!$J$4:$J$1023,'Chi Tiết Học Phí'!$A$4:$A$1023,A40)</f>
        <v/>
      </c>
      <c r="F40" s="46">
        <f>SUMIFS('Chi Tiết Học Phí'!$K$4:$K$1023,'Chi Tiết Học Phí'!$A$4:$A$1023,A40)</f>
        <v/>
      </c>
      <c r="G40" s="46">
        <f>SUMIFS('Chi Tiết Học Phí'!$L$4:$L$1023,'Chi Tiết Học Phí'!$A$4:$A$1023,A40)</f>
        <v/>
      </c>
      <c r="H40" s="46">
        <f>SUMIFS('Chi Tiết Học Phí'!$M$4:$M$1023,'Chi Tiết Học Phí'!$A$4:$A$1023,A40)-SUMIFS('Chi Tiết Học Phí'!$N$4:$N$1023,'Chi Tiết Học Phí'!$A$4:$A$1023,A40)</f>
        <v/>
      </c>
      <c r="I40" s="46">
        <f>SUMIFS('Chi Tiết Học Phí'!$O$4:$O$1023,'Chi Tiết Học Phí'!$A$4:$A$1023,A40)</f>
        <v/>
      </c>
      <c r="J40" s="46">
        <f>SUMIFS('Chi Tiết Học Phí'!$P$4:$P$1023,'Chi Tiết Học Phí'!$A$4:$A$1023,A40)</f>
        <v/>
      </c>
      <c r="K40" s="45">
        <f>IF(J40&gt;0,"Còn nợ","Đã hoàn thành")</f>
        <v/>
      </c>
    </row>
    <row r="41">
      <c r="A41" s="45" t="inlineStr">
        <is>
          <t>251230911</t>
        </is>
      </c>
      <c r="B41" s="45" t="inlineStr">
        <is>
          <t>BÙI CHÍ LỘC</t>
        </is>
      </c>
      <c r="C41" s="45" t="inlineStr">
        <is>
          <t>Công nghệ thông tin 1 K66</t>
        </is>
      </c>
      <c r="D41" s="46">
        <f>SUMIFS('Chi Tiết Học Phí'!$H$4:$H$1023,'Chi Tiết Học Phí'!$A$4:$A$1023,A41)</f>
        <v/>
      </c>
      <c r="E41" s="46">
        <f>SUMIFS('Chi Tiết Học Phí'!$J$4:$J$1023,'Chi Tiết Học Phí'!$A$4:$A$1023,A41)</f>
        <v/>
      </c>
      <c r="F41" s="46">
        <f>SUMIFS('Chi Tiết Học Phí'!$K$4:$K$1023,'Chi Tiết Học Phí'!$A$4:$A$1023,A41)</f>
        <v/>
      </c>
      <c r="G41" s="46">
        <f>SUMIFS('Chi Tiết Học Phí'!$L$4:$L$1023,'Chi Tiết Học Phí'!$A$4:$A$1023,A41)</f>
        <v/>
      </c>
      <c r="H41" s="46">
        <f>SUMIFS('Chi Tiết Học Phí'!$M$4:$M$1023,'Chi Tiết Học Phí'!$A$4:$A$1023,A41)-SUMIFS('Chi Tiết Học Phí'!$N$4:$N$1023,'Chi Tiết Học Phí'!$A$4:$A$1023,A41)</f>
        <v/>
      </c>
      <c r="I41" s="46">
        <f>SUMIFS('Chi Tiết Học Phí'!$O$4:$O$1023,'Chi Tiết Học Phí'!$A$4:$A$1023,A41)</f>
        <v/>
      </c>
      <c r="J41" s="46">
        <f>SUMIFS('Chi Tiết Học Phí'!$P$4:$P$1023,'Chi Tiết Học Phí'!$A$4:$A$1023,A41)</f>
        <v/>
      </c>
      <c r="K41" s="45">
        <f>IF(J41&gt;0,"Còn nợ","Đã hoàn thành")</f>
        <v/>
      </c>
    </row>
    <row r="42">
      <c r="A42" s="45" t="inlineStr">
        <is>
          <t>251230910</t>
        </is>
      </c>
      <c r="B42" s="45" t="inlineStr">
        <is>
          <t>TRẦN ĐỨC LONG</t>
        </is>
      </c>
      <c r="C42" s="45" t="inlineStr">
        <is>
          <t>Công nghệ thông tin 1 K66</t>
        </is>
      </c>
      <c r="D42" s="46">
        <f>SUMIFS('Chi Tiết Học Phí'!$H$4:$H$1023,'Chi Tiết Học Phí'!$A$4:$A$1023,A42)</f>
        <v/>
      </c>
      <c r="E42" s="46">
        <f>SUMIFS('Chi Tiết Học Phí'!$J$4:$J$1023,'Chi Tiết Học Phí'!$A$4:$A$1023,A42)</f>
        <v/>
      </c>
      <c r="F42" s="46">
        <f>SUMIFS('Chi Tiết Học Phí'!$K$4:$K$1023,'Chi Tiết Học Phí'!$A$4:$A$1023,A42)</f>
        <v/>
      </c>
      <c r="G42" s="46">
        <f>SUMIFS('Chi Tiết Học Phí'!$L$4:$L$1023,'Chi Tiết Học Phí'!$A$4:$A$1023,A42)</f>
        <v/>
      </c>
      <c r="H42" s="46">
        <f>SUMIFS('Chi Tiết Học Phí'!$M$4:$M$1023,'Chi Tiết Học Phí'!$A$4:$A$1023,A42)-SUMIFS('Chi Tiết Học Phí'!$N$4:$N$1023,'Chi Tiết Học Phí'!$A$4:$A$1023,A42)</f>
        <v/>
      </c>
      <c r="I42" s="46">
        <f>SUMIFS('Chi Tiết Học Phí'!$O$4:$O$1023,'Chi Tiết Học Phí'!$A$4:$A$1023,A42)</f>
        <v/>
      </c>
      <c r="J42" s="46">
        <f>SUMIFS('Chi Tiết Học Phí'!$P$4:$P$1023,'Chi Tiết Học Phí'!$A$4:$A$1023,A42)</f>
        <v/>
      </c>
      <c r="K42" s="45">
        <f>IF(J42&gt;0,"Còn nợ","Đã hoàn thành")</f>
        <v/>
      </c>
    </row>
    <row r="43">
      <c r="A43" s="45" t="inlineStr">
        <is>
          <t>251230913</t>
        </is>
      </c>
      <c r="B43" s="45" t="inlineStr">
        <is>
          <t>ĐỖ DUY MẠNH</t>
        </is>
      </c>
      <c r="C43" s="45" t="inlineStr">
        <is>
          <t>Công nghệ thông tin 1 K66</t>
        </is>
      </c>
      <c r="D43" s="46">
        <f>SUMIFS('Chi Tiết Học Phí'!$H$4:$H$1023,'Chi Tiết Học Phí'!$A$4:$A$1023,A43)</f>
        <v/>
      </c>
      <c r="E43" s="46">
        <f>SUMIFS('Chi Tiết Học Phí'!$J$4:$J$1023,'Chi Tiết Học Phí'!$A$4:$A$1023,A43)</f>
        <v/>
      </c>
      <c r="F43" s="46">
        <f>SUMIFS('Chi Tiết Học Phí'!$K$4:$K$1023,'Chi Tiết Học Phí'!$A$4:$A$1023,A43)</f>
        <v/>
      </c>
      <c r="G43" s="46">
        <f>SUMIFS('Chi Tiết Học Phí'!$L$4:$L$1023,'Chi Tiết Học Phí'!$A$4:$A$1023,A43)</f>
        <v/>
      </c>
      <c r="H43" s="46">
        <f>SUMIFS('Chi Tiết Học Phí'!$M$4:$M$1023,'Chi Tiết Học Phí'!$A$4:$A$1023,A43)-SUMIFS('Chi Tiết Học Phí'!$N$4:$N$1023,'Chi Tiết Học Phí'!$A$4:$A$1023,A43)</f>
        <v/>
      </c>
      <c r="I43" s="46">
        <f>SUMIFS('Chi Tiết Học Phí'!$O$4:$O$1023,'Chi Tiết Học Phí'!$A$4:$A$1023,A43)</f>
        <v/>
      </c>
      <c r="J43" s="46">
        <f>SUMIFS('Chi Tiết Học Phí'!$P$4:$P$1023,'Chi Tiết Học Phí'!$A$4:$A$1023,A43)</f>
        <v/>
      </c>
      <c r="K43" s="45">
        <f>IF(J43&gt;0,"Còn nợ","Đã hoàn thành")</f>
        <v/>
      </c>
    </row>
    <row r="44">
      <c r="A44" s="45" t="inlineStr">
        <is>
          <t>251230918</t>
        </is>
      </c>
      <c r="B44" s="45" t="inlineStr">
        <is>
          <t>TRẦN XUÂN MẠNH</t>
        </is>
      </c>
      <c r="C44" s="45" t="inlineStr">
        <is>
          <t>Công nghệ thông tin 1 K66</t>
        </is>
      </c>
      <c r="D44" s="46">
        <f>SUMIFS('Chi Tiết Học Phí'!$H$4:$H$1023,'Chi Tiết Học Phí'!$A$4:$A$1023,A44)</f>
        <v/>
      </c>
      <c r="E44" s="46">
        <f>SUMIFS('Chi Tiết Học Phí'!$J$4:$J$1023,'Chi Tiết Học Phí'!$A$4:$A$1023,A44)</f>
        <v/>
      </c>
      <c r="F44" s="46">
        <f>SUMIFS('Chi Tiết Học Phí'!$K$4:$K$1023,'Chi Tiết Học Phí'!$A$4:$A$1023,A44)</f>
        <v/>
      </c>
      <c r="G44" s="46">
        <f>SUMIFS('Chi Tiết Học Phí'!$L$4:$L$1023,'Chi Tiết Học Phí'!$A$4:$A$1023,A44)</f>
        <v/>
      </c>
      <c r="H44" s="46">
        <f>SUMIFS('Chi Tiết Học Phí'!$M$4:$M$1023,'Chi Tiết Học Phí'!$A$4:$A$1023,A44)-SUMIFS('Chi Tiết Học Phí'!$N$4:$N$1023,'Chi Tiết Học Phí'!$A$4:$A$1023,A44)</f>
        <v/>
      </c>
      <c r="I44" s="46">
        <f>SUMIFS('Chi Tiết Học Phí'!$O$4:$O$1023,'Chi Tiết Học Phí'!$A$4:$A$1023,A44)</f>
        <v/>
      </c>
      <c r="J44" s="46">
        <f>SUMIFS('Chi Tiết Học Phí'!$P$4:$P$1023,'Chi Tiết Học Phí'!$A$4:$A$1023,A44)</f>
        <v/>
      </c>
      <c r="K44" s="45">
        <f>IF(J44&gt;0,"Còn nợ","Đã hoàn thành")</f>
        <v/>
      </c>
    </row>
    <row r="45">
      <c r="A45" s="45" t="inlineStr">
        <is>
          <t>251230925</t>
        </is>
      </c>
      <c r="B45" s="45" t="inlineStr">
        <is>
          <t>TRẦN THỊ MƠ</t>
        </is>
      </c>
      <c r="C45" s="45" t="inlineStr">
        <is>
          <t>Công nghệ thông tin 1 K66</t>
        </is>
      </c>
      <c r="D45" s="46">
        <f>SUMIFS('Chi Tiết Học Phí'!$H$4:$H$1023,'Chi Tiết Học Phí'!$A$4:$A$1023,A45)</f>
        <v/>
      </c>
      <c r="E45" s="46">
        <f>SUMIFS('Chi Tiết Học Phí'!$J$4:$J$1023,'Chi Tiết Học Phí'!$A$4:$A$1023,A45)</f>
        <v/>
      </c>
      <c r="F45" s="46">
        <f>SUMIFS('Chi Tiết Học Phí'!$K$4:$K$1023,'Chi Tiết Học Phí'!$A$4:$A$1023,A45)</f>
        <v/>
      </c>
      <c r="G45" s="46">
        <f>SUMIFS('Chi Tiết Học Phí'!$L$4:$L$1023,'Chi Tiết Học Phí'!$A$4:$A$1023,A45)</f>
        <v/>
      </c>
      <c r="H45" s="46">
        <f>SUMIFS('Chi Tiết Học Phí'!$M$4:$M$1023,'Chi Tiết Học Phí'!$A$4:$A$1023,A45)-SUMIFS('Chi Tiết Học Phí'!$N$4:$N$1023,'Chi Tiết Học Phí'!$A$4:$A$1023,A45)</f>
        <v/>
      </c>
      <c r="I45" s="46">
        <f>SUMIFS('Chi Tiết Học Phí'!$O$4:$O$1023,'Chi Tiết Học Phí'!$A$4:$A$1023,A45)</f>
        <v/>
      </c>
      <c r="J45" s="46">
        <f>SUMIFS('Chi Tiết Học Phí'!$P$4:$P$1023,'Chi Tiết Học Phí'!$A$4:$A$1023,A45)</f>
        <v/>
      </c>
      <c r="K45" s="45">
        <f>IF(J45&gt;0,"Còn nợ","Đã hoàn thành")</f>
        <v/>
      </c>
    </row>
    <row r="46">
      <c r="A46" s="45" t="inlineStr">
        <is>
          <t>251230938</t>
        </is>
      </c>
      <c r="B46" s="45" t="inlineStr">
        <is>
          <t>BÙI HUY PHONG</t>
        </is>
      </c>
      <c r="C46" s="45" t="inlineStr">
        <is>
          <t>Công nghệ thông tin 1 K66</t>
        </is>
      </c>
      <c r="D46" s="46">
        <f>SUMIFS('Chi Tiết Học Phí'!$H$4:$H$1023,'Chi Tiết Học Phí'!$A$4:$A$1023,A46)</f>
        <v/>
      </c>
      <c r="E46" s="46">
        <f>SUMIFS('Chi Tiết Học Phí'!$J$4:$J$1023,'Chi Tiết Học Phí'!$A$4:$A$1023,A46)</f>
        <v/>
      </c>
      <c r="F46" s="46">
        <f>SUMIFS('Chi Tiết Học Phí'!$K$4:$K$1023,'Chi Tiết Học Phí'!$A$4:$A$1023,A46)</f>
        <v/>
      </c>
      <c r="G46" s="46">
        <f>SUMIFS('Chi Tiết Học Phí'!$L$4:$L$1023,'Chi Tiết Học Phí'!$A$4:$A$1023,A46)</f>
        <v/>
      </c>
      <c r="H46" s="46">
        <f>SUMIFS('Chi Tiết Học Phí'!$M$4:$M$1023,'Chi Tiết Học Phí'!$A$4:$A$1023,A46)-SUMIFS('Chi Tiết Học Phí'!$N$4:$N$1023,'Chi Tiết Học Phí'!$A$4:$A$1023,A46)</f>
        <v/>
      </c>
      <c r="I46" s="46">
        <f>SUMIFS('Chi Tiết Học Phí'!$O$4:$O$1023,'Chi Tiết Học Phí'!$A$4:$A$1023,A46)</f>
        <v/>
      </c>
      <c r="J46" s="46">
        <f>SUMIFS('Chi Tiết Học Phí'!$P$4:$P$1023,'Chi Tiết Học Phí'!$A$4:$A$1023,A46)</f>
        <v/>
      </c>
      <c r="K46" s="45">
        <f>IF(J46&gt;0,"Còn nợ","Đã hoàn thành")</f>
        <v/>
      </c>
    </row>
    <row r="47">
      <c r="A47" s="45" t="inlineStr">
        <is>
          <t>251230940</t>
        </is>
      </c>
      <c r="B47" s="45" t="inlineStr">
        <is>
          <t>LÊ TUẤN PHONG</t>
        </is>
      </c>
      <c r="C47" s="45" t="inlineStr">
        <is>
          <t>Công nghệ thông tin 1 K66</t>
        </is>
      </c>
      <c r="D47" s="46">
        <f>SUMIFS('Chi Tiết Học Phí'!$H$4:$H$1023,'Chi Tiết Học Phí'!$A$4:$A$1023,A47)</f>
        <v/>
      </c>
      <c r="E47" s="46">
        <f>SUMIFS('Chi Tiết Học Phí'!$J$4:$J$1023,'Chi Tiết Học Phí'!$A$4:$A$1023,A47)</f>
        <v/>
      </c>
      <c r="F47" s="46">
        <f>SUMIFS('Chi Tiết Học Phí'!$K$4:$K$1023,'Chi Tiết Học Phí'!$A$4:$A$1023,A47)</f>
        <v/>
      </c>
      <c r="G47" s="46">
        <f>SUMIFS('Chi Tiết Học Phí'!$L$4:$L$1023,'Chi Tiết Học Phí'!$A$4:$A$1023,A47)</f>
        <v/>
      </c>
      <c r="H47" s="46">
        <f>SUMIFS('Chi Tiết Học Phí'!$M$4:$M$1023,'Chi Tiết Học Phí'!$A$4:$A$1023,A47)-SUMIFS('Chi Tiết Học Phí'!$N$4:$N$1023,'Chi Tiết Học Phí'!$A$4:$A$1023,A47)</f>
        <v/>
      </c>
      <c r="I47" s="46">
        <f>SUMIFS('Chi Tiết Học Phí'!$O$4:$O$1023,'Chi Tiết Học Phí'!$A$4:$A$1023,A47)</f>
        <v/>
      </c>
      <c r="J47" s="46">
        <f>SUMIFS('Chi Tiết Học Phí'!$P$4:$P$1023,'Chi Tiết Học Phí'!$A$4:$A$1023,A47)</f>
        <v/>
      </c>
      <c r="K47" s="45">
        <f>IF(J47&gt;0,"Còn nợ","Đã hoàn thành")</f>
        <v/>
      </c>
    </row>
    <row r="48">
      <c r="A48" s="45" t="inlineStr">
        <is>
          <t>251230947</t>
        </is>
      </c>
      <c r="B48" s="45" t="inlineStr">
        <is>
          <t>NGUYỄN VINH QUANG</t>
        </is>
      </c>
      <c r="C48" s="45" t="inlineStr">
        <is>
          <t>Công nghệ thông tin 1 K66</t>
        </is>
      </c>
      <c r="D48" s="46">
        <f>SUMIFS('Chi Tiết Học Phí'!$H$4:$H$1023,'Chi Tiết Học Phí'!$A$4:$A$1023,A48)</f>
        <v/>
      </c>
      <c r="E48" s="46">
        <f>SUMIFS('Chi Tiết Học Phí'!$J$4:$J$1023,'Chi Tiết Học Phí'!$A$4:$A$1023,A48)</f>
        <v/>
      </c>
      <c r="F48" s="46">
        <f>SUMIFS('Chi Tiết Học Phí'!$K$4:$K$1023,'Chi Tiết Học Phí'!$A$4:$A$1023,A48)</f>
        <v/>
      </c>
      <c r="G48" s="46">
        <f>SUMIFS('Chi Tiết Học Phí'!$L$4:$L$1023,'Chi Tiết Học Phí'!$A$4:$A$1023,A48)</f>
        <v/>
      </c>
      <c r="H48" s="46">
        <f>SUMIFS('Chi Tiết Học Phí'!$M$4:$M$1023,'Chi Tiết Học Phí'!$A$4:$A$1023,A48)-SUMIFS('Chi Tiết Học Phí'!$N$4:$N$1023,'Chi Tiết Học Phí'!$A$4:$A$1023,A48)</f>
        <v/>
      </c>
      <c r="I48" s="46">
        <f>SUMIFS('Chi Tiết Học Phí'!$O$4:$O$1023,'Chi Tiết Học Phí'!$A$4:$A$1023,A48)</f>
        <v/>
      </c>
      <c r="J48" s="46">
        <f>SUMIFS('Chi Tiết Học Phí'!$P$4:$P$1023,'Chi Tiết Học Phí'!$A$4:$A$1023,A48)</f>
        <v/>
      </c>
      <c r="K48" s="45">
        <f>IF(J48&gt;0,"Còn nợ","Đã hoàn thành")</f>
        <v/>
      </c>
    </row>
    <row r="49">
      <c r="A49" s="45" t="inlineStr">
        <is>
          <t>251230948</t>
        </is>
      </c>
      <c r="B49" s="45" t="inlineStr">
        <is>
          <t>PHAN ĐỨC NHẬT QUANG</t>
        </is>
      </c>
      <c r="C49" s="45" t="inlineStr">
        <is>
          <t>Công nghệ thông tin 1 K66</t>
        </is>
      </c>
      <c r="D49" s="46">
        <f>SUMIFS('Chi Tiết Học Phí'!$H$4:$H$1023,'Chi Tiết Học Phí'!$A$4:$A$1023,A49)</f>
        <v/>
      </c>
      <c r="E49" s="46">
        <f>SUMIFS('Chi Tiết Học Phí'!$J$4:$J$1023,'Chi Tiết Học Phí'!$A$4:$A$1023,A49)</f>
        <v/>
      </c>
      <c r="F49" s="46">
        <f>SUMIFS('Chi Tiết Học Phí'!$K$4:$K$1023,'Chi Tiết Học Phí'!$A$4:$A$1023,A49)</f>
        <v/>
      </c>
      <c r="G49" s="46">
        <f>SUMIFS('Chi Tiết Học Phí'!$L$4:$L$1023,'Chi Tiết Học Phí'!$A$4:$A$1023,A49)</f>
        <v/>
      </c>
      <c r="H49" s="46">
        <f>SUMIFS('Chi Tiết Học Phí'!$M$4:$M$1023,'Chi Tiết Học Phí'!$A$4:$A$1023,A49)-SUMIFS('Chi Tiết Học Phí'!$N$4:$N$1023,'Chi Tiết Học Phí'!$A$4:$A$1023,A49)</f>
        <v/>
      </c>
      <c r="I49" s="46">
        <f>SUMIFS('Chi Tiết Học Phí'!$O$4:$O$1023,'Chi Tiết Học Phí'!$A$4:$A$1023,A49)</f>
        <v/>
      </c>
      <c r="J49" s="46">
        <f>SUMIFS('Chi Tiết Học Phí'!$P$4:$P$1023,'Chi Tiết Học Phí'!$A$4:$A$1023,A49)</f>
        <v/>
      </c>
      <c r="K49" s="45">
        <f>IF(J49&gt;0,"Còn nợ","Đã hoàn thành")</f>
        <v/>
      </c>
    </row>
    <row r="50">
      <c r="A50" s="45" t="inlineStr">
        <is>
          <t>251210955</t>
        </is>
      </c>
      <c r="B50" s="45" t="inlineStr">
        <is>
          <t>TRẦN ĐỨC SINH</t>
        </is>
      </c>
      <c r="C50" s="45" t="inlineStr">
        <is>
          <t>Công nghệ thông tin 1 K66</t>
        </is>
      </c>
      <c r="D50" s="46">
        <f>SUMIFS('Chi Tiết Học Phí'!$H$4:$H$1023,'Chi Tiết Học Phí'!$A$4:$A$1023,A50)</f>
        <v/>
      </c>
      <c r="E50" s="46">
        <f>SUMIFS('Chi Tiết Học Phí'!$J$4:$J$1023,'Chi Tiết Học Phí'!$A$4:$A$1023,A50)</f>
        <v/>
      </c>
      <c r="F50" s="46">
        <f>SUMIFS('Chi Tiết Học Phí'!$K$4:$K$1023,'Chi Tiết Học Phí'!$A$4:$A$1023,A50)</f>
        <v/>
      </c>
      <c r="G50" s="46">
        <f>SUMIFS('Chi Tiết Học Phí'!$L$4:$L$1023,'Chi Tiết Học Phí'!$A$4:$A$1023,A50)</f>
        <v/>
      </c>
      <c r="H50" s="46">
        <f>SUMIFS('Chi Tiết Học Phí'!$M$4:$M$1023,'Chi Tiết Học Phí'!$A$4:$A$1023,A50)-SUMIFS('Chi Tiết Học Phí'!$N$4:$N$1023,'Chi Tiết Học Phí'!$A$4:$A$1023,A50)</f>
        <v/>
      </c>
      <c r="I50" s="46">
        <f>SUMIFS('Chi Tiết Học Phí'!$O$4:$O$1023,'Chi Tiết Học Phí'!$A$4:$A$1023,A50)</f>
        <v/>
      </c>
      <c r="J50" s="46">
        <f>SUMIFS('Chi Tiết Học Phí'!$P$4:$P$1023,'Chi Tiết Học Phí'!$A$4:$A$1023,A50)</f>
        <v/>
      </c>
      <c r="K50" s="45">
        <f>IF(J50&gt;0,"Còn nợ","Đã hoàn thành")</f>
        <v/>
      </c>
    </row>
    <row r="51">
      <c r="A51" s="45" t="inlineStr">
        <is>
          <t>251230956</t>
        </is>
      </c>
      <c r="B51" s="45" t="inlineStr">
        <is>
          <t>DƯƠNG TÙNG SƠN</t>
        </is>
      </c>
      <c r="C51" s="45" t="inlineStr">
        <is>
          <t>Công nghệ thông tin 1 K66</t>
        </is>
      </c>
      <c r="D51" s="46">
        <f>SUMIFS('Chi Tiết Học Phí'!$H$4:$H$1023,'Chi Tiết Học Phí'!$A$4:$A$1023,A51)</f>
        <v/>
      </c>
      <c r="E51" s="46">
        <f>SUMIFS('Chi Tiết Học Phí'!$J$4:$J$1023,'Chi Tiết Học Phí'!$A$4:$A$1023,A51)</f>
        <v/>
      </c>
      <c r="F51" s="46">
        <f>SUMIFS('Chi Tiết Học Phí'!$K$4:$K$1023,'Chi Tiết Học Phí'!$A$4:$A$1023,A51)</f>
        <v/>
      </c>
      <c r="G51" s="46">
        <f>SUMIFS('Chi Tiết Học Phí'!$L$4:$L$1023,'Chi Tiết Học Phí'!$A$4:$A$1023,A51)</f>
        <v/>
      </c>
      <c r="H51" s="46">
        <f>SUMIFS('Chi Tiết Học Phí'!$M$4:$M$1023,'Chi Tiết Học Phí'!$A$4:$A$1023,A51)-SUMIFS('Chi Tiết Học Phí'!$N$4:$N$1023,'Chi Tiết Học Phí'!$A$4:$A$1023,A51)</f>
        <v/>
      </c>
      <c r="I51" s="46">
        <f>SUMIFS('Chi Tiết Học Phí'!$O$4:$O$1023,'Chi Tiết Học Phí'!$A$4:$A$1023,A51)</f>
        <v/>
      </c>
      <c r="J51" s="46">
        <f>SUMIFS('Chi Tiết Học Phí'!$P$4:$P$1023,'Chi Tiết Học Phí'!$A$4:$A$1023,A51)</f>
        <v/>
      </c>
      <c r="K51" s="45">
        <f>IF(J51&gt;0,"Còn nợ","Đã hoàn thành")</f>
        <v/>
      </c>
    </row>
    <row r="52">
      <c r="A52" s="45" t="inlineStr">
        <is>
          <t>251230962</t>
        </is>
      </c>
      <c r="B52" s="45" t="inlineStr">
        <is>
          <t>NGUYỄN ĐỨC THÁI</t>
        </is>
      </c>
      <c r="C52" s="45" t="inlineStr">
        <is>
          <t>Công nghệ thông tin 1 K66</t>
        </is>
      </c>
      <c r="D52" s="46">
        <f>SUMIFS('Chi Tiết Học Phí'!$H$4:$H$1023,'Chi Tiết Học Phí'!$A$4:$A$1023,A52)</f>
        <v/>
      </c>
      <c r="E52" s="46">
        <f>SUMIFS('Chi Tiết Học Phí'!$J$4:$J$1023,'Chi Tiết Học Phí'!$A$4:$A$1023,A52)</f>
        <v/>
      </c>
      <c r="F52" s="46">
        <f>SUMIFS('Chi Tiết Học Phí'!$K$4:$K$1023,'Chi Tiết Học Phí'!$A$4:$A$1023,A52)</f>
        <v/>
      </c>
      <c r="G52" s="46">
        <f>SUMIFS('Chi Tiết Học Phí'!$L$4:$L$1023,'Chi Tiết Học Phí'!$A$4:$A$1023,A52)</f>
        <v/>
      </c>
      <c r="H52" s="46">
        <f>SUMIFS('Chi Tiết Học Phí'!$M$4:$M$1023,'Chi Tiết Học Phí'!$A$4:$A$1023,A52)-SUMIFS('Chi Tiết Học Phí'!$N$4:$N$1023,'Chi Tiết Học Phí'!$A$4:$A$1023,A52)</f>
        <v/>
      </c>
      <c r="I52" s="46">
        <f>SUMIFS('Chi Tiết Học Phí'!$O$4:$O$1023,'Chi Tiết Học Phí'!$A$4:$A$1023,A52)</f>
        <v/>
      </c>
      <c r="J52" s="46">
        <f>SUMIFS('Chi Tiết Học Phí'!$P$4:$P$1023,'Chi Tiết Học Phí'!$A$4:$A$1023,A52)</f>
        <v/>
      </c>
      <c r="K52" s="45">
        <f>IF(J52&gt;0,"Còn nợ","Đã hoàn thành")</f>
        <v/>
      </c>
    </row>
    <row r="53">
      <c r="A53" s="45" t="inlineStr">
        <is>
          <t>251230964</t>
        </is>
      </c>
      <c r="B53" s="45" t="inlineStr">
        <is>
          <t>TRẦN XUÂN THÁI</t>
        </is>
      </c>
      <c r="C53" s="45" t="inlineStr">
        <is>
          <t>Công nghệ thông tin 1 K66</t>
        </is>
      </c>
      <c r="D53" s="46">
        <f>SUMIFS('Chi Tiết Học Phí'!$H$4:$H$1023,'Chi Tiết Học Phí'!$A$4:$A$1023,A53)</f>
        <v/>
      </c>
      <c r="E53" s="46">
        <f>SUMIFS('Chi Tiết Học Phí'!$J$4:$J$1023,'Chi Tiết Học Phí'!$A$4:$A$1023,A53)</f>
        <v/>
      </c>
      <c r="F53" s="46">
        <f>SUMIFS('Chi Tiết Học Phí'!$K$4:$K$1023,'Chi Tiết Học Phí'!$A$4:$A$1023,A53)</f>
        <v/>
      </c>
      <c r="G53" s="46">
        <f>SUMIFS('Chi Tiết Học Phí'!$L$4:$L$1023,'Chi Tiết Học Phí'!$A$4:$A$1023,A53)</f>
        <v/>
      </c>
      <c r="H53" s="46">
        <f>SUMIFS('Chi Tiết Học Phí'!$M$4:$M$1023,'Chi Tiết Học Phí'!$A$4:$A$1023,A53)-SUMIFS('Chi Tiết Học Phí'!$N$4:$N$1023,'Chi Tiết Học Phí'!$A$4:$A$1023,A53)</f>
        <v/>
      </c>
      <c r="I53" s="46">
        <f>SUMIFS('Chi Tiết Học Phí'!$O$4:$O$1023,'Chi Tiết Học Phí'!$A$4:$A$1023,A53)</f>
        <v/>
      </c>
      <c r="J53" s="46">
        <f>SUMIFS('Chi Tiết Học Phí'!$P$4:$P$1023,'Chi Tiết Học Phí'!$A$4:$A$1023,A53)</f>
        <v/>
      </c>
      <c r="K53" s="45">
        <f>IF(J53&gt;0,"Còn nợ","Đã hoàn thành")</f>
        <v/>
      </c>
    </row>
    <row r="54">
      <c r="A54" s="45" t="inlineStr">
        <is>
          <t>241230851</t>
        </is>
      </c>
      <c r="B54" s="45" t="inlineStr">
        <is>
          <t>Nguyễn Chính Thắng</t>
        </is>
      </c>
      <c r="C54" s="45" t="inlineStr">
        <is>
          <t>Công nghệ thông tin 1 K66</t>
        </is>
      </c>
      <c r="D54" s="46">
        <f>SUMIFS('Chi Tiết Học Phí'!$H$4:$H$1023,'Chi Tiết Học Phí'!$A$4:$A$1023,A54)</f>
        <v/>
      </c>
      <c r="E54" s="46">
        <f>SUMIFS('Chi Tiết Học Phí'!$J$4:$J$1023,'Chi Tiết Học Phí'!$A$4:$A$1023,A54)</f>
        <v/>
      </c>
      <c r="F54" s="46">
        <f>SUMIFS('Chi Tiết Học Phí'!$K$4:$K$1023,'Chi Tiết Học Phí'!$A$4:$A$1023,A54)</f>
        <v/>
      </c>
      <c r="G54" s="46">
        <f>SUMIFS('Chi Tiết Học Phí'!$L$4:$L$1023,'Chi Tiết Học Phí'!$A$4:$A$1023,A54)</f>
        <v/>
      </c>
      <c r="H54" s="46">
        <f>SUMIFS('Chi Tiết Học Phí'!$M$4:$M$1023,'Chi Tiết Học Phí'!$A$4:$A$1023,A54)-SUMIFS('Chi Tiết Học Phí'!$N$4:$N$1023,'Chi Tiết Học Phí'!$A$4:$A$1023,A54)</f>
        <v/>
      </c>
      <c r="I54" s="46">
        <f>SUMIFS('Chi Tiết Học Phí'!$O$4:$O$1023,'Chi Tiết Học Phí'!$A$4:$A$1023,A54)</f>
        <v/>
      </c>
      <c r="J54" s="46">
        <f>SUMIFS('Chi Tiết Học Phí'!$P$4:$P$1023,'Chi Tiết Học Phí'!$A$4:$A$1023,A54)</f>
        <v/>
      </c>
      <c r="K54" s="45">
        <f>IF(J54&gt;0,"Còn nợ","Đã hoàn thành")</f>
        <v/>
      </c>
    </row>
    <row r="55">
      <c r="A55" s="45" t="inlineStr">
        <is>
          <t>251230967</t>
        </is>
      </c>
      <c r="B55" s="45" t="inlineStr">
        <is>
          <t>NGUYỄN CÔNG THÀNH</t>
        </is>
      </c>
      <c r="C55" s="45" t="inlineStr">
        <is>
          <t>Công nghệ thông tin 1 K66</t>
        </is>
      </c>
      <c r="D55" s="46">
        <f>SUMIFS('Chi Tiết Học Phí'!$H$4:$H$1023,'Chi Tiết Học Phí'!$A$4:$A$1023,A55)</f>
        <v/>
      </c>
      <c r="E55" s="46">
        <f>SUMIFS('Chi Tiết Học Phí'!$J$4:$J$1023,'Chi Tiết Học Phí'!$A$4:$A$1023,A55)</f>
        <v/>
      </c>
      <c r="F55" s="46">
        <f>SUMIFS('Chi Tiết Học Phí'!$K$4:$K$1023,'Chi Tiết Học Phí'!$A$4:$A$1023,A55)</f>
        <v/>
      </c>
      <c r="G55" s="46">
        <f>SUMIFS('Chi Tiết Học Phí'!$L$4:$L$1023,'Chi Tiết Học Phí'!$A$4:$A$1023,A55)</f>
        <v/>
      </c>
      <c r="H55" s="46">
        <f>SUMIFS('Chi Tiết Học Phí'!$M$4:$M$1023,'Chi Tiết Học Phí'!$A$4:$A$1023,A55)-SUMIFS('Chi Tiết Học Phí'!$N$4:$N$1023,'Chi Tiết Học Phí'!$A$4:$A$1023,A55)</f>
        <v/>
      </c>
      <c r="I55" s="46">
        <f>SUMIFS('Chi Tiết Học Phí'!$O$4:$O$1023,'Chi Tiết Học Phí'!$A$4:$A$1023,A55)</f>
        <v/>
      </c>
      <c r="J55" s="46">
        <f>SUMIFS('Chi Tiết Học Phí'!$P$4:$P$1023,'Chi Tiết Học Phí'!$A$4:$A$1023,A55)</f>
        <v/>
      </c>
      <c r="K55" s="45">
        <f>IF(J55&gt;0,"Còn nợ","Đã hoàn thành")</f>
        <v/>
      </c>
    </row>
    <row r="56">
      <c r="A56" s="45" t="inlineStr">
        <is>
          <t>251230970</t>
        </is>
      </c>
      <c r="B56" s="45" t="inlineStr">
        <is>
          <t>TRẦN KIM THÀNH</t>
        </is>
      </c>
      <c r="C56" s="45" t="inlineStr">
        <is>
          <t>Công nghệ thông tin 1 K66</t>
        </is>
      </c>
      <c r="D56" s="46">
        <f>SUMIFS('Chi Tiết Học Phí'!$H$4:$H$1023,'Chi Tiết Học Phí'!$A$4:$A$1023,A56)</f>
        <v/>
      </c>
      <c r="E56" s="46">
        <f>SUMIFS('Chi Tiết Học Phí'!$J$4:$J$1023,'Chi Tiết Học Phí'!$A$4:$A$1023,A56)</f>
        <v/>
      </c>
      <c r="F56" s="46">
        <f>SUMIFS('Chi Tiết Học Phí'!$K$4:$K$1023,'Chi Tiết Học Phí'!$A$4:$A$1023,A56)</f>
        <v/>
      </c>
      <c r="G56" s="46">
        <f>SUMIFS('Chi Tiết Học Phí'!$L$4:$L$1023,'Chi Tiết Học Phí'!$A$4:$A$1023,A56)</f>
        <v/>
      </c>
      <c r="H56" s="46">
        <f>SUMIFS('Chi Tiết Học Phí'!$M$4:$M$1023,'Chi Tiết Học Phí'!$A$4:$A$1023,A56)-SUMIFS('Chi Tiết Học Phí'!$N$4:$N$1023,'Chi Tiết Học Phí'!$A$4:$A$1023,A56)</f>
        <v/>
      </c>
      <c r="I56" s="46">
        <f>SUMIFS('Chi Tiết Học Phí'!$O$4:$O$1023,'Chi Tiết Học Phí'!$A$4:$A$1023,A56)</f>
        <v/>
      </c>
      <c r="J56" s="46">
        <f>SUMIFS('Chi Tiết Học Phí'!$P$4:$P$1023,'Chi Tiết Học Phí'!$A$4:$A$1023,A56)</f>
        <v/>
      </c>
      <c r="K56" s="45">
        <f>IF(J56&gt;0,"Còn nợ","Đã hoàn thành")</f>
        <v/>
      </c>
    </row>
    <row r="57">
      <c r="A57" s="45" t="inlineStr">
        <is>
          <t>251210977</t>
        </is>
      </c>
      <c r="B57" s="45" t="inlineStr">
        <is>
          <t>LƯỜNG HƯNG THỊNH</t>
        </is>
      </c>
      <c r="C57" s="45" t="inlineStr">
        <is>
          <t>Công nghệ thông tin 1 K66</t>
        </is>
      </c>
      <c r="D57" s="46">
        <f>SUMIFS('Chi Tiết Học Phí'!$H$4:$H$1023,'Chi Tiết Học Phí'!$A$4:$A$1023,A57)</f>
        <v/>
      </c>
      <c r="E57" s="46">
        <f>SUMIFS('Chi Tiết Học Phí'!$J$4:$J$1023,'Chi Tiết Học Phí'!$A$4:$A$1023,A57)</f>
        <v/>
      </c>
      <c r="F57" s="46">
        <f>SUMIFS('Chi Tiết Học Phí'!$K$4:$K$1023,'Chi Tiết Học Phí'!$A$4:$A$1023,A57)</f>
        <v/>
      </c>
      <c r="G57" s="46">
        <f>SUMIFS('Chi Tiết Học Phí'!$L$4:$L$1023,'Chi Tiết Học Phí'!$A$4:$A$1023,A57)</f>
        <v/>
      </c>
      <c r="H57" s="46">
        <f>SUMIFS('Chi Tiết Học Phí'!$M$4:$M$1023,'Chi Tiết Học Phí'!$A$4:$A$1023,A57)-SUMIFS('Chi Tiết Học Phí'!$N$4:$N$1023,'Chi Tiết Học Phí'!$A$4:$A$1023,A57)</f>
        <v/>
      </c>
      <c r="I57" s="46">
        <f>SUMIFS('Chi Tiết Học Phí'!$O$4:$O$1023,'Chi Tiết Học Phí'!$A$4:$A$1023,A57)</f>
        <v/>
      </c>
      <c r="J57" s="46">
        <f>SUMIFS('Chi Tiết Học Phí'!$P$4:$P$1023,'Chi Tiết Học Phí'!$A$4:$A$1023,A57)</f>
        <v/>
      </c>
      <c r="K57" s="45">
        <f>IF(J57&gt;0,"Còn nợ","Đã hoàn thành")</f>
        <v/>
      </c>
    </row>
    <row r="58">
      <c r="A58" s="45" t="inlineStr">
        <is>
          <t>251230979</t>
        </is>
      </c>
      <c r="B58" s="45" t="inlineStr">
        <is>
          <t>LÊ VĂN THUẬN</t>
        </is>
      </c>
      <c r="C58" s="45" t="inlineStr">
        <is>
          <t>Công nghệ thông tin 1 K66</t>
        </is>
      </c>
      <c r="D58" s="46">
        <f>SUMIFS('Chi Tiết Học Phí'!$H$4:$H$1023,'Chi Tiết Học Phí'!$A$4:$A$1023,A58)</f>
        <v/>
      </c>
      <c r="E58" s="46">
        <f>SUMIFS('Chi Tiết Học Phí'!$J$4:$J$1023,'Chi Tiết Học Phí'!$A$4:$A$1023,A58)</f>
        <v/>
      </c>
      <c r="F58" s="46">
        <f>SUMIFS('Chi Tiết Học Phí'!$K$4:$K$1023,'Chi Tiết Học Phí'!$A$4:$A$1023,A58)</f>
        <v/>
      </c>
      <c r="G58" s="46">
        <f>SUMIFS('Chi Tiết Học Phí'!$L$4:$L$1023,'Chi Tiết Học Phí'!$A$4:$A$1023,A58)</f>
        <v/>
      </c>
      <c r="H58" s="46">
        <f>SUMIFS('Chi Tiết Học Phí'!$M$4:$M$1023,'Chi Tiết Học Phí'!$A$4:$A$1023,A58)-SUMIFS('Chi Tiết Học Phí'!$N$4:$N$1023,'Chi Tiết Học Phí'!$A$4:$A$1023,A58)</f>
        <v/>
      </c>
      <c r="I58" s="46">
        <f>SUMIFS('Chi Tiết Học Phí'!$O$4:$O$1023,'Chi Tiết Học Phí'!$A$4:$A$1023,A58)</f>
        <v/>
      </c>
      <c r="J58" s="46">
        <f>SUMIFS('Chi Tiết Học Phí'!$P$4:$P$1023,'Chi Tiết Học Phí'!$A$4:$A$1023,A58)</f>
        <v/>
      </c>
      <c r="K58" s="45">
        <f>IF(J58&gt;0,"Còn nợ","Đã hoàn thành")</f>
        <v/>
      </c>
    </row>
    <row r="59">
      <c r="A59" s="45" t="inlineStr">
        <is>
          <t>251210982</t>
        </is>
      </c>
      <c r="B59" s="45" t="inlineStr">
        <is>
          <t>NGUYỄN MINH TIẾN</t>
        </is>
      </c>
      <c r="C59" s="45" t="inlineStr">
        <is>
          <t>Công nghệ thông tin 1 K66</t>
        </is>
      </c>
      <c r="D59" s="46">
        <f>SUMIFS('Chi Tiết Học Phí'!$H$4:$H$1023,'Chi Tiết Học Phí'!$A$4:$A$1023,A59)</f>
        <v/>
      </c>
      <c r="E59" s="46">
        <f>SUMIFS('Chi Tiết Học Phí'!$J$4:$J$1023,'Chi Tiết Học Phí'!$A$4:$A$1023,A59)</f>
        <v/>
      </c>
      <c r="F59" s="46">
        <f>SUMIFS('Chi Tiết Học Phí'!$K$4:$K$1023,'Chi Tiết Học Phí'!$A$4:$A$1023,A59)</f>
        <v/>
      </c>
      <c r="G59" s="46">
        <f>SUMIFS('Chi Tiết Học Phí'!$L$4:$L$1023,'Chi Tiết Học Phí'!$A$4:$A$1023,A59)</f>
        <v/>
      </c>
      <c r="H59" s="46">
        <f>SUMIFS('Chi Tiết Học Phí'!$M$4:$M$1023,'Chi Tiết Học Phí'!$A$4:$A$1023,A59)-SUMIFS('Chi Tiết Học Phí'!$N$4:$N$1023,'Chi Tiết Học Phí'!$A$4:$A$1023,A59)</f>
        <v/>
      </c>
      <c r="I59" s="46">
        <f>SUMIFS('Chi Tiết Học Phí'!$O$4:$O$1023,'Chi Tiết Học Phí'!$A$4:$A$1023,A59)</f>
        <v/>
      </c>
      <c r="J59" s="46">
        <f>SUMIFS('Chi Tiết Học Phí'!$P$4:$P$1023,'Chi Tiết Học Phí'!$A$4:$A$1023,A59)</f>
        <v/>
      </c>
      <c r="K59" s="45">
        <f>IF(J59&gt;0,"Còn nợ","Đã hoàn thành")</f>
        <v/>
      </c>
    </row>
    <row r="60">
      <c r="A60" s="45" t="inlineStr">
        <is>
          <t>251230983</t>
        </is>
      </c>
      <c r="B60" s="45" t="inlineStr">
        <is>
          <t>NGUYỄN TRƯỜNG TIẾN</t>
        </is>
      </c>
      <c r="C60" s="45" t="inlineStr">
        <is>
          <t>Công nghệ thông tin 1 K66</t>
        </is>
      </c>
      <c r="D60" s="46">
        <f>SUMIFS('Chi Tiết Học Phí'!$H$4:$H$1023,'Chi Tiết Học Phí'!$A$4:$A$1023,A60)</f>
        <v/>
      </c>
      <c r="E60" s="46">
        <f>SUMIFS('Chi Tiết Học Phí'!$J$4:$J$1023,'Chi Tiết Học Phí'!$A$4:$A$1023,A60)</f>
        <v/>
      </c>
      <c r="F60" s="46">
        <f>SUMIFS('Chi Tiết Học Phí'!$K$4:$K$1023,'Chi Tiết Học Phí'!$A$4:$A$1023,A60)</f>
        <v/>
      </c>
      <c r="G60" s="46">
        <f>SUMIFS('Chi Tiết Học Phí'!$L$4:$L$1023,'Chi Tiết Học Phí'!$A$4:$A$1023,A60)</f>
        <v/>
      </c>
      <c r="H60" s="46">
        <f>SUMIFS('Chi Tiết Học Phí'!$M$4:$M$1023,'Chi Tiết Học Phí'!$A$4:$A$1023,A60)-SUMIFS('Chi Tiết Học Phí'!$N$4:$N$1023,'Chi Tiết Học Phí'!$A$4:$A$1023,A60)</f>
        <v/>
      </c>
      <c r="I60" s="46">
        <f>SUMIFS('Chi Tiết Học Phí'!$O$4:$O$1023,'Chi Tiết Học Phí'!$A$4:$A$1023,A60)</f>
        <v/>
      </c>
      <c r="J60" s="46">
        <f>SUMIFS('Chi Tiết Học Phí'!$P$4:$P$1023,'Chi Tiết Học Phí'!$A$4:$A$1023,A60)</f>
        <v/>
      </c>
      <c r="K60" s="45">
        <f>IF(J60&gt;0,"Còn nợ","Đã hoàn thành")</f>
        <v/>
      </c>
    </row>
    <row r="61">
      <c r="A61" s="45" t="inlineStr">
        <is>
          <t>251230981</t>
        </is>
      </c>
      <c r="B61" s="45" t="inlineStr">
        <is>
          <t>NGUYỄN VĂN TIÊN</t>
        </is>
      </c>
      <c r="C61" s="45" t="inlineStr">
        <is>
          <t>Công nghệ thông tin 1 K66</t>
        </is>
      </c>
      <c r="D61" s="46">
        <f>SUMIFS('Chi Tiết Học Phí'!$H$4:$H$1023,'Chi Tiết Học Phí'!$A$4:$A$1023,A61)</f>
        <v/>
      </c>
      <c r="E61" s="46">
        <f>SUMIFS('Chi Tiết Học Phí'!$J$4:$J$1023,'Chi Tiết Học Phí'!$A$4:$A$1023,A61)</f>
        <v/>
      </c>
      <c r="F61" s="46">
        <f>SUMIFS('Chi Tiết Học Phí'!$K$4:$K$1023,'Chi Tiết Học Phí'!$A$4:$A$1023,A61)</f>
        <v/>
      </c>
      <c r="G61" s="46">
        <f>SUMIFS('Chi Tiết Học Phí'!$L$4:$L$1023,'Chi Tiết Học Phí'!$A$4:$A$1023,A61)</f>
        <v/>
      </c>
      <c r="H61" s="46">
        <f>SUMIFS('Chi Tiết Học Phí'!$M$4:$M$1023,'Chi Tiết Học Phí'!$A$4:$A$1023,A61)-SUMIFS('Chi Tiết Học Phí'!$N$4:$N$1023,'Chi Tiết Học Phí'!$A$4:$A$1023,A61)</f>
        <v/>
      </c>
      <c r="I61" s="46">
        <f>SUMIFS('Chi Tiết Học Phí'!$O$4:$O$1023,'Chi Tiết Học Phí'!$A$4:$A$1023,A61)</f>
        <v/>
      </c>
      <c r="J61" s="46">
        <f>SUMIFS('Chi Tiết Học Phí'!$P$4:$P$1023,'Chi Tiết Học Phí'!$A$4:$A$1023,A61)</f>
        <v/>
      </c>
      <c r="K61" s="45">
        <f>IF(J61&gt;0,"Còn nợ","Đã hoàn thành")</f>
        <v/>
      </c>
    </row>
    <row r="62">
      <c r="A62" s="45" t="inlineStr">
        <is>
          <t>251230986</t>
        </is>
      </c>
      <c r="B62" s="45" t="inlineStr">
        <is>
          <t>NGUYỄN ĐỨC TRỌNG</t>
        </is>
      </c>
      <c r="C62" s="45" t="inlineStr">
        <is>
          <t>Công nghệ thông tin 1 K66</t>
        </is>
      </c>
      <c r="D62" s="46">
        <f>SUMIFS('Chi Tiết Học Phí'!$H$4:$H$1023,'Chi Tiết Học Phí'!$A$4:$A$1023,A62)</f>
        <v/>
      </c>
      <c r="E62" s="46">
        <f>SUMIFS('Chi Tiết Học Phí'!$J$4:$J$1023,'Chi Tiết Học Phí'!$A$4:$A$1023,A62)</f>
        <v/>
      </c>
      <c r="F62" s="46">
        <f>SUMIFS('Chi Tiết Học Phí'!$K$4:$K$1023,'Chi Tiết Học Phí'!$A$4:$A$1023,A62)</f>
        <v/>
      </c>
      <c r="G62" s="46">
        <f>SUMIFS('Chi Tiết Học Phí'!$L$4:$L$1023,'Chi Tiết Học Phí'!$A$4:$A$1023,A62)</f>
        <v/>
      </c>
      <c r="H62" s="46">
        <f>SUMIFS('Chi Tiết Học Phí'!$M$4:$M$1023,'Chi Tiết Học Phí'!$A$4:$A$1023,A62)-SUMIFS('Chi Tiết Học Phí'!$N$4:$N$1023,'Chi Tiết Học Phí'!$A$4:$A$1023,A62)</f>
        <v/>
      </c>
      <c r="I62" s="46">
        <f>SUMIFS('Chi Tiết Học Phí'!$O$4:$O$1023,'Chi Tiết Học Phí'!$A$4:$A$1023,A62)</f>
        <v/>
      </c>
      <c r="J62" s="46">
        <f>SUMIFS('Chi Tiết Học Phí'!$P$4:$P$1023,'Chi Tiết Học Phí'!$A$4:$A$1023,A62)</f>
        <v/>
      </c>
      <c r="K62" s="45">
        <f>IF(J62&gt;0,"Còn nợ","Đã hoàn thành")</f>
        <v/>
      </c>
    </row>
    <row r="63">
      <c r="A63" s="45" t="inlineStr">
        <is>
          <t>251210989</t>
        </is>
      </c>
      <c r="B63" s="45" t="inlineStr">
        <is>
          <t>GIANG TUẤN TÚ</t>
        </is>
      </c>
      <c r="C63" s="45" t="inlineStr">
        <is>
          <t>Công nghệ thông tin 1 K66</t>
        </is>
      </c>
      <c r="D63" s="46">
        <f>SUMIFS('Chi Tiết Học Phí'!$H$4:$H$1023,'Chi Tiết Học Phí'!$A$4:$A$1023,A63)</f>
        <v/>
      </c>
      <c r="E63" s="46">
        <f>SUMIFS('Chi Tiết Học Phí'!$J$4:$J$1023,'Chi Tiết Học Phí'!$A$4:$A$1023,A63)</f>
        <v/>
      </c>
      <c r="F63" s="46">
        <f>SUMIFS('Chi Tiết Học Phí'!$K$4:$K$1023,'Chi Tiết Học Phí'!$A$4:$A$1023,A63)</f>
        <v/>
      </c>
      <c r="G63" s="46">
        <f>SUMIFS('Chi Tiết Học Phí'!$L$4:$L$1023,'Chi Tiết Học Phí'!$A$4:$A$1023,A63)</f>
        <v/>
      </c>
      <c r="H63" s="46">
        <f>SUMIFS('Chi Tiết Học Phí'!$M$4:$M$1023,'Chi Tiết Học Phí'!$A$4:$A$1023,A63)-SUMIFS('Chi Tiết Học Phí'!$N$4:$N$1023,'Chi Tiết Học Phí'!$A$4:$A$1023,A63)</f>
        <v/>
      </c>
      <c r="I63" s="46">
        <f>SUMIFS('Chi Tiết Học Phí'!$O$4:$O$1023,'Chi Tiết Học Phí'!$A$4:$A$1023,A63)</f>
        <v/>
      </c>
      <c r="J63" s="46">
        <f>SUMIFS('Chi Tiết Học Phí'!$P$4:$P$1023,'Chi Tiết Học Phí'!$A$4:$A$1023,A63)</f>
        <v/>
      </c>
      <c r="K63" s="45">
        <f>IF(J63&gt;0,"Còn nợ","Đã hoàn thành")</f>
        <v/>
      </c>
    </row>
    <row r="64">
      <c r="A64" s="45" t="inlineStr">
        <is>
          <t>251210992</t>
        </is>
      </c>
      <c r="B64" s="45" t="inlineStr">
        <is>
          <t>NGUYỄN DUY TUẤN</t>
        </is>
      </c>
      <c r="C64" s="45" t="inlineStr">
        <is>
          <t>Công nghệ thông tin 1 K66</t>
        </is>
      </c>
      <c r="D64" s="46">
        <f>SUMIFS('Chi Tiết Học Phí'!$H$4:$H$1023,'Chi Tiết Học Phí'!$A$4:$A$1023,A64)</f>
        <v/>
      </c>
      <c r="E64" s="46">
        <f>SUMIFS('Chi Tiết Học Phí'!$J$4:$J$1023,'Chi Tiết Học Phí'!$A$4:$A$1023,A64)</f>
        <v/>
      </c>
      <c r="F64" s="46">
        <f>SUMIFS('Chi Tiết Học Phí'!$K$4:$K$1023,'Chi Tiết Học Phí'!$A$4:$A$1023,A64)</f>
        <v/>
      </c>
      <c r="G64" s="46">
        <f>SUMIFS('Chi Tiết Học Phí'!$L$4:$L$1023,'Chi Tiết Học Phí'!$A$4:$A$1023,A64)</f>
        <v/>
      </c>
      <c r="H64" s="46">
        <f>SUMIFS('Chi Tiết Học Phí'!$M$4:$M$1023,'Chi Tiết Học Phí'!$A$4:$A$1023,A64)-SUMIFS('Chi Tiết Học Phí'!$N$4:$N$1023,'Chi Tiết Học Phí'!$A$4:$A$1023,A64)</f>
        <v/>
      </c>
      <c r="I64" s="46">
        <f>SUMIFS('Chi Tiết Học Phí'!$O$4:$O$1023,'Chi Tiết Học Phí'!$A$4:$A$1023,A64)</f>
        <v/>
      </c>
      <c r="J64" s="46">
        <f>SUMIFS('Chi Tiết Học Phí'!$P$4:$P$1023,'Chi Tiết Học Phí'!$A$4:$A$1023,A64)</f>
        <v/>
      </c>
      <c r="K64" s="45">
        <f>IF(J64&gt;0,"Còn nợ","Đã hoàn thành")</f>
        <v/>
      </c>
    </row>
    <row r="65">
      <c r="A65" s="45" t="inlineStr">
        <is>
          <t>251230994</t>
        </is>
      </c>
      <c r="B65" s="45" t="inlineStr">
        <is>
          <t>VŨ ANH TUẤN</t>
        </is>
      </c>
      <c r="C65" s="45" t="inlineStr">
        <is>
          <t>Công nghệ thông tin 1 K66</t>
        </is>
      </c>
      <c r="D65" s="46">
        <f>SUMIFS('Chi Tiết Học Phí'!$H$4:$H$1023,'Chi Tiết Học Phí'!$A$4:$A$1023,A65)</f>
        <v/>
      </c>
      <c r="E65" s="46">
        <f>SUMIFS('Chi Tiết Học Phí'!$J$4:$J$1023,'Chi Tiết Học Phí'!$A$4:$A$1023,A65)</f>
        <v/>
      </c>
      <c r="F65" s="46">
        <f>SUMIFS('Chi Tiết Học Phí'!$K$4:$K$1023,'Chi Tiết Học Phí'!$A$4:$A$1023,A65)</f>
        <v/>
      </c>
      <c r="G65" s="46">
        <f>SUMIFS('Chi Tiết Học Phí'!$L$4:$L$1023,'Chi Tiết Học Phí'!$A$4:$A$1023,A65)</f>
        <v/>
      </c>
      <c r="H65" s="46">
        <f>SUMIFS('Chi Tiết Học Phí'!$M$4:$M$1023,'Chi Tiết Học Phí'!$A$4:$A$1023,A65)-SUMIFS('Chi Tiết Học Phí'!$N$4:$N$1023,'Chi Tiết Học Phí'!$A$4:$A$1023,A65)</f>
        <v/>
      </c>
      <c r="I65" s="46">
        <f>SUMIFS('Chi Tiết Học Phí'!$O$4:$O$1023,'Chi Tiết Học Phí'!$A$4:$A$1023,A65)</f>
        <v/>
      </c>
      <c r="J65" s="46">
        <f>SUMIFS('Chi Tiết Học Phí'!$P$4:$P$1023,'Chi Tiết Học Phí'!$A$4:$A$1023,A65)</f>
        <v/>
      </c>
      <c r="K65" s="45">
        <f>IF(J65&gt;0,"Còn nợ","Đã hoàn thành")</f>
        <v/>
      </c>
    </row>
    <row r="66">
      <c r="A66" s="45" t="inlineStr">
        <is>
          <t>251230995</t>
        </is>
      </c>
      <c r="B66" s="45" t="inlineStr">
        <is>
          <t>ĐINH VĂN TUYÊN</t>
        </is>
      </c>
      <c r="C66" s="45" t="inlineStr">
        <is>
          <t>Công nghệ thông tin 1 K66</t>
        </is>
      </c>
      <c r="D66" s="46">
        <f>SUMIFS('Chi Tiết Học Phí'!$H$4:$H$1023,'Chi Tiết Học Phí'!$A$4:$A$1023,A66)</f>
        <v/>
      </c>
      <c r="E66" s="46">
        <f>SUMIFS('Chi Tiết Học Phí'!$J$4:$J$1023,'Chi Tiết Học Phí'!$A$4:$A$1023,A66)</f>
        <v/>
      </c>
      <c r="F66" s="46">
        <f>SUMIFS('Chi Tiết Học Phí'!$K$4:$K$1023,'Chi Tiết Học Phí'!$A$4:$A$1023,A66)</f>
        <v/>
      </c>
      <c r="G66" s="46">
        <f>SUMIFS('Chi Tiết Học Phí'!$L$4:$L$1023,'Chi Tiết Học Phí'!$A$4:$A$1023,A66)</f>
        <v/>
      </c>
      <c r="H66" s="46">
        <f>SUMIFS('Chi Tiết Học Phí'!$M$4:$M$1023,'Chi Tiết Học Phí'!$A$4:$A$1023,A66)-SUMIFS('Chi Tiết Học Phí'!$N$4:$N$1023,'Chi Tiết Học Phí'!$A$4:$A$1023,A66)</f>
        <v/>
      </c>
      <c r="I66" s="46">
        <f>SUMIFS('Chi Tiết Học Phí'!$O$4:$O$1023,'Chi Tiết Học Phí'!$A$4:$A$1023,A66)</f>
        <v/>
      </c>
      <c r="J66" s="46">
        <f>SUMIFS('Chi Tiết Học Phí'!$P$4:$P$1023,'Chi Tiết Học Phí'!$A$4:$A$1023,A66)</f>
        <v/>
      </c>
      <c r="K66" s="45">
        <f>IF(J66&gt;0,"Còn nợ","Đã hoàn thành")</f>
        <v/>
      </c>
    </row>
    <row r="67">
      <c r="A67" s="45" t="inlineStr">
        <is>
          <t>251211001</t>
        </is>
      </c>
      <c r="B67" s="45" t="inlineStr">
        <is>
          <t>HOÀNG PHÚC VINH</t>
        </is>
      </c>
      <c r="C67" s="45" t="inlineStr">
        <is>
          <t>Công nghệ thông tin 1 K66</t>
        </is>
      </c>
      <c r="D67" s="46">
        <f>SUMIFS('Chi Tiết Học Phí'!$H$4:$H$1023,'Chi Tiết Học Phí'!$A$4:$A$1023,A67)</f>
        <v/>
      </c>
      <c r="E67" s="46">
        <f>SUMIFS('Chi Tiết Học Phí'!$J$4:$J$1023,'Chi Tiết Học Phí'!$A$4:$A$1023,A67)</f>
        <v/>
      </c>
      <c r="F67" s="46">
        <f>SUMIFS('Chi Tiết Học Phí'!$K$4:$K$1023,'Chi Tiết Học Phí'!$A$4:$A$1023,A67)</f>
        <v/>
      </c>
      <c r="G67" s="46">
        <f>SUMIFS('Chi Tiết Học Phí'!$L$4:$L$1023,'Chi Tiết Học Phí'!$A$4:$A$1023,A67)</f>
        <v/>
      </c>
      <c r="H67" s="46">
        <f>SUMIFS('Chi Tiết Học Phí'!$M$4:$M$1023,'Chi Tiết Học Phí'!$A$4:$A$1023,A67)-SUMIFS('Chi Tiết Học Phí'!$N$4:$N$1023,'Chi Tiết Học Phí'!$A$4:$A$1023,A67)</f>
        <v/>
      </c>
      <c r="I67" s="46">
        <f>SUMIFS('Chi Tiết Học Phí'!$O$4:$O$1023,'Chi Tiết Học Phí'!$A$4:$A$1023,A67)</f>
        <v/>
      </c>
      <c r="J67" s="46">
        <f>SUMIFS('Chi Tiết Học Phí'!$P$4:$P$1023,'Chi Tiết Học Phí'!$A$4:$A$1023,A67)</f>
        <v/>
      </c>
      <c r="K67" s="45">
        <f>IF(J67&gt;0,"Còn nợ","Đã hoàn thành")</f>
        <v/>
      </c>
    </row>
    <row r="68">
      <c r="A68" s="45" t="inlineStr">
        <is>
          <t>251211004</t>
        </is>
      </c>
      <c r="B68" s="45" t="inlineStr">
        <is>
          <t>VŨ TIẾN VINH</t>
        </is>
      </c>
      <c r="C68" s="45" t="inlineStr">
        <is>
          <t>Công nghệ thông tin 1 K66</t>
        </is>
      </c>
      <c r="D68" s="46">
        <f>SUMIFS('Chi Tiết Học Phí'!$H$4:$H$1023,'Chi Tiết Học Phí'!$A$4:$A$1023,A68)</f>
        <v/>
      </c>
      <c r="E68" s="46">
        <f>SUMIFS('Chi Tiết Học Phí'!$J$4:$J$1023,'Chi Tiết Học Phí'!$A$4:$A$1023,A68)</f>
        <v/>
      </c>
      <c r="F68" s="46">
        <f>SUMIFS('Chi Tiết Học Phí'!$K$4:$K$1023,'Chi Tiết Học Phí'!$A$4:$A$1023,A68)</f>
        <v/>
      </c>
      <c r="G68" s="46">
        <f>SUMIFS('Chi Tiết Học Phí'!$L$4:$L$1023,'Chi Tiết Học Phí'!$A$4:$A$1023,A68)</f>
        <v/>
      </c>
      <c r="H68" s="46">
        <f>SUMIFS('Chi Tiết Học Phí'!$M$4:$M$1023,'Chi Tiết Học Phí'!$A$4:$A$1023,A68)-SUMIFS('Chi Tiết Học Phí'!$N$4:$N$1023,'Chi Tiết Học Phí'!$A$4:$A$1023,A68)</f>
        <v/>
      </c>
      <c r="I68" s="46">
        <f>SUMIFS('Chi Tiết Học Phí'!$O$4:$O$1023,'Chi Tiết Học Phí'!$A$4:$A$1023,A68)</f>
        <v/>
      </c>
      <c r="J68" s="46">
        <f>SUMIFS('Chi Tiết Học Phí'!$P$4:$P$1023,'Chi Tiết Học Phí'!$A$4:$A$1023,A68)</f>
        <v/>
      </c>
      <c r="K68" s="45">
        <f>IF(J68&gt;0,"Còn nợ","Đã hoàn thành")</f>
        <v/>
      </c>
    </row>
    <row r="69">
      <c r="A69" s="45" t="inlineStr">
        <is>
          <t>251210798</t>
        </is>
      </c>
      <c r="B69" s="45" t="inlineStr">
        <is>
          <t>HOÀNG VIỆT ANH</t>
        </is>
      </c>
      <c r="C69" s="45" t="inlineStr">
        <is>
          <t>Công nghệ thông tin 2 K66</t>
        </is>
      </c>
      <c r="D69" s="46">
        <f>SUMIFS('Chi Tiết Học Phí'!$H$4:$H$1023,'Chi Tiết Học Phí'!$A$4:$A$1023,A69)</f>
        <v/>
      </c>
      <c r="E69" s="46">
        <f>SUMIFS('Chi Tiết Học Phí'!$J$4:$J$1023,'Chi Tiết Học Phí'!$A$4:$A$1023,A69)</f>
        <v/>
      </c>
      <c r="F69" s="46">
        <f>SUMIFS('Chi Tiết Học Phí'!$K$4:$K$1023,'Chi Tiết Học Phí'!$A$4:$A$1023,A69)</f>
        <v/>
      </c>
      <c r="G69" s="46">
        <f>SUMIFS('Chi Tiết Học Phí'!$L$4:$L$1023,'Chi Tiết Học Phí'!$A$4:$A$1023,A69)</f>
        <v/>
      </c>
      <c r="H69" s="46">
        <f>SUMIFS('Chi Tiết Học Phí'!$M$4:$M$1023,'Chi Tiết Học Phí'!$A$4:$A$1023,A69)-SUMIFS('Chi Tiết Học Phí'!$N$4:$N$1023,'Chi Tiết Học Phí'!$A$4:$A$1023,A69)</f>
        <v/>
      </c>
      <c r="I69" s="46">
        <f>SUMIFS('Chi Tiết Học Phí'!$O$4:$O$1023,'Chi Tiết Học Phí'!$A$4:$A$1023,A69)</f>
        <v/>
      </c>
      <c r="J69" s="46">
        <f>SUMIFS('Chi Tiết Học Phí'!$P$4:$P$1023,'Chi Tiết Học Phí'!$A$4:$A$1023,A69)</f>
        <v/>
      </c>
      <c r="K69" s="45">
        <f>IF(J69&gt;0,"Còn nợ","Đã hoàn thành")</f>
        <v/>
      </c>
    </row>
    <row r="70">
      <c r="A70" s="45" t="inlineStr">
        <is>
          <t>251230799</t>
        </is>
      </c>
      <c r="B70" s="45" t="inlineStr">
        <is>
          <t>LÃ TUẤN ANH</t>
        </is>
      </c>
      <c r="C70" s="45" t="inlineStr">
        <is>
          <t>Công nghệ thông tin 2 K66</t>
        </is>
      </c>
      <c r="D70" s="46">
        <f>SUMIFS('Chi Tiết Học Phí'!$H$4:$H$1023,'Chi Tiết Học Phí'!$A$4:$A$1023,A70)</f>
        <v/>
      </c>
      <c r="E70" s="46">
        <f>SUMIFS('Chi Tiết Học Phí'!$J$4:$J$1023,'Chi Tiết Học Phí'!$A$4:$A$1023,A70)</f>
        <v/>
      </c>
      <c r="F70" s="46">
        <f>SUMIFS('Chi Tiết Học Phí'!$K$4:$K$1023,'Chi Tiết Học Phí'!$A$4:$A$1023,A70)</f>
        <v/>
      </c>
      <c r="G70" s="46">
        <f>SUMIFS('Chi Tiết Học Phí'!$L$4:$L$1023,'Chi Tiết Học Phí'!$A$4:$A$1023,A70)</f>
        <v/>
      </c>
      <c r="H70" s="46">
        <f>SUMIFS('Chi Tiết Học Phí'!$M$4:$M$1023,'Chi Tiết Học Phí'!$A$4:$A$1023,A70)-SUMIFS('Chi Tiết Học Phí'!$N$4:$N$1023,'Chi Tiết Học Phí'!$A$4:$A$1023,A70)</f>
        <v/>
      </c>
      <c r="I70" s="46">
        <f>SUMIFS('Chi Tiết Học Phí'!$O$4:$O$1023,'Chi Tiết Học Phí'!$A$4:$A$1023,A70)</f>
        <v/>
      </c>
      <c r="J70" s="46">
        <f>SUMIFS('Chi Tiết Học Phí'!$P$4:$P$1023,'Chi Tiết Học Phí'!$A$4:$A$1023,A70)</f>
        <v/>
      </c>
      <c r="K70" s="45">
        <f>IF(J70&gt;0,"Còn nợ","Đã hoàn thành")</f>
        <v/>
      </c>
    </row>
    <row r="71">
      <c r="A71" s="45" t="inlineStr">
        <is>
          <t>251230802</t>
        </is>
      </c>
      <c r="B71" s="45" t="inlineStr">
        <is>
          <t>NGUYỄN CÔNG TUẤN ANH</t>
        </is>
      </c>
      <c r="C71" s="45" t="inlineStr">
        <is>
          <t>Công nghệ thông tin 2 K66</t>
        </is>
      </c>
      <c r="D71" s="46">
        <f>SUMIFS('Chi Tiết Học Phí'!$H$4:$H$1023,'Chi Tiết Học Phí'!$A$4:$A$1023,A71)</f>
        <v/>
      </c>
      <c r="E71" s="46">
        <f>SUMIFS('Chi Tiết Học Phí'!$J$4:$J$1023,'Chi Tiết Học Phí'!$A$4:$A$1023,A71)</f>
        <v/>
      </c>
      <c r="F71" s="46">
        <f>SUMIFS('Chi Tiết Học Phí'!$K$4:$K$1023,'Chi Tiết Học Phí'!$A$4:$A$1023,A71)</f>
        <v/>
      </c>
      <c r="G71" s="46">
        <f>SUMIFS('Chi Tiết Học Phí'!$L$4:$L$1023,'Chi Tiết Học Phí'!$A$4:$A$1023,A71)</f>
        <v/>
      </c>
      <c r="H71" s="46">
        <f>SUMIFS('Chi Tiết Học Phí'!$M$4:$M$1023,'Chi Tiết Học Phí'!$A$4:$A$1023,A71)-SUMIFS('Chi Tiết Học Phí'!$N$4:$N$1023,'Chi Tiết Học Phí'!$A$4:$A$1023,A71)</f>
        <v/>
      </c>
      <c r="I71" s="46">
        <f>SUMIFS('Chi Tiết Học Phí'!$O$4:$O$1023,'Chi Tiết Học Phí'!$A$4:$A$1023,A71)</f>
        <v/>
      </c>
      <c r="J71" s="46">
        <f>SUMIFS('Chi Tiết Học Phí'!$P$4:$P$1023,'Chi Tiết Học Phí'!$A$4:$A$1023,A71)</f>
        <v/>
      </c>
      <c r="K71" s="45">
        <f>IF(J71&gt;0,"Còn nợ","Đã hoàn thành")</f>
        <v/>
      </c>
    </row>
    <row r="72">
      <c r="A72" s="45" t="inlineStr">
        <is>
          <t>251230806</t>
        </is>
      </c>
      <c r="B72" s="45" t="inlineStr">
        <is>
          <t>NGUYỄN TUẤN ANH</t>
        </is>
      </c>
      <c r="C72" s="45" t="inlineStr">
        <is>
          <t>Công nghệ thông tin 2 K66</t>
        </is>
      </c>
      <c r="D72" s="46">
        <f>SUMIFS('Chi Tiết Học Phí'!$H$4:$H$1023,'Chi Tiết Học Phí'!$A$4:$A$1023,A72)</f>
        <v/>
      </c>
      <c r="E72" s="46">
        <f>SUMIFS('Chi Tiết Học Phí'!$J$4:$J$1023,'Chi Tiết Học Phí'!$A$4:$A$1023,A72)</f>
        <v/>
      </c>
      <c r="F72" s="46">
        <f>SUMIFS('Chi Tiết Học Phí'!$K$4:$K$1023,'Chi Tiết Học Phí'!$A$4:$A$1023,A72)</f>
        <v/>
      </c>
      <c r="G72" s="46">
        <f>SUMIFS('Chi Tiết Học Phí'!$L$4:$L$1023,'Chi Tiết Học Phí'!$A$4:$A$1023,A72)</f>
        <v/>
      </c>
      <c r="H72" s="46">
        <f>SUMIFS('Chi Tiết Học Phí'!$M$4:$M$1023,'Chi Tiết Học Phí'!$A$4:$A$1023,A72)-SUMIFS('Chi Tiết Học Phí'!$N$4:$N$1023,'Chi Tiết Học Phí'!$A$4:$A$1023,A72)</f>
        <v/>
      </c>
      <c r="I72" s="46">
        <f>SUMIFS('Chi Tiết Học Phí'!$O$4:$O$1023,'Chi Tiết Học Phí'!$A$4:$A$1023,A72)</f>
        <v/>
      </c>
      <c r="J72" s="46">
        <f>SUMIFS('Chi Tiết Học Phí'!$P$4:$P$1023,'Chi Tiết Học Phí'!$A$4:$A$1023,A72)</f>
        <v/>
      </c>
      <c r="K72" s="45">
        <f>IF(J72&gt;0,"Còn nợ","Đã hoàn thành")</f>
        <v/>
      </c>
    </row>
    <row r="73">
      <c r="A73" s="45" t="inlineStr">
        <is>
          <t>251230817</t>
        </is>
      </c>
      <c r="B73" s="45" t="inlineStr">
        <is>
          <t>LÊ CÔNG CƯƠNG</t>
        </is>
      </c>
      <c r="C73" s="45" t="inlineStr">
        <is>
          <t>Công nghệ thông tin 2 K66</t>
        </is>
      </c>
      <c r="D73" s="46">
        <f>SUMIFS('Chi Tiết Học Phí'!$H$4:$H$1023,'Chi Tiết Học Phí'!$A$4:$A$1023,A73)</f>
        <v/>
      </c>
      <c r="E73" s="46">
        <f>SUMIFS('Chi Tiết Học Phí'!$J$4:$J$1023,'Chi Tiết Học Phí'!$A$4:$A$1023,A73)</f>
        <v/>
      </c>
      <c r="F73" s="46">
        <f>SUMIFS('Chi Tiết Học Phí'!$K$4:$K$1023,'Chi Tiết Học Phí'!$A$4:$A$1023,A73)</f>
        <v/>
      </c>
      <c r="G73" s="46">
        <f>SUMIFS('Chi Tiết Học Phí'!$L$4:$L$1023,'Chi Tiết Học Phí'!$A$4:$A$1023,A73)</f>
        <v/>
      </c>
      <c r="H73" s="46">
        <f>SUMIFS('Chi Tiết Học Phí'!$M$4:$M$1023,'Chi Tiết Học Phí'!$A$4:$A$1023,A73)-SUMIFS('Chi Tiết Học Phí'!$N$4:$N$1023,'Chi Tiết Học Phí'!$A$4:$A$1023,A73)</f>
        <v/>
      </c>
      <c r="I73" s="46">
        <f>SUMIFS('Chi Tiết Học Phí'!$O$4:$O$1023,'Chi Tiết Học Phí'!$A$4:$A$1023,A73)</f>
        <v/>
      </c>
      <c r="J73" s="46">
        <f>SUMIFS('Chi Tiết Học Phí'!$P$4:$P$1023,'Chi Tiết Học Phí'!$A$4:$A$1023,A73)</f>
        <v/>
      </c>
      <c r="K73" s="45">
        <f>IF(J73&gt;0,"Còn nợ","Đã hoàn thành")</f>
        <v/>
      </c>
    </row>
    <row r="74">
      <c r="A74" s="45" t="inlineStr">
        <is>
          <t>251230819</t>
        </is>
      </c>
      <c r="B74" s="45" t="inlineStr">
        <is>
          <t>NGUYỄN ĐẠI CƯƠNG</t>
        </is>
      </c>
      <c r="C74" s="45" t="inlineStr">
        <is>
          <t>Công nghệ thông tin 2 K66</t>
        </is>
      </c>
      <c r="D74" s="46">
        <f>SUMIFS('Chi Tiết Học Phí'!$H$4:$H$1023,'Chi Tiết Học Phí'!$A$4:$A$1023,A74)</f>
        <v/>
      </c>
      <c r="E74" s="46">
        <f>SUMIFS('Chi Tiết Học Phí'!$J$4:$J$1023,'Chi Tiết Học Phí'!$A$4:$A$1023,A74)</f>
        <v/>
      </c>
      <c r="F74" s="46">
        <f>SUMIFS('Chi Tiết Học Phí'!$K$4:$K$1023,'Chi Tiết Học Phí'!$A$4:$A$1023,A74)</f>
        <v/>
      </c>
      <c r="G74" s="46">
        <f>SUMIFS('Chi Tiết Học Phí'!$L$4:$L$1023,'Chi Tiết Học Phí'!$A$4:$A$1023,A74)</f>
        <v/>
      </c>
      <c r="H74" s="46">
        <f>SUMIFS('Chi Tiết Học Phí'!$M$4:$M$1023,'Chi Tiết Học Phí'!$A$4:$A$1023,A74)-SUMIFS('Chi Tiết Học Phí'!$N$4:$N$1023,'Chi Tiết Học Phí'!$A$4:$A$1023,A74)</f>
        <v/>
      </c>
      <c r="I74" s="46">
        <f>SUMIFS('Chi Tiết Học Phí'!$O$4:$O$1023,'Chi Tiết Học Phí'!$A$4:$A$1023,A74)</f>
        <v/>
      </c>
      <c r="J74" s="46">
        <f>SUMIFS('Chi Tiết Học Phí'!$P$4:$P$1023,'Chi Tiết Học Phí'!$A$4:$A$1023,A74)</f>
        <v/>
      </c>
      <c r="K74" s="45">
        <f>IF(J74&gt;0,"Còn nợ","Đã hoàn thành")</f>
        <v/>
      </c>
    </row>
    <row r="75">
      <c r="A75" s="45" t="inlineStr">
        <is>
          <t>251210827</t>
        </is>
      </c>
      <c r="B75" s="45" t="inlineStr">
        <is>
          <t>NGUYỄN LÂN DŨNG</t>
        </is>
      </c>
      <c r="C75" s="45" t="inlineStr">
        <is>
          <t>Công nghệ thông tin 2 K66</t>
        </is>
      </c>
      <c r="D75" s="46">
        <f>SUMIFS('Chi Tiết Học Phí'!$H$4:$H$1023,'Chi Tiết Học Phí'!$A$4:$A$1023,A75)</f>
        <v/>
      </c>
      <c r="E75" s="46">
        <f>SUMIFS('Chi Tiết Học Phí'!$J$4:$J$1023,'Chi Tiết Học Phí'!$A$4:$A$1023,A75)</f>
        <v/>
      </c>
      <c r="F75" s="46">
        <f>SUMIFS('Chi Tiết Học Phí'!$K$4:$K$1023,'Chi Tiết Học Phí'!$A$4:$A$1023,A75)</f>
        <v/>
      </c>
      <c r="G75" s="46">
        <f>SUMIFS('Chi Tiết Học Phí'!$L$4:$L$1023,'Chi Tiết Học Phí'!$A$4:$A$1023,A75)</f>
        <v/>
      </c>
      <c r="H75" s="46">
        <f>SUMIFS('Chi Tiết Học Phí'!$M$4:$M$1023,'Chi Tiết Học Phí'!$A$4:$A$1023,A75)-SUMIFS('Chi Tiết Học Phí'!$N$4:$N$1023,'Chi Tiết Học Phí'!$A$4:$A$1023,A75)</f>
        <v/>
      </c>
      <c r="I75" s="46">
        <f>SUMIFS('Chi Tiết Học Phí'!$O$4:$O$1023,'Chi Tiết Học Phí'!$A$4:$A$1023,A75)</f>
        <v/>
      </c>
      <c r="J75" s="46">
        <f>SUMIFS('Chi Tiết Học Phí'!$P$4:$P$1023,'Chi Tiết Học Phí'!$A$4:$A$1023,A75)</f>
        <v/>
      </c>
      <c r="K75" s="45">
        <f>IF(J75&gt;0,"Còn nợ","Đã hoàn thành")</f>
        <v/>
      </c>
    </row>
    <row r="76">
      <c r="A76" s="45" t="inlineStr">
        <is>
          <t>251230828</t>
        </is>
      </c>
      <c r="B76" s="45" t="inlineStr">
        <is>
          <t>TRẦN QUỐC DŨNG</t>
        </is>
      </c>
      <c r="C76" s="45" t="inlineStr">
        <is>
          <t>Công nghệ thông tin 2 K66</t>
        </is>
      </c>
      <c r="D76" s="46">
        <f>SUMIFS('Chi Tiết Học Phí'!$H$4:$H$1023,'Chi Tiết Học Phí'!$A$4:$A$1023,A76)</f>
        <v/>
      </c>
      <c r="E76" s="46">
        <f>SUMIFS('Chi Tiết Học Phí'!$J$4:$J$1023,'Chi Tiết Học Phí'!$A$4:$A$1023,A76)</f>
        <v/>
      </c>
      <c r="F76" s="46">
        <f>SUMIFS('Chi Tiết Học Phí'!$K$4:$K$1023,'Chi Tiết Học Phí'!$A$4:$A$1023,A76)</f>
        <v/>
      </c>
      <c r="G76" s="46">
        <f>SUMIFS('Chi Tiết Học Phí'!$L$4:$L$1023,'Chi Tiết Học Phí'!$A$4:$A$1023,A76)</f>
        <v/>
      </c>
      <c r="H76" s="46">
        <f>SUMIFS('Chi Tiết Học Phí'!$M$4:$M$1023,'Chi Tiết Học Phí'!$A$4:$A$1023,A76)-SUMIFS('Chi Tiết Học Phí'!$N$4:$N$1023,'Chi Tiết Học Phí'!$A$4:$A$1023,A76)</f>
        <v/>
      </c>
      <c r="I76" s="46">
        <f>SUMIFS('Chi Tiết Học Phí'!$O$4:$O$1023,'Chi Tiết Học Phí'!$A$4:$A$1023,A76)</f>
        <v/>
      </c>
      <c r="J76" s="46">
        <f>SUMIFS('Chi Tiết Học Phí'!$P$4:$P$1023,'Chi Tiết Học Phí'!$A$4:$A$1023,A76)</f>
        <v/>
      </c>
      <c r="K76" s="45">
        <f>IF(J76&gt;0,"Còn nợ","Đã hoàn thành")</f>
        <v/>
      </c>
    </row>
    <row r="77">
      <c r="A77" s="45" t="inlineStr">
        <is>
          <t>251210831</t>
        </is>
      </c>
      <c r="B77" s="45" t="inlineStr">
        <is>
          <t>NGUYỄN BÁ DƯƠNG</t>
        </is>
      </c>
      <c r="C77" s="45" t="inlineStr">
        <is>
          <t>Công nghệ thông tin 2 K66</t>
        </is>
      </c>
      <c r="D77" s="46">
        <f>SUMIFS('Chi Tiết Học Phí'!$H$4:$H$1023,'Chi Tiết Học Phí'!$A$4:$A$1023,A77)</f>
        <v/>
      </c>
      <c r="E77" s="46">
        <f>SUMIFS('Chi Tiết Học Phí'!$J$4:$J$1023,'Chi Tiết Học Phí'!$A$4:$A$1023,A77)</f>
        <v/>
      </c>
      <c r="F77" s="46">
        <f>SUMIFS('Chi Tiết Học Phí'!$K$4:$K$1023,'Chi Tiết Học Phí'!$A$4:$A$1023,A77)</f>
        <v/>
      </c>
      <c r="G77" s="46">
        <f>SUMIFS('Chi Tiết Học Phí'!$L$4:$L$1023,'Chi Tiết Học Phí'!$A$4:$A$1023,A77)</f>
        <v/>
      </c>
      <c r="H77" s="46">
        <f>SUMIFS('Chi Tiết Học Phí'!$M$4:$M$1023,'Chi Tiết Học Phí'!$A$4:$A$1023,A77)-SUMIFS('Chi Tiết Học Phí'!$N$4:$N$1023,'Chi Tiết Học Phí'!$A$4:$A$1023,A77)</f>
        <v/>
      </c>
      <c r="I77" s="46">
        <f>SUMIFS('Chi Tiết Học Phí'!$O$4:$O$1023,'Chi Tiết Học Phí'!$A$4:$A$1023,A77)</f>
        <v/>
      </c>
      <c r="J77" s="46">
        <f>SUMIFS('Chi Tiết Học Phí'!$P$4:$P$1023,'Chi Tiết Học Phí'!$A$4:$A$1023,A77)</f>
        <v/>
      </c>
      <c r="K77" s="45">
        <f>IF(J77&gt;0,"Còn nợ","Đã hoàn thành")</f>
        <v/>
      </c>
    </row>
    <row r="78">
      <c r="A78" s="45" t="inlineStr">
        <is>
          <t>251230835</t>
        </is>
      </c>
      <c r="B78" s="45" t="inlineStr">
        <is>
          <t>PHAN TÙNG DƯƠNG</t>
        </is>
      </c>
      <c r="C78" s="45" t="inlineStr">
        <is>
          <t>Công nghệ thông tin 2 K66</t>
        </is>
      </c>
      <c r="D78" s="46">
        <f>SUMIFS('Chi Tiết Học Phí'!$H$4:$H$1023,'Chi Tiết Học Phí'!$A$4:$A$1023,A78)</f>
        <v/>
      </c>
      <c r="E78" s="46">
        <f>SUMIFS('Chi Tiết Học Phí'!$J$4:$J$1023,'Chi Tiết Học Phí'!$A$4:$A$1023,A78)</f>
        <v/>
      </c>
      <c r="F78" s="46">
        <f>SUMIFS('Chi Tiết Học Phí'!$K$4:$K$1023,'Chi Tiết Học Phí'!$A$4:$A$1023,A78)</f>
        <v/>
      </c>
      <c r="G78" s="46">
        <f>SUMIFS('Chi Tiết Học Phí'!$L$4:$L$1023,'Chi Tiết Học Phí'!$A$4:$A$1023,A78)</f>
        <v/>
      </c>
      <c r="H78" s="46">
        <f>SUMIFS('Chi Tiết Học Phí'!$M$4:$M$1023,'Chi Tiết Học Phí'!$A$4:$A$1023,A78)-SUMIFS('Chi Tiết Học Phí'!$N$4:$N$1023,'Chi Tiết Học Phí'!$A$4:$A$1023,A78)</f>
        <v/>
      </c>
      <c r="I78" s="46">
        <f>SUMIFS('Chi Tiết Học Phí'!$O$4:$O$1023,'Chi Tiết Học Phí'!$A$4:$A$1023,A78)</f>
        <v/>
      </c>
      <c r="J78" s="46">
        <f>SUMIFS('Chi Tiết Học Phí'!$P$4:$P$1023,'Chi Tiết Học Phí'!$A$4:$A$1023,A78)</f>
        <v/>
      </c>
      <c r="K78" s="45">
        <f>IF(J78&gt;0,"Còn nợ","Đã hoàn thành")</f>
        <v/>
      </c>
    </row>
    <row r="79">
      <c r="A79" s="45" t="inlineStr">
        <is>
          <t>251230829</t>
        </is>
      </c>
      <c r="B79" s="45" t="inlineStr">
        <is>
          <t>DOÃN CÔNG DUY</t>
        </is>
      </c>
      <c r="C79" s="45" t="inlineStr">
        <is>
          <t>Công nghệ thông tin 2 K66</t>
        </is>
      </c>
      <c r="D79" s="46">
        <f>SUMIFS('Chi Tiết Học Phí'!$H$4:$H$1023,'Chi Tiết Học Phí'!$A$4:$A$1023,A79)</f>
        <v/>
      </c>
      <c r="E79" s="46">
        <f>SUMIFS('Chi Tiết Học Phí'!$J$4:$J$1023,'Chi Tiết Học Phí'!$A$4:$A$1023,A79)</f>
        <v/>
      </c>
      <c r="F79" s="46">
        <f>SUMIFS('Chi Tiết Học Phí'!$K$4:$K$1023,'Chi Tiết Học Phí'!$A$4:$A$1023,A79)</f>
        <v/>
      </c>
      <c r="G79" s="46">
        <f>SUMIFS('Chi Tiết Học Phí'!$L$4:$L$1023,'Chi Tiết Học Phí'!$A$4:$A$1023,A79)</f>
        <v/>
      </c>
      <c r="H79" s="46">
        <f>SUMIFS('Chi Tiết Học Phí'!$M$4:$M$1023,'Chi Tiết Học Phí'!$A$4:$A$1023,A79)-SUMIFS('Chi Tiết Học Phí'!$N$4:$N$1023,'Chi Tiết Học Phí'!$A$4:$A$1023,A79)</f>
        <v/>
      </c>
      <c r="I79" s="46">
        <f>SUMIFS('Chi Tiết Học Phí'!$O$4:$O$1023,'Chi Tiết Học Phí'!$A$4:$A$1023,A79)</f>
        <v/>
      </c>
      <c r="J79" s="46">
        <f>SUMIFS('Chi Tiết Học Phí'!$P$4:$P$1023,'Chi Tiết Học Phí'!$A$4:$A$1023,A79)</f>
        <v/>
      </c>
      <c r="K79" s="45">
        <f>IF(J79&gt;0,"Còn nợ","Đã hoàn thành")</f>
        <v/>
      </c>
    </row>
    <row r="80">
      <c r="A80" s="45" t="inlineStr">
        <is>
          <t>251230830</t>
        </is>
      </c>
      <c r="B80" s="45" t="inlineStr">
        <is>
          <t>NGUYỄN VĂN DUY</t>
        </is>
      </c>
      <c r="C80" s="45" t="inlineStr">
        <is>
          <t>Công nghệ thông tin 2 K66</t>
        </is>
      </c>
      <c r="D80" s="46">
        <f>SUMIFS('Chi Tiết Học Phí'!$H$4:$H$1023,'Chi Tiết Học Phí'!$A$4:$A$1023,A80)</f>
        <v/>
      </c>
      <c r="E80" s="46">
        <f>SUMIFS('Chi Tiết Học Phí'!$J$4:$J$1023,'Chi Tiết Học Phí'!$A$4:$A$1023,A80)</f>
        <v/>
      </c>
      <c r="F80" s="46">
        <f>SUMIFS('Chi Tiết Học Phí'!$K$4:$K$1023,'Chi Tiết Học Phí'!$A$4:$A$1023,A80)</f>
        <v/>
      </c>
      <c r="G80" s="46">
        <f>SUMIFS('Chi Tiết Học Phí'!$L$4:$L$1023,'Chi Tiết Học Phí'!$A$4:$A$1023,A80)</f>
        <v/>
      </c>
      <c r="H80" s="46">
        <f>SUMIFS('Chi Tiết Học Phí'!$M$4:$M$1023,'Chi Tiết Học Phí'!$A$4:$A$1023,A80)-SUMIFS('Chi Tiết Học Phí'!$N$4:$N$1023,'Chi Tiết Học Phí'!$A$4:$A$1023,A80)</f>
        <v/>
      </c>
      <c r="I80" s="46">
        <f>SUMIFS('Chi Tiết Học Phí'!$O$4:$O$1023,'Chi Tiết Học Phí'!$A$4:$A$1023,A80)</f>
        <v/>
      </c>
      <c r="J80" s="46">
        <f>SUMIFS('Chi Tiết Học Phí'!$P$4:$P$1023,'Chi Tiết Học Phí'!$A$4:$A$1023,A80)</f>
        <v/>
      </c>
      <c r="K80" s="45">
        <f>IF(J80&gt;0,"Còn nợ","Đã hoàn thành")</f>
        <v/>
      </c>
    </row>
    <row r="81">
      <c r="A81" s="45" t="inlineStr">
        <is>
          <t>251230837</t>
        </is>
      </c>
      <c r="B81" s="45" t="inlineStr">
        <is>
          <t>HOÀNG THÀNH ĐẠT</t>
        </is>
      </c>
      <c r="C81" s="45" t="inlineStr">
        <is>
          <t>Công nghệ thông tin 2 K66</t>
        </is>
      </c>
      <c r="D81" s="46">
        <f>SUMIFS('Chi Tiết Học Phí'!$H$4:$H$1023,'Chi Tiết Học Phí'!$A$4:$A$1023,A81)</f>
        <v/>
      </c>
      <c r="E81" s="46">
        <f>SUMIFS('Chi Tiết Học Phí'!$J$4:$J$1023,'Chi Tiết Học Phí'!$A$4:$A$1023,A81)</f>
        <v/>
      </c>
      <c r="F81" s="46">
        <f>SUMIFS('Chi Tiết Học Phí'!$K$4:$K$1023,'Chi Tiết Học Phí'!$A$4:$A$1023,A81)</f>
        <v/>
      </c>
      <c r="G81" s="46">
        <f>SUMIFS('Chi Tiết Học Phí'!$L$4:$L$1023,'Chi Tiết Học Phí'!$A$4:$A$1023,A81)</f>
        <v/>
      </c>
      <c r="H81" s="46">
        <f>SUMIFS('Chi Tiết Học Phí'!$M$4:$M$1023,'Chi Tiết Học Phí'!$A$4:$A$1023,A81)-SUMIFS('Chi Tiết Học Phí'!$N$4:$N$1023,'Chi Tiết Học Phí'!$A$4:$A$1023,A81)</f>
        <v/>
      </c>
      <c r="I81" s="46">
        <f>SUMIFS('Chi Tiết Học Phí'!$O$4:$O$1023,'Chi Tiết Học Phí'!$A$4:$A$1023,A81)</f>
        <v/>
      </c>
      <c r="J81" s="46">
        <f>SUMIFS('Chi Tiết Học Phí'!$P$4:$P$1023,'Chi Tiết Học Phí'!$A$4:$A$1023,A81)</f>
        <v/>
      </c>
      <c r="K81" s="45">
        <f>IF(J81&gt;0,"Còn nợ","Đã hoàn thành")</f>
        <v/>
      </c>
    </row>
    <row r="82">
      <c r="A82" s="45" t="inlineStr">
        <is>
          <t>251210838</t>
        </is>
      </c>
      <c r="B82" s="45" t="inlineStr">
        <is>
          <t>LÊ TRẦN TIẾN ĐẠT</t>
        </is>
      </c>
      <c r="C82" s="45" t="inlineStr">
        <is>
          <t>Công nghệ thông tin 2 K66</t>
        </is>
      </c>
      <c r="D82" s="46">
        <f>SUMIFS('Chi Tiết Học Phí'!$H$4:$H$1023,'Chi Tiết Học Phí'!$A$4:$A$1023,A82)</f>
        <v/>
      </c>
      <c r="E82" s="46">
        <f>SUMIFS('Chi Tiết Học Phí'!$J$4:$J$1023,'Chi Tiết Học Phí'!$A$4:$A$1023,A82)</f>
        <v/>
      </c>
      <c r="F82" s="46">
        <f>SUMIFS('Chi Tiết Học Phí'!$K$4:$K$1023,'Chi Tiết Học Phí'!$A$4:$A$1023,A82)</f>
        <v/>
      </c>
      <c r="G82" s="46">
        <f>SUMIFS('Chi Tiết Học Phí'!$L$4:$L$1023,'Chi Tiết Học Phí'!$A$4:$A$1023,A82)</f>
        <v/>
      </c>
      <c r="H82" s="46">
        <f>SUMIFS('Chi Tiết Học Phí'!$M$4:$M$1023,'Chi Tiết Học Phí'!$A$4:$A$1023,A82)-SUMIFS('Chi Tiết Học Phí'!$N$4:$N$1023,'Chi Tiết Học Phí'!$A$4:$A$1023,A82)</f>
        <v/>
      </c>
      <c r="I82" s="46">
        <f>SUMIFS('Chi Tiết Học Phí'!$O$4:$O$1023,'Chi Tiết Học Phí'!$A$4:$A$1023,A82)</f>
        <v/>
      </c>
      <c r="J82" s="46">
        <f>SUMIFS('Chi Tiết Học Phí'!$P$4:$P$1023,'Chi Tiết Học Phí'!$A$4:$A$1023,A82)</f>
        <v/>
      </c>
      <c r="K82" s="45">
        <f>IF(J82&gt;0,"Còn nợ","Đã hoàn thành")</f>
        <v/>
      </c>
    </row>
    <row r="83">
      <c r="A83" s="45" t="inlineStr">
        <is>
          <t>251210839</t>
        </is>
      </c>
      <c r="B83" s="45" t="inlineStr">
        <is>
          <t>NGUYỄN TIẾN ĐẠT</t>
        </is>
      </c>
      <c r="C83" s="45" t="inlineStr">
        <is>
          <t>Công nghệ thông tin 2 K66</t>
        </is>
      </c>
      <c r="D83" s="46">
        <f>SUMIFS('Chi Tiết Học Phí'!$H$4:$H$1023,'Chi Tiết Học Phí'!$A$4:$A$1023,A83)</f>
        <v/>
      </c>
      <c r="E83" s="46">
        <f>SUMIFS('Chi Tiết Học Phí'!$J$4:$J$1023,'Chi Tiết Học Phí'!$A$4:$A$1023,A83)</f>
        <v/>
      </c>
      <c r="F83" s="46">
        <f>SUMIFS('Chi Tiết Học Phí'!$K$4:$K$1023,'Chi Tiết Học Phí'!$A$4:$A$1023,A83)</f>
        <v/>
      </c>
      <c r="G83" s="46">
        <f>SUMIFS('Chi Tiết Học Phí'!$L$4:$L$1023,'Chi Tiết Học Phí'!$A$4:$A$1023,A83)</f>
        <v/>
      </c>
      <c r="H83" s="46">
        <f>SUMIFS('Chi Tiết Học Phí'!$M$4:$M$1023,'Chi Tiết Học Phí'!$A$4:$A$1023,A83)-SUMIFS('Chi Tiết Học Phí'!$N$4:$N$1023,'Chi Tiết Học Phí'!$A$4:$A$1023,A83)</f>
        <v/>
      </c>
      <c r="I83" s="46">
        <f>SUMIFS('Chi Tiết Học Phí'!$O$4:$O$1023,'Chi Tiết Học Phí'!$A$4:$A$1023,A83)</f>
        <v/>
      </c>
      <c r="J83" s="46">
        <f>SUMIFS('Chi Tiết Học Phí'!$P$4:$P$1023,'Chi Tiết Học Phí'!$A$4:$A$1023,A83)</f>
        <v/>
      </c>
      <c r="K83" s="45">
        <f>IF(J83&gt;0,"Còn nợ","Đã hoàn thành")</f>
        <v/>
      </c>
    </row>
    <row r="84">
      <c r="A84" s="45" t="inlineStr">
        <is>
          <t>251230840</t>
        </is>
      </c>
      <c r="B84" s="45" t="inlineStr">
        <is>
          <t>PHẠM TIẾN ĐẠT</t>
        </is>
      </c>
      <c r="C84" s="45" t="inlineStr">
        <is>
          <t>Công nghệ thông tin 2 K66</t>
        </is>
      </c>
      <c r="D84" s="46">
        <f>SUMIFS('Chi Tiết Học Phí'!$H$4:$H$1023,'Chi Tiết Học Phí'!$A$4:$A$1023,A84)</f>
        <v/>
      </c>
      <c r="E84" s="46">
        <f>SUMIFS('Chi Tiết Học Phí'!$J$4:$J$1023,'Chi Tiết Học Phí'!$A$4:$A$1023,A84)</f>
        <v/>
      </c>
      <c r="F84" s="46">
        <f>SUMIFS('Chi Tiết Học Phí'!$K$4:$K$1023,'Chi Tiết Học Phí'!$A$4:$A$1023,A84)</f>
        <v/>
      </c>
      <c r="G84" s="46">
        <f>SUMIFS('Chi Tiết Học Phí'!$L$4:$L$1023,'Chi Tiết Học Phí'!$A$4:$A$1023,A84)</f>
        <v/>
      </c>
      <c r="H84" s="46">
        <f>SUMIFS('Chi Tiết Học Phí'!$M$4:$M$1023,'Chi Tiết Học Phí'!$A$4:$A$1023,A84)-SUMIFS('Chi Tiết Học Phí'!$N$4:$N$1023,'Chi Tiết Học Phí'!$A$4:$A$1023,A84)</f>
        <v/>
      </c>
      <c r="I84" s="46">
        <f>SUMIFS('Chi Tiết Học Phí'!$O$4:$O$1023,'Chi Tiết Học Phí'!$A$4:$A$1023,A84)</f>
        <v/>
      </c>
      <c r="J84" s="46">
        <f>SUMIFS('Chi Tiết Học Phí'!$P$4:$P$1023,'Chi Tiết Học Phí'!$A$4:$A$1023,A84)</f>
        <v/>
      </c>
      <c r="K84" s="45">
        <f>IF(J84&gt;0,"Còn nợ","Đã hoàn thành")</f>
        <v/>
      </c>
    </row>
    <row r="85">
      <c r="A85" s="45" t="inlineStr">
        <is>
          <t>251210842</t>
        </is>
      </c>
      <c r="B85" s="45" t="inlineStr">
        <is>
          <t>LƯƠNG ĐÌNH ĐOÀN</t>
        </is>
      </c>
      <c r="C85" s="45" t="inlineStr">
        <is>
          <t>Công nghệ thông tin 2 K66</t>
        </is>
      </c>
      <c r="D85" s="46">
        <f>SUMIFS('Chi Tiết Học Phí'!$H$4:$H$1023,'Chi Tiết Học Phí'!$A$4:$A$1023,A85)</f>
        <v/>
      </c>
      <c r="E85" s="46">
        <f>SUMIFS('Chi Tiết Học Phí'!$J$4:$J$1023,'Chi Tiết Học Phí'!$A$4:$A$1023,A85)</f>
        <v/>
      </c>
      <c r="F85" s="46">
        <f>SUMIFS('Chi Tiết Học Phí'!$K$4:$K$1023,'Chi Tiết Học Phí'!$A$4:$A$1023,A85)</f>
        <v/>
      </c>
      <c r="G85" s="46">
        <f>SUMIFS('Chi Tiết Học Phí'!$L$4:$L$1023,'Chi Tiết Học Phí'!$A$4:$A$1023,A85)</f>
        <v/>
      </c>
      <c r="H85" s="46">
        <f>SUMIFS('Chi Tiết Học Phí'!$M$4:$M$1023,'Chi Tiết Học Phí'!$A$4:$A$1023,A85)-SUMIFS('Chi Tiết Học Phí'!$N$4:$N$1023,'Chi Tiết Học Phí'!$A$4:$A$1023,A85)</f>
        <v/>
      </c>
      <c r="I85" s="46">
        <f>SUMIFS('Chi Tiết Học Phí'!$O$4:$O$1023,'Chi Tiết Học Phí'!$A$4:$A$1023,A85)</f>
        <v/>
      </c>
      <c r="J85" s="46">
        <f>SUMIFS('Chi Tiết Học Phí'!$P$4:$P$1023,'Chi Tiết Học Phí'!$A$4:$A$1023,A85)</f>
        <v/>
      </c>
      <c r="K85" s="45">
        <f>IF(J85&gt;0,"Còn nợ","Đã hoàn thành")</f>
        <v/>
      </c>
    </row>
    <row r="86">
      <c r="A86" s="45" t="inlineStr">
        <is>
          <t>251230844</t>
        </is>
      </c>
      <c r="B86" s="45" t="inlineStr">
        <is>
          <t>DƯƠNG VIỆT ĐỨC</t>
        </is>
      </c>
      <c r="C86" s="45" t="inlineStr">
        <is>
          <t>Công nghệ thông tin 2 K66</t>
        </is>
      </c>
      <c r="D86" s="46">
        <f>SUMIFS('Chi Tiết Học Phí'!$H$4:$H$1023,'Chi Tiết Học Phí'!$A$4:$A$1023,A86)</f>
        <v/>
      </c>
      <c r="E86" s="46">
        <f>SUMIFS('Chi Tiết Học Phí'!$J$4:$J$1023,'Chi Tiết Học Phí'!$A$4:$A$1023,A86)</f>
        <v/>
      </c>
      <c r="F86" s="46">
        <f>SUMIFS('Chi Tiết Học Phí'!$K$4:$K$1023,'Chi Tiết Học Phí'!$A$4:$A$1023,A86)</f>
        <v/>
      </c>
      <c r="G86" s="46">
        <f>SUMIFS('Chi Tiết Học Phí'!$L$4:$L$1023,'Chi Tiết Học Phí'!$A$4:$A$1023,A86)</f>
        <v/>
      </c>
      <c r="H86" s="46">
        <f>SUMIFS('Chi Tiết Học Phí'!$M$4:$M$1023,'Chi Tiết Học Phí'!$A$4:$A$1023,A86)-SUMIFS('Chi Tiết Học Phí'!$N$4:$N$1023,'Chi Tiết Học Phí'!$A$4:$A$1023,A86)</f>
        <v/>
      </c>
      <c r="I86" s="46">
        <f>SUMIFS('Chi Tiết Học Phí'!$O$4:$O$1023,'Chi Tiết Học Phí'!$A$4:$A$1023,A86)</f>
        <v/>
      </c>
      <c r="J86" s="46">
        <f>SUMIFS('Chi Tiết Học Phí'!$P$4:$P$1023,'Chi Tiết Học Phí'!$A$4:$A$1023,A86)</f>
        <v/>
      </c>
      <c r="K86" s="45">
        <f>IF(J86&gt;0,"Còn nợ","Đã hoàn thành")</f>
        <v/>
      </c>
    </row>
    <row r="87">
      <c r="A87" s="45" t="inlineStr">
        <is>
          <t>251210845</t>
        </is>
      </c>
      <c r="B87" s="45" t="inlineStr">
        <is>
          <t>MAI ANH ĐỨC</t>
        </is>
      </c>
      <c r="C87" s="45" t="inlineStr">
        <is>
          <t>Công nghệ thông tin 2 K66</t>
        </is>
      </c>
      <c r="D87" s="46">
        <f>SUMIFS('Chi Tiết Học Phí'!$H$4:$H$1023,'Chi Tiết Học Phí'!$A$4:$A$1023,A87)</f>
        <v/>
      </c>
      <c r="E87" s="46">
        <f>SUMIFS('Chi Tiết Học Phí'!$J$4:$J$1023,'Chi Tiết Học Phí'!$A$4:$A$1023,A87)</f>
        <v/>
      </c>
      <c r="F87" s="46">
        <f>SUMIFS('Chi Tiết Học Phí'!$K$4:$K$1023,'Chi Tiết Học Phí'!$A$4:$A$1023,A87)</f>
        <v/>
      </c>
      <c r="G87" s="46">
        <f>SUMIFS('Chi Tiết Học Phí'!$L$4:$L$1023,'Chi Tiết Học Phí'!$A$4:$A$1023,A87)</f>
        <v/>
      </c>
      <c r="H87" s="46">
        <f>SUMIFS('Chi Tiết Học Phí'!$M$4:$M$1023,'Chi Tiết Học Phí'!$A$4:$A$1023,A87)-SUMIFS('Chi Tiết Học Phí'!$N$4:$N$1023,'Chi Tiết Học Phí'!$A$4:$A$1023,A87)</f>
        <v/>
      </c>
      <c r="I87" s="46">
        <f>SUMIFS('Chi Tiết Học Phí'!$O$4:$O$1023,'Chi Tiết Học Phí'!$A$4:$A$1023,A87)</f>
        <v/>
      </c>
      <c r="J87" s="46">
        <f>SUMIFS('Chi Tiết Học Phí'!$P$4:$P$1023,'Chi Tiết Học Phí'!$A$4:$A$1023,A87)</f>
        <v/>
      </c>
      <c r="K87" s="45">
        <f>IF(J87&gt;0,"Còn nợ","Đã hoàn thành")</f>
        <v/>
      </c>
    </row>
    <row r="88">
      <c r="A88" s="45" t="inlineStr">
        <is>
          <t>251210860</t>
        </is>
      </c>
      <c r="B88" s="45" t="inlineStr">
        <is>
          <t>ĐẶNG TRUNG HIẾU</t>
        </is>
      </c>
      <c r="C88" s="45" t="inlineStr">
        <is>
          <t>Công nghệ thông tin 2 K66</t>
        </is>
      </c>
      <c r="D88" s="46">
        <f>SUMIFS('Chi Tiết Học Phí'!$H$4:$H$1023,'Chi Tiết Học Phí'!$A$4:$A$1023,A88)</f>
        <v/>
      </c>
      <c r="E88" s="46">
        <f>SUMIFS('Chi Tiết Học Phí'!$J$4:$J$1023,'Chi Tiết Học Phí'!$A$4:$A$1023,A88)</f>
        <v/>
      </c>
      <c r="F88" s="46">
        <f>SUMIFS('Chi Tiết Học Phí'!$K$4:$K$1023,'Chi Tiết Học Phí'!$A$4:$A$1023,A88)</f>
        <v/>
      </c>
      <c r="G88" s="46">
        <f>SUMIFS('Chi Tiết Học Phí'!$L$4:$L$1023,'Chi Tiết Học Phí'!$A$4:$A$1023,A88)</f>
        <v/>
      </c>
      <c r="H88" s="46">
        <f>SUMIFS('Chi Tiết Học Phí'!$M$4:$M$1023,'Chi Tiết Học Phí'!$A$4:$A$1023,A88)-SUMIFS('Chi Tiết Học Phí'!$N$4:$N$1023,'Chi Tiết Học Phí'!$A$4:$A$1023,A88)</f>
        <v/>
      </c>
      <c r="I88" s="46">
        <f>SUMIFS('Chi Tiết Học Phí'!$O$4:$O$1023,'Chi Tiết Học Phí'!$A$4:$A$1023,A88)</f>
        <v/>
      </c>
      <c r="J88" s="46">
        <f>SUMIFS('Chi Tiết Học Phí'!$P$4:$P$1023,'Chi Tiết Học Phí'!$A$4:$A$1023,A88)</f>
        <v/>
      </c>
      <c r="K88" s="45">
        <f>IF(J88&gt;0,"Còn nợ","Đã hoàn thành")</f>
        <v/>
      </c>
    </row>
    <row r="89">
      <c r="A89" s="45" t="inlineStr">
        <is>
          <t>251230859</t>
        </is>
      </c>
      <c r="B89" s="45" t="inlineStr">
        <is>
          <t>ĐINH NGUYỄN MINH HIẾU</t>
        </is>
      </c>
      <c r="C89" s="45" t="inlineStr">
        <is>
          <t>Công nghệ thông tin 2 K66</t>
        </is>
      </c>
      <c r="D89" s="46">
        <f>SUMIFS('Chi Tiết Học Phí'!$H$4:$H$1023,'Chi Tiết Học Phí'!$A$4:$A$1023,A89)</f>
        <v/>
      </c>
      <c r="E89" s="46">
        <f>SUMIFS('Chi Tiết Học Phí'!$J$4:$J$1023,'Chi Tiết Học Phí'!$A$4:$A$1023,A89)</f>
        <v/>
      </c>
      <c r="F89" s="46">
        <f>SUMIFS('Chi Tiết Học Phí'!$K$4:$K$1023,'Chi Tiết Học Phí'!$A$4:$A$1023,A89)</f>
        <v/>
      </c>
      <c r="G89" s="46">
        <f>SUMIFS('Chi Tiết Học Phí'!$L$4:$L$1023,'Chi Tiết Học Phí'!$A$4:$A$1023,A89)</f>
        <v/>
      </c>
      <c r="H89" s="46">
        <f>SUMIFS('Chi Tiết Học Phí'!$M$4:$M$1023,'Chi Tiết Học Phí'!$A$4:$A$1023,A89)-SUMIFS('Chi Tiết Học Phí'!$N$4:$N$1023,'Chi Tiết Học Phí'!$A$4:$A$1023,A89)</f>
        <v/>
      </c>
      <c r="I89" s="46">
        <f>SUMIFS('Chi Tiết Học Phí'!$O$4:$O$1023,'Chi Tiết Học Phí'!$A$4:$A$1023,A89)</f>
        <v/>
      </c>
      <c r="J89" s="46">
        <f>SUMIFS('Chi Tiết Học Phí'!$P$4:$P$1023,'Chi Tiết Học Phí'!$A$4:$A$1023,A89)</f>
        <v/>
      </c>
      <c r="K89" s="45">
        <f>IF(J89&gt;0,"Còn nợ","Đã hoàn thành")</f>
        <v/>
      </c>
    </row>
    <row r="90">
      <c r="A90" s="45" t="inlineStr">
        <is>
          <t>251210862</t>
        </is>
      </c>
      <c r="B90" s="45" t="inlineStr">
        <is>
          <t>NGUYỄN MINH HIẾU</t>
        </is>
      </c>
      <c r="C90" s="45" t="inlineStr">
        <is>
          <t>Công nghệ thông tin 2 K66</t>
        </is>
      </c>
      <c r="D90" s="46">
        <f>SUMIFS('Chi Tiết Học Phí'!$H$4:$H$1023,'Chi Tiết Học Phí'!$A$4:$A$1023,A90)</f>
        <v/>
      </c>
      <c r="E90" s="46">
        <f>SUMIFS('Chi Tiết Học Phí'!$J$4:$J$1023,'Chi Tiết Học Phí'!$A$4:$A$1023,A90)</f>
        <v/>
      </c>
      <c r="F90" s="46">
        <f>SUMIFS('Chi Tiết Học Phí'!$K$4:$K$1023,'Chi Tiết Học Phí'!$A$4:$A$1023,A90)</f>
        <v/>
      </c>
      <c r="G90" s="46">
        <f>SUMIFS('Chi Tiết Học Phí'!$L$4:$L$1023,'Chi Tiết Học Phí'!$A$4:$A$1023,A90)</f>
        <v/>
      </c>
      <c r="H90" s="46">
        <f>SUMIFS('Chi Tiết Học Phí'!$M$4:$M$1023,'Chi Tiết Học Phí'!$A$4:$A$1023,A90)-SUMIFS('Chi Tiết Học Phí'!$N$4:$N$1023,'Chi Tiết Học Phí'!$A$4:$A$1023,A90)</f>
        <v/>
      </c>
      <c r="I90" s="46">
        <f>SUMIFS('Chi Tiết Học Phí'!$O$4:$O$1023,'Chi Tiết Học Phí'!$A$4:$A$1023,A90)</f>
        <v/>
      </c>
      <c r="J90" s="46">
        <f>SUMIFS('Chi Tiết Học Phí'!$P$4:$P$1023,'Chi Tiết Học Phí'!$A$4:$A$1023,A90)</f>
        <v/>
      </c>
      <c r="K90" s="45">
        <f>IF(J90&gt;0,"Còn nợ","Đã hoàn thành")</f>
        <v/>
      </c>
    </row>
    <row r="91">
      <c r="A91" s="45" t="inlineStr">
        <is>
          <t>251230864</t>
        </is>
      </c>
      <c r="B91" s="45" t="inlineStr">
        <is>
          <t>ĐÀO VIỆT HOÀNG</t>
        </is>
      </c>
      <c r="C91" s="45" t="inlineStr">
        <is>
          <t>Công nghệ thông tin 2 K66</t>
        </is>
      </c>
      <c r="D91" s="46">
        <f>SUMIFS('Chi Tiết Học Phí'!$H$4:$H$1023,'Chi Tiết Học Phí'!$A$4:$A$1023,A91)</f>
        <v/>
      </c>
      <c r="E91" s="46">
        <f>SUMIFS('Chi Tiết Học Phí'!$J$4:$J$1023,'Chi Tiết Học Phí'!$A$4:$A$1023,A91)</f>
        <v/>
      </c>
      <c r="F91" s="46">
        <f>SUMIFS('Chi Tiết Học Phí'!$K$4:$K$1023,'Chi Tiết Học Phí'!$A$4:$A$1023,A91)</f>
        <v/>
      </c>
      <c r="G91" s="46">
        <f>SUMIFS('Chi Tiết Học Phí'!$L$4:$L$1023,'Chi Tiết Học Phí'!$A$4:$A$1023,A91)</f>
        <v/>
      </c>
      <c r="H91" s="46">
        <f>SUMIFS('Chi Tiết Học Phí'!$M$4:$M$1023,'Chi Tiết Học Phí'!$A$4:$A$1023,A91)-SUMIFS('Chi Tiết Học Phí'!$N$4:$N$1023,'Chi Tiết Học Phí'!$A$4:$A$1023,A91)</f>
        <v/>
      </c>
      <c r="I91" s="46">
        <f>SUMIFS('Chi Tiết Học Phí'!$O$4:$O$1023,'Chi Tiết Học Phí'!$A$4:$A$1023,A91)</f>
        <v/>
      </c>
      <c r="J91" s="46">
        <f>SUMIFS('Chi Tiết Học Phí'!$P$4:$P$1023,'Chi Tiết Học Phí'!$A$4:$A$1023,A91)</f>
        <v/>
      </c>
      <c r="K91" s="45">
        <f>IF(J91&gt;0,"Còn nợ","Đã hoàn thành")</f>
        <v/>
      </c>
    </row>
    <row r="92">
      <c r="A92" s="45" t="inlineStr">
        <is>
          <t>251230868</t>
        </is>
      </c>
      <c r="B92" s="45" t="inlineStr">
        <is>
          <t>NGÔ XUÂN HUÂN</t>
        </is>
      </c>
      <c r="C92" s="45" t="inlineStr">
        <is>
          <t>Công nghệ thông tin 2 K66</t>
        </is>
      </c>
      <c r="D92" s="46">
        <f>SUMIFS('Chi Tiết Học Phí'!$H$4:$H$1023,'Chi Tiết Học Phí'!$A$4:$A$1023,A92)</f>
        <v/>
      </c>
      <c r="E92" s="46">
        <f>SUMIFS('Chi Tiết Học Phí'!$J$4:$J$1023,'Chi Tiết Học Phí'!$A$4:$A$1023,A92)</f>
        <v/>
      </c>
      <c r="F92" s="46">
        <f>SUMIFS('Chi Tiết Học Phí'!$K$4:$K$1023,'Chi Tiết Học Phí'!$A$4:$A$1023,A92)</f>
        <v/>
      </c>
      <c r="G92" s="46">
        <f>SUMIFS('Chi Tiết Học Phí'!$L$4:$L$1023,'Chi Tiết Học Phí'!$A$4:$A$1023,A92)</f>
        <v/>
      </c>
      <c r="H92" s="46">
        <f>SUMIFS('Chi Tiết Học Phí'!$M$4:$M$1023,'Chi Tiết Học Phí'!$A$4:$A$1023,A92)-SUMIFS('Chi Tiết Học Phí'!$N$4:$N$1023,'Chi Tiết Học Phí'!$A$4:$A$1023,A92)</f>
        <v/>
      </c>
      <c r="I92" s="46">
        <f>SUMIFS('Chi Tiết Học Phí'!$O$4:$O$1023,'Chi Tiết Học Phí'!$A$4:$A$1023,A92)</f>
        <v/>
      </c>
      <c r="J92" s="46">
        <f>SUMIFS('Chi Tiết Học Phí'!$P$4:$P$1023,'Chi Tiết Học Phí'!$A$4:$A$1023,A92)</f>
        <v/>
      </c>
      <c r="K92" s="45">
        <f>IF(J92&gt;0,"Còn nợ","Đã hoàn thành")</f>
        <v/>
      </c>
    </row>
    <row r="93">
      <c r="A93" s="45" t="inlineStr">
        <is>
          <t>251230869</t>
        </is>
      </c>
      <c r="B93" s="45" t="inlineStr">
        <is>
          <t>TRẦN ĐỨC HUÂN</t>
        </is>
      </c>
      <c r="C93" s="45" t="inlineStr">
        <is>
          <t>Công nghệ thông tin 2 K66</t>
        </is>
      </c>
      <c r="D93" s="46">
        <f>SUMIFS('Chi Tiết Học Phí'!$H$4:$H$1023,'Chi Tiết Học Phí'!$A$4:$A$1023,A93)</f>
        <v/>
      </c>
      <c r="E93" s="46">
        <f>SUMIFS('Chi Tiết Học Phí'!$J$4:$J$1023,'Chi Tiết Học Phí'!$A$4:$A$1023,A93)</f>
        <v/>
      </c>
      <c r="F93" s="46">
        <f>SUMIFS('Chi Tiết Học Phí'!$K$4:$K$1023,'Chi Tiết Học Phí'!$A$4:$A$1023,A93)</f>
        <v/>
      </c>
      <c r="G93" s="46">
        <f>SUMIFS('Chi Tiết Học Phí'!$L$4:$L$1023,'Chi Tiết Học Phí'!$A$4:$A$1023,A93)</f>
        <v/>
      </c>
      <c r="H93" s="46">
        <f>SUMIFS('Chi Tiết Học Phí'!$M$4:$M$1023,'Chi Tiết Học Phí'!$A$4:$A$1023,A93)-SUMIFS('Chi Tiết Học Phí'!$N$4:$N$1023,'Chi Tiết Học Phí'!$A$4:$A$1023,A93)</f>
        <v/>
      </c>
      <c r="I93" s="46">
        <f>SUMIFS('Chi Tiết Học Phí'!$O$4:$O$1023,'Chi Tiết Học Phí'!$A$4:$A$1023,A93)</f>
        <v/>
      </c>
      <c r="J93" s="46">
        <f>SUMIFS('Chi Tiết Học Phí'!$P$4:$P$1023,'Chi Tiết Học Phí'!$A$4:$A$1023,A93)</f>
        <v/>
      </c>
      <c r="K93" s="45">
        <f>IF(J93&gt;0,"Còn nợ","Đã hoàn thành")</f>
        <v/>
      </c>
    </row>
    <row r="94">
      <c r="A94" s="45" t="inlineStr">
        <is>
          <t>251210875</t>
        </is>
      </c>
      <c r="B94" s="45" t="inlineStr">
        <is>
          <t>HOÀNG TRỌNG HƯNG</t>
        </is>
      </c>
      <c r="C94" s="45" t="inlineStr">
        <is>
          <t>Công nghệ thông tin 2 K66</t>
        </is>
      </c>
      <c r="D94" s="46">
        <f>SUMIFS('Chi Tiết Học Phí'!$H$4:$H$1023,'Chi Tiết Học Phí'!$A$4:$A$1023,A94)</f>
        <v/>
      </c>
      <c r="E94" s="46">
        <f>SUMIFS('Chi Tiết Học Phí'!$J$4:$J$1023,'Chi Tiết Học Phí'!$A$4:$A$1023,A94)</f>
        <v/>
      </c>
      <c r="F94" s="46">
        <f>SUMIFS('Chi Tiết Học Phí'!$K$4:$K$1023,'Chi Tiết Học Phí'!$A$4:$A$1023,A94)</f>
        <v/>
      </c>
      <c r="G94" s="46">
        <f>SUMIFS('Chi Tiết Học Phí'!$L$4:$L$1023,'Chi Tiết Học Phí'!$A$4:$A$1023,A94)</f>
        <v/>
      </c>
      <c r="H94" s="46">
        <f>SUMIFS('Chi Tiết Học Phí'!$M$4:$M$1023,'Chi Tiết Học Phí'!$A$4:$A$1023,A94)-SUMIFS('Chi Tiết Học Phí'!$N$4:$N$1023,'Chi Tiết Học Phí'!$A$4:$A$1023,A94)</f>
        <v/>
      </c>
      <c r="I94" s="46">
        <f>SUMIFS('Chi Tiết Học Phí'!$O$4:$O$1023,'Chi Tiết Học Phí'!$A$4:$A$1023,A94)</f>
        <v/>
      </c>
      <c r="J94" s="46">
        <f>SUMIFS('Chi Tiết Học Phí'!$P$4:$P$1023,'Chi Tiết Học Phí'!$A$4:$A$1023,A94)</f>
        <v/>
      </c>
      <c r="K94" s="45">
        <f>IF(J94&gt;0,"Còn nợ","Đã hoàn thành")</f>
        <v/>
      </c>
    </row>
    <row r="95">
      <c r="A95" s="45" t="inlineStr">
        <is>
          <t>251230877</t>
        </is>
      </c>
      <c r="B95" s="45" t="inlineStr">
        <is>
          <t>NGUYỄN DUY HƯNG</t>
        </is>
      </c>
      <c r="C95" s="45" t="inlineStr">
        <is>
          <t>Công nghệ thông tin 2 K66</t>
        </is>
      </c>
      <c r="D95" s="46">
        <f>SUMIFS('Chi Tiết Học Phí'!$H$4:$H$1023,'Chi Tiết Học Phí'!$A$4:$A$1023,A95)</f>
        <v/>
      </c>
      <c r="E95" s="46">
        <f>SUMIFS('Chi Tiết Học Phí'!$J$4:$J$1023,'Chi Tiết Học Phí'!$A$4:$A$1023,A95)</f>
        <v/>
      </c>
      <c r="F95" s="46">
        <f>SUMIFS('Chi Tiết Học Phí'!$K$4:$K$1023,'Chi Tiết Học Phí'!$A$4:$A$1023,A95)</f>
        <v/>
      </c>
      <c r="G95" s="46">
        <f>SUMIFS('Chi Tiết Học Phí'!$L$4:$L$1023,'Chi Tiết Học Phí'!$A$4:$A$1023,A95)</f>
        <v/>
      </c>
      <c r="H95" s="46">
        <f>SUMIFS('Chi Tiết Học Phí'!$M$4:$M$1023,'Chi Tiết Học Phí'!$A$4:$A$1023,A95)-SUMIFS('Chi Tiết Học Phí'!$N$4:$N$1023,'Chi Tiết Học Phí'!$A$4:$A$1023,A95)</f>
        <v/>
      </c>
      <c r="I95" s="46">
        <f>SUMIFS('Chi Tiết Học Phí'!$O$4:$O$1023,'Chi Tiết Học Phí'!$A$4:$A$1023,A95)</f>
        <v/>
      </c>
      <c r="J95" s="46">
        <f>SUMIFS('Chi Tiết Học Phí'!$P$4:$P$1023,'Chi Tiết Học Phí'!$A$4:$A$1023,A95)</f>
        <v/>
      </c>
      <c r="K95" s="45">
        <f>IF(J95&gt;0,"Còn nợ","Đã hoàn thành")</f>
        <v/>
      </c>
    </row>
    <row r="96">
      <c r="A96" s="45" t="inlineStr">
        <is>
          <t>251230884</t>
        </is>
      </c>
      <c r="B96" s="45" t="inlineStr">
        <is>
          <t>HOÀNG KỲ KHANG</t>
        </is>
      </c>
      <c r="C96" s="45" t="inlineStr">
        <is>
          <t>Công nghệ thông tin 2 K66</t>
        </is>
      </c>
      <c r="D96" s="46">
        <f>SUMIFS('Chi Tiết Học Phí'!$H$4:$H$1023,'Chi Tiết Học Phí'!$A$4:$A$1023,A96)</f>
        <v/>
      </c>
      <c r="E96" s="46">
        <f>SUMIFS('Chi Tiết Học Phí'!$J$4:$J$1023,'Chi Tiết Học Phí'!$A$4:$A$1023,A96)</f>
        <v/>
      </c>
      <c r="F96" s="46">
        <f>SUMIFS('Chi Tiết Học Phí'!$K$4:$K$1023,'Chi Tiết Học Phí'!$A$4:$A$1023,A96)</f>
        <v/>
      </c>
      <c r="G96" s="46">
        <f>SUMIFS('Chi Tiết Học Phí'!$L$4:$L$1023,'Chi Tiết Học Phí'!$A$4:$A$1023,A96)</f>
        <v/>
      </c>
      <c r="H96" s="46">
        <f>SUMIFS('Chi Tiết Học Phí'!$M$4:$M$1023,'Chi Tiết Học Phí'!$A$4:$A$1023,A96)-SUMIFS('Chi Tiết Học Phí'!$N$4:$N$1023,'Chi Tiết Học Phí'!$A$4:$A$1023,A96)</f>
        <v/>
      </c>
      <c r="I96" s="46">
        <f>SUMIFS('Chi Tiết Học Phí'!$O$4:$O$1023,'Chi Tiết Học Phí'!$A$4:$A$1023,A96)</f>
        <v/>
      </c>
      <c r="J96" s="46">
        <f>SUMIFS('Chi Tiết Học Phí'!$P$4:$P$1023,'Chi Tiết Học Phí'!$A$4:$A$1023,A96)</f>
        <v/>
      </c>
      <c r="K96" s="45">
        <f>IF(J96&gt;0,"Còn nợ","Đã hoàn thành")</f>
        <v/>
      </c>
    </row>
    <row r="97">
      <c r="A97" s="45" t="inlineStr">
        <is>
          <t>251210885</t>
        </is>
      </c>
      <c r="B97" s="45" t="inlineStr">
        <is>
          <t>LÊ HOÀNG GIA KHÁNH</t>
        </is>
      </c>
      <c r="C97" s="45" t="inlineStr">
        <is>
          <t>Công nghệ thông tin 2 K66</t>
        </is>
      </c>
      <c r="D97" s="46">
        <f>SUMIFS('Chi Tiết Học Phí'!$H$4:$H$1023,'Chi Tiết Học Phí'!$A$4:$A$1023,A97)</f>
        <v/>
      </c>
      <c r="E97" s="46">
        <f>SUMIFS('Chi Tiết Học Phí'!$J$4:$J$1023,'Chi Tiết Học Phí'!$A$4:$A$1023,A97)</f>
        <v/>
      </c>
      <c r="F97" s="46">
        <f>SUMIFS('Chi Tiết Học Phí'!$K$4:$K$1023,'Chi Tiết Học Phí'!$A$4:$A$1023,A97)</f>
        <v/>
      </c>
      <c r="G97" s="46">
        <f>SUMIFS('Chi Tiết Học Phí'!$L$4:$L$1023,'Chi Tiết Học Phí'!$A$4:$A$1023,A97)</f>
        <v/>
      </c>
      <c r="H97" s="46">
        <f>SUMIFS('Chi Tiết Học Phí'!$M$4:$M$1023,'Chi Tiết Học Phí'!$A$4:$A$1023,A97)-SUMIFS('Chi Tiết Học Phí'!$N$4:$N$1023,'Chi Tiết Học Phí'!$A$4:$A$1023,A97)</f>
        <v/>
      </c>
      <c r="I97" s="46">
        <f>SUMIFS('Chi Tiết Học Phí'!$O$4:$O$1023,'Chi Tiết Học Phí'!$A$4:$A$1023,A97)</f>
        <v/>
      </c>
      <c r="J97" s="46">
        <f>SUMIFS('Chi Tiết Học Phí'!$P$4:$P$1023,'Chi Tiết Học Phí'!$A$4:$A$1023,A97)</f>
        <v/>
      </c>
      <c r="K97" s="45">
        <f>IF(J97&gt;0,"Còn nợ","Đã hoàn thành")</f>
        <v/>
      </c>
    </row>
    <row r="98">
      <c r="A98" s="45" t="inlineStr">
        <is>
          <t>251210888</t>
        </is>
      </c>
      <c r="B98" s="45" t="inlineStr">
        <is>
          <t>NGUYỄN TRỌNG KHÁNH</t>
        </is>
      </c>
      <c r="C98" s="45" t="inlineStr">
        <is>
          <t>Công nghệ thông tin 2 K66</t>
        </is>
      </c>
      <c r="D98" s="46">
        <f>SUMIFS('Chi Tiết Học Phí'!$H$4:$H$1023,'Chi Tiết Học Phí'!$A$4:$A$1023,A98)</f>
        <v/>
      </c>
      <c r="E98" s="46">
        <f>SUMIFS('Chi Tiết Học Phí'!$J$4:$J$1023,'Chi Tiết Học Phí'!$A$4:$A$1023,A98)</f>
        <v/>
      </c>
      <c r="F98" s="46">
        <f>SUMIFS('Chi Tiết Học Phí'!$K$4:$K$1023,'Chi Tiết Học Phí'!$A$4:$A$1023,A98)</f>
        <v/>
      </c>
      <c r="G98" s="46">
        <f>SUMIFS('Chi Tiết Học Phí'!$L$4:$L$1023,'Chi Tiết Học Phí'!$A$4:$A$1023,A98)</f>
        <v/>
      </c>
      <c r="H98" s="46">
        <f>SUMIFS('Chi Tiết Học Phí'!$M$4:$M$1023,'Chi Tiết Học Phí'!$A$4:$A$1023,A98)-SUMIFS('Chi Tiết Học Phí'!$N$4:$N$1023,'Chi Tiết Học Phí'!$A$4:$A$1023,A98)</f>
        <v/>
      </c>
      <c r="I98" s="46">
        <f>SUMIFS('Chi Tiết Học Phí'!$O$4:$O$1023,'Chi Tiết Học Phí'!$A$4:$A$1023,A98)</f>
        <v/>
      </c>
      <c r="J98" s="46">
        <f>SUMIFS('Chi Tiết Học Phí'!$P$4:$P$1023,'Chi Tiết Học Phí'!$A$4:$A$1023,A98)</f>
        <v/>
      </c>
      <c r="K98" s="45">
        <f>IF(J98&gt;0,"Còn nợ","Đã hoàn thành")</f>
        <v/>
      </c>
    </row>
    <row r="99">
      <c r="A99" s="45" t="inlineStr">
        <is>
          <t>251230892</t>
        </is>
      </c>
      <c r="B99" s="45" t="inlineStr">
        <is>
          <t>NGUYỄN ANH KHOA</t>
        </is>
      </c>
      <c r="C99" s="45" t="inlineStr">
        <is>
          <t>Công nghệ thông tin 2 K66</t>
        </is>
      </c>
      <c r="D99" s="46">
        <f>SUMIFS('Chi Tiết Học Phí'!$H$4:$H$1023,'Chi Tiết Học Phí'!$A$4:$A$1023,A99)</f>
        <v/>
      </c>
      <c r="E99" s="46">
        <f>SUMIFS('Chi Tiết Học Phí'!$J$4:$J$1023,'Chi Tiết Học Phí'!$A$4:$A$1023,A99)</f>
        <v/>
      </c>
      <c r="F99" s="46">
        <f>SUMIFS('Chi Tiết Học Phí'!$K$4:$K$1023,'Chi Tiết Học Phí'!$A$4:$A$1023,A99)</f>
        <v/>
      </c>
      <c r="G99" s="46">
        <f>SUMIFS('Chi Tiết Học Phí'!$L$4:$L$1023,'Chi Tiết Học Phí'!$A$4:$A$1023,A99)</f>
        <v/>
      </c>
      <c r="H99" s="46">
        <f>SUMIFS('Chi Tiết Học Phí'!$M$4:$M$1023,'Chi Tiết Học Phí'!$A$4:$A$1023,A99)-SUMIFS('Chi Tiết Học Phí'!$N$4:$N$1023,'Chi Tiết Học Phí'!$A$4:$A$1023,A99)</f>
        <v/>
      </c>
      <c r="I99" s="46">
        <f>SUMIFS('Chi Tiết Học Phí'!$O$4:$O$1023,'Chi Tiết Học Phí'!$A$4:$A$1023,A99)</f>
        <v/>
      </c>
      <c r="J99" s="46">
        <f>SUMIFS('Chi Tiết Học Phí'!$P$4:$P$1023,'Chi Tiết Học Phí'!$A$4:$A$1023,A99)</f>
        <v/>
      </c>
      <c r="K99" s="45">
        <f>IF(J99&gt;0,"Còn nợ","Đã hoàn thành")</f>
        <v/>
      </c>
    </row>
    <row r="100">
      <c r="A100" s="45" t="inlineStr">
        <is>
          <t>251230895</t>
        </is>
      </c>
      <c r="B100" s="45" t="inlineStr">
        <is>
          <t>HÀ VĂN KIÊN</t>
        </is>
      </c>
      <c r="C100" s="45" t="inlineStr">
        <is>
          <t>Công nghệ thông tin 2 K66</t>
        </is>
      </c>
      <c r="D100" s="46">
        <f>SUMIFS('Chi Tiết Học Phí'!$H$4:$H$1023,'Chi Tiết Học Phí'!$A$4:$A$1023,A100)</f>
        <v/>
      </c>
      <c r="E100" s="46">
        <f>SUMIFS('Chi Tiết Học Phí'!$J$4:$J$1023,'Chi Tiết Học Phí'!$A$4:$A$1023,A100)</f>
        <v/>
      </c>
      <c r="F100" s="46">
        <f>SUMIFS('Chi Tiết Học Phí'!$K$4:$K$1023,'Chi Tiết Học Phí'!$A$4:$A$1023,A100)</f>
        <v/>
      </c>
      <c r="G100" s="46">
        <f>SUMIFS('Chi Tiết Học Phí'!$L$4:$L$1023,'Chi Tiết Học Phí'!$A$4:$A$1023,A100)</f>
        <v/>
      </c>
      <c r="H100" s="46">
        <f>SUMIFS('Chi Tiết Học Phí'!$M$4:$M$1023,'Chi Tiết Học Phí'!$A$4:$A$1023,A100)-SUMIFS('Chi Tiết Học Phí'!$N$4:$N$1023,'Chi Tiết Học Phí'!$A$4:$A$1023,A100)</f>
        <v/>
      </c>
      <c r="I100" s="46">
        <f>SUMIFS('Chi Tiết Học Phí'!$O$4:$O$1023,'Chi Tiết Học Phí'!$A$4:$A$1023,A100)</f>
        <v/>
      </c>
      <c r="J100" s="46">
        <f>SUMIFS('Chi Tiết Học Phí'!$P$4:$P$1023,'Chi Tiết Học Phí'!$A$4:$A$1023,A100)</f>
        <v/>
      </c>
      <c r="K100" s="45">
        <f>IF(J100&gt;0,"Còn nợ","Đã hoàn thành")</f>
        <v/>
      </c>
    </row>
    <row r="101">
      <c r="A101" s="45" t="inlineStr">
        <is>
          <t>251230896</t>
        </is>
      </c>
      <c r="B101" s="45" t="inlineStr">
        <is>
          <t>NGUYỄN TRUNG KIÊN</t>
        </is>
      </c>
      <c r="C101" s="45" t="inlineStr">
        <is>
          <t>Công nghệ thông tin 2 K66</t>
        </is>
      </c>
      <c r="D101" s="46">
        <f>SUMIFS('Chi Tiết Học Phí'!$H$4:$H$1023,'Chi Tiết Học Phí'!$A$4:$A$1023,A101)</f>
        <v/>
      </c>
      <c r="E101" s="46">
        <f>SUMIFS('Chi Tiết Học Phí'!$J$4:$J$1023,'Chi Tiết Học Phí'!$A$4:$A$1023,A101)</f>
        <v/>
      </c>
      <c r="F101" s="46">
        <f>SUMIFS('Chi Tiết Học Phí'!$K$4:$K$1023,'Chi Tiết Học Phí'!$A$4:$A$1023,A101)</f>
        <v/>
      </c>
      <c r="G101" s="46">
        <f>SUMIFS('Chi Tiết Học Phí'!$L$4:$L$1023,'Chi Tiết Học Phí'!$A$4:$A$1023,A101)</f>
        <v/>
      </c>
      <c r="H101" s="46">
        <f>SUMIFS('Chi Tiết Học Phí'!$M$4:$M$1023,'Chi Tiết Học Phí'!$A$4:$A$1023,A101)-SUMIFS('Chi Tiết Học Phí'!$N$4:$N$1023,'Chi Tiết Học Phí'!$A$4:$A$1023,A101)</f>
        <v/>
      </c>
      <c r="I101" s="46">
        <f>SUMIFS('Chi Tiết Học Phí'!$O$4:$O$1023,'Chi Tiết Học Phí'!$A$4:$A$1023,A101)</f>
        <v/>
      </c>
      <c r="J101" s="46">
        <f>SUMIFS('Chi Tiết Học Phí'!$P$4:$P$1023,'Chi Tiết Học Phí'!$A$4:$A$1023,A101)</f>
        <v/>
      </c>
      <c r="K101" s="45">
        <f>IF(J101&gt;0,"Còn nợ","Đã hoàn thành")</f>
        <v/>
      </c>
    </row>
    <row r="102">
      <c r="A102" s="45" t="inlineStr">
        <is>
          <t>251210897</t>
        </is>
      </c>
      <c r="B102" s="45" t="inlineStr">
        <is>
          <t>CHU HẢI LÂM</t>
        </is>
      </c>
      <c r="C102" s="45" t="inlineStr">
        <is>
          <t>Công nghệ thông tin 2 K66</t>
        </is>
      </c>
      <c r="D102" s="46">
        <f>SUMIFS('Chi Tiết Học Phí'!$H$4:$H$1023,'Chi Tiết Học Phí'!$A$4:$A$1023,A102)</f>
        <v/>
      </c>
      <c r="E102" s="46">
        <f>SUMIFS('Chi Tiết Học Phí'!$J$4:$J$1023,'Chi Tiết Học Phí'!$A$4:$A$1023,A102)</f>
        <v/>
      </c>
      <c r="F102" s="46">
        <f>SUMIFS('Chi Tiết Học Phí'!$K$4:$K$1023,'Chi Tiết Học Phí'!$A$4:$A$1023,A102)</f>
        <v/>
      </c>
      <c r="G102" s="46">
        <f>SUMIFS('Chi Tiết Học Phí'!$L$4:$L$1023,'Chi Tiết Học Phí'!$A$4:$A$1023,A102)</f>
        <v/>
      </c>
      <c r="H102" s="46">
        <f>SUMIFS('Chi Tiết Học Phí'!$M$4:$M$1023,'Chi Tiết Học Phí'!$A$4:$A$1023,A102)-SUMIFS('Chi Tiết Học Phí'!$N$4:$N$1023,'Chi Tiết Học Phí'!$A$4:$A$1023,A102)</f>
        <v/>
      </c>
      <c r="I102" s="46">
        <f>SUMIFS('Chi Tiết Học Phí'!$O$4:$O$1023,'Chi Tiết Học Phí'!$A$4:$A$1023,A102)</f>
        <v/>
      </c>
      <c r="J102" s="46">
        <f>SUMIFS('Chi Tiết Học Phí'!$P$4:$P$1023,'Chi Tiết Học Phí'!$A$4:$A$1023,A102)</f>
        <v/>
      </c>
      <c r="K102" s="45">
        <f>IF(J102&gt;0,"Còn nợ","Đã hoàn thành")</f>
        <v/>
      </c>
    </row>
    <row r="103">
      <c r="A103" s="45" t="inlineStr">
        <is>
          <t>251230902</t>
        </is>
      </c>
      <c r="B103" s="45" t="inlineStr">
        <is>
          <t>NGUYỄN THỊ NGỌC LỆ</t>
        </is>
      </c>
      <c r="C103" s="45" t="inlineStr">
        <is>
          <t>Công nghệ thông tin 2 K66</t>
        </is>
      </c>
      <c r="D103" s="46">
        <f>SUMIFS('Chi Tiết Học Phí'!$H$4:$H$1023,'Chi Tiết Học Phí'!$A$4:$A$1023,A103)</f>
        <v/>
      </c>
      <c r="E103" s="46">
        <f>SUMIFS('Chi Tiết Học Phí'!$J$4:$J$1023,'Chi Tiết Học Phí'!$A$4:$A$1023,A103)</f>
        <v/>
      </c>
      <c r="F103" s="46">
        <f>SUMIFS('Chi Tiết Học Phí'!$K$4:$K$1023,'Chi Tiết Học Phí'!$A$4:$A$1023,A103)</f>
        <v/>
      </c>
      <c r="G103" s="46">
        <f>SUMIFS('Chi Tiết Học Phí'!$L$4:$L$1023,'Chi Tiết Học Phí'!$A$4:$A$1023,A103)</f>
        <v/>
      </c>
      <c r="H103" s="46">
        <f>SUMIFS('Chi Tiết Học Phí'!$M$4:$M$1023,'Chi Tiết Học Phí'!$A$4:$A$1023,A103)-SUMIFS('Chi Tiết Học Phí'!$N$4:$N$1023,'Chi Tiết Học Phí'!$A$4:$A$1023,A103)</f>
        <v/>
      </c>
      <c r="I103" s="46">
        <f>SUMIFS('Chi Tiết Học Phí'!$O$4:$O$1023,'Chi Tiết Học Phí'!$A$4:$A$1023,A103)</f>
        <v/>
      </c>
      <c r="J103" s="46">
        <f>SUMIFS('Chi Tiết Học Phí'!$P$4:$P$1023,'Chi Tiết Học Phí'!$A$4:$A$1023,A103)</f>
        <v/>
      </c>
      <c r="K103" s="45">
        <f>IF(J103&gt;0,"Còn nợ","Đã hoàn thành")</f>
        <v/>
      </c>
    </row>
    <row r="104">
      <c r="A104" s="45" t="inlineStr">
        <is>
          <t>251230906</t>
        </is>
      </c>
      <c r="B104" s="45" t="inlineStr">
        <is>
          <t>ĐỖ PHẠM HẢI LONG</t>
        </is>
      </c>
      <c r="C104" s="45" t="inlineStr">
        <is>
          <t>Công nghệ thông tin 2 K66</t>
        </is>
      </c>
      <c r="D104" s="46">
        <f>SUMIFS('Chi Tiết Học Phí'!$H$4:$H$1023,'Chi Tiết Học Phí'!$A$4:$A$1023,A104)</f>
        <v/>
      </c>
      <c r="E104" s="46">
        <f>SUMIFS('Chi Tiết Học Phí'!$J$4:$J$1023,'Chi Tiết Học Phí'!$A$4:$A$1023,A104)</f>
        <v/>
      </c>
      <c r="F104" s="46">
        <f>SUMIFS('Chi Tiết Học Phí'!$K$4:$K$1023,'Chi Tiết Học Phí'!$A$4:$A$1023,A104)</f>
        <v/>
      </c>
      <c r="G104" s="46">
        <f>SUMIFS('Chi Tiết Học Phí'!$L$4:$L$1023,'Chi Tiết Học Phí'!$A$4:$A$1023,A104)</f>
        <v/>
      </c>
      <c r="H104" s="46">
        <f>SUMIFS('Chi Tiết Học Phí'!$M$4:$M$1023,'Chi Tiết Học Phí'!$A$4:$A$1023,A104)-SUMIFS('Chi Tiết Học Phí'!$N$4:$N$1023,'Chi Tiết Học Phí'!$A$4:$A$1023,A104)</f>
        <v/>
      </c>
      <c r="I104" s="46">
        <f>SUMIFS('Chi Tiết Học Phí'!$O$4:$O$1023,'Chi Tiết Học Phí'!$A$4:$A$1023,A104)</f>
        <v/>
      </c>
      <c r="J104" s="46">
        <f>SUMIFS('Chi Tiết Học Phí'!$P$4:$P$1023,'Chi Tiết Học Phí'!$A$4:$A$1023,A104)</f>
        <v/>
      </c>
      <c r="K104" s="45">
        <f>IF(J104&gt;0,"Còn nợ","Đã hoàn thành")</f>
        <v/>
      </c>
    </row>
    <row r="105">
      <c r="A105" s="45" t="inlineStr">
        <is>
          <t>251210908</t>
        </is>
      </c>
      <c r="B105" s="45" t="inlineStr">
        <is>
          <t>NGUYỄN THÀNH LONG</t>
        </is>
      </c>
      <c r="C105" s="45" t="inlineStr">
        <is>
          <t>Công nghệ thông tin 2 K66</t>
        </is>
      </c>
      <c r="D105" s="46">
        <f>SUMIFS('Chi Tiết Học Phí'!$H$4:$H$1023,'Chi Tiết Học Phí'!$A$4:$A$1023,A105)</f>
        <v/>
      </c>
      <c r="E105" s="46">
        <f>SUMIFS('Chi Tiết Học Phí'!$J$4:$J$1023,'Chi Tiết Học Phí'!$A$4:$A$1023,A105)</f>
        <v/>
      </c>
      <c r="F105" s="46">
        <f>SUMIFS('Chi Tiết Học Phí'!$K$4:$K$1023,'Chi Tiết Học Phí'!$A$4:$A$1023,A105)</f>
        <v/>
      </c>
      <c r="G105" s="46">
        <f>SUMIFS('Chi Tiết Học Phí'!$L$4:$L$1023,'Chi Tiết Học Phí'!$A$4:$A$1023,A105)</f>
        <v/>
      </c>
      <c r="H105" s="46">
        <f>SUMIFS('Chi Tiết Học Phí'!$M$4:$M$1023,'Chi Tiết Học Phí'!$A$4:$A$1023,A105)-SUMIFS('Chi Tiết Học Phí'!$N$4:$N$1023,'Chi Tiết Học Phí'!$A$4:$A$1023,A105)</f>
        <v/>
      </c>
      <c r="I105" s="46">
        <f>SUMIFS('Chi Tiết Học Phí'!$O$4:$O$1023,'Chi Tiết Học Phí'!$A$4:$A$1023,A105)</f>
        <v/>
      </c>
      <c r="J105" s="46">
        <f>SUMIFS('Chi Tiết Học Phí'!$P$4:$P$1023,'Chi Tiết Học Phí'!$A$4:$A$1023,A105)</f>
        <v/>
      </c>
      <c r="K105" s="45">
        <f>IF(J105&gt;0,"Còn nợ","Đã hoàn thành")</f>
        <v/>
      </c>
    </row>
    <row r="106">
      <c r="A106" s="45" t="inlineStr">
        <is>
          <t>251210916</t>
        </is>
      </c>
      <c r="B106" s="45" t="inlineStr">
        <is>
          <t>NGUYỄN VĂN MẠNH</t>
        </is>
      </c>
      <c r="C106" s="45" t="inlineStr">
        <is>
          <t>Công nghệ thông tin 2 K66</t>
        </is>
      </c>
      <c r="D106" s="46">
        <f>SUMIFS('Chi Tiết Học Phí'!$H$4:$H$1023,'Chi Tiết Học Phí'!$A$4:$A$1023,A106)</f>
        <v/>
      </c>
      <c r="E106" s="46">
        <f>SUMIFS('Chi Tiết Học Phí'!$J$4:$J$1023,'Chi Tiết Học Phí'!$A$4:$A$1023,A106)</f>
        <v/>
      </c>
      <c r="F106" s="46">
        <f>SUMIFS('Chi Tiết Học Phí'!$K$4:$K$1023,'Chi Tiết Học Phí'!$A$4:$A$1023,A106)</f>
        <v/>
      </c>
      <c r="G106" s="46">
        <f>SUMIFS('Chi Tiết Học Phí'!$L$4:$L$1023,'Chi Tiết Học Phí'!$A$4:$A$1023,A106)</f>
        <v/>
      </c>
      <c r="H106" s="46">
        <f>SUMIFS('Chi Tiết Học Phí'!$M$4:$M$1023,'Chi Tiết Học Phí'!$A$4:$A$1023,A106)-SUMIFS('Chi Tiết Học Phí'!$N$4:$N$1023,'Chi Tiết Học Phí'!$A$4:$A$1023,A106)</f>
        <v/>
      </c>
      <c r="I106" s="46">
        <f>SUMIFS('Chi Tiết Học Phí'!$O$4:$O$1023,'Chi Tiết Học Phí'!$A$4:$A$1023,A106)</f>
        <v/>
      </c>
      <c r="J106" s="46">
        <f>SUMIFS('Chi Tiết Học Phí'!$P$4:$P$1023,'Chi Tiết Học Phí'!$A$4:$A$1023,A106)</f>
        <v/>
      </c>
      <c r="K106" s="45">
        <f>IF(J106&gt;0,"Còn nợ","Đã hoàn thành")</f>
        <v/>
      </c>
    </row>
    <row r="107">
      <c r="A107" s="45" t="inlineStr">
        <is>
          <t>251210919</t>
        </is>
      </c>
      <c r="B107" s="45" t="inlineStr">
        <is>
          <t>VŨ ĐỨC MẠNH</t>
        </is>
      </c>
      <c r="C107" s="45" t="inlineStr">
        <is>
          <t>Công nghệ thông tin 2 K66</t>
        </is>
      </c>
      <c r="D107" s="46">
        <f>SUMIFS('Chi Tiết Học Phí'!$H$4:$H$1023,'Chi Tiết Học Phí'!$A$4:$A$1023,A107)</f>
        <v/>
      </c>
      <c r="E107" s="46">
        <f>SUMIFS('Chi Tiết Học Phí'!$J$4:$J$1023,'Chi Tiết Học Phí'!$A$4:$A$1023,A107)</f>
        <v/>
      </c>
      <c r="F107" s="46">
        <f>SUMIFS('Chi Tiết Học Phí'!$K$4:$K$1023,'Chi Tiết Học Phí'!$A$4:$A$1023,A107)</f>
        <v/>
      </c>
      <c r="G107" s="46">
        <f>SUMIFS('Chi Tiết Học Phí'!$L$4:$L$1023,'Chi Tiết Học Phí'!$A$4:$A$1023,A107)</f>
        <v/>
      </c>
      <c r="H107" s="46">
        <f>SUMIFS('Chi Tiết Học Phí'!$M$4:$M$1023,'Chi Tiết Học Phí'!$A$4:$A$1023,A107)-SUMIFS('Chi Tiết Học Phí'!$N$4:$N$1023,'Chi Tiết Học Phí'!$A$4:$A$1023,A107)</f>
        <v/>
      </c>
      <c r="I107" s="46">
        <f>SUMIFS('Chi Tiết Học Phí'!$O$4:$O$1023,'Chi Tiết Học Phí'!$A$4:$A$1023,A107)</f>
        <v/>
      </c>
      <c r="J107" s="46">
        <f>SUMIFS('Chi Tiết Học Phí'!$P$4:$P$1023,'Chi Tiết Học Phí'!$A$4:$A$1023,A107)</f>
        <v/>
      </c>
      <c r="K107" s="45">
        <f>IF(J107&gt;0,"Còn nợ","Đã hoàn thành")</f>
        <v/>
      </c>
    </row>
    <row r="108">
      <c r="A108" s="45" t="inlineStr">
        <is>
          <t>251230926</t>
        </is>
      </c>
      <c r="B108" s="45" t="inlineStr">
        <is>
          <t>TRƯƠNG THỊ LY NA</t>
        </is>
      </c>
      <c r="C108" s="45" t="inlineStr">
        <is>
          <t>Công nghệ thông tin 2 K66</t>
        </is>
      </c>
      <c r="D108" s="46">
        <f>SUMIFS('Chi Tiết Học Phí'!$H$4:$H$1023,'Chi Tiết Học Phí'!$A$4:$A$1023,A108)</f>
        <v/>
      </c>
      <c r="E108" s="46">
        <f>SUMIFS('Chi Tiết Học Phí'!$J$4:$J$1023,'Chi Tiết Học Phí'!$A$4:$A$1023,A108)</f>
        <v/>
      </c>
      <c r="F108" s="46">
        <f>SUMIFS('Chi Tiết Học Phí'!$K$4:$K$1023,'Chi Tiết Học Phí'!$A$4:$A$1023,A108)</f>
        <v/>
      </c>
      <c r="G108" s="46">
        <f>SUMIFS('Chi Tiết Học Phí'!$L$4:$L$1023,'Chi Tiết Học Phí'!$A$4:$A$1023,A108)</f>
        <v/>
      </c>
      <c r="H108" s="46">
        <f>SUMIFS('Chi Tiết Học Phí'!$M$4:$M$1023,'Chi Tiết Học Phí'!$A$4:$A$1023,A108)-SUMIFS('Chi Tiết Học Phí'!$N$4:$N$1023,'Chi Tiết Học Phí'!$A$4:$A$1023,A108)</f>
        <v/>
      </c>
      <c r="I108" s="46">
        <f>SUMIFS('Chi Tiết Học Phí'!$O$4:$O$1023,'Chi Tiết Học Phí'!$A$4:$A$1023,A108)</f>
        <v/>
      </c>
      <c r="J108" s="46">
        <f>SUMIFS('Chi Tiết Học Phí'!$P$4:$P$1023,'Chi Tiết Học Phí'!$A$4:$A$1023,A108)</f>
        <v/>
      </c>
      <c r="K108" s="45">
        <f>IF(J108&gt;0,"Còn nợ","Đã hoàn thành")</f>
        <v/>
      </c>
    </row>
    <row r="109">
      <c r="A109" s="45" t="inlineStr">
        <is>
          <t>251230928</t>
        </is>
      </c>
      <c r="B109" s="45" t="inlineStr">
        <is>
          <t>NGUYỄN ĐỨC NAM</t>
        </is>
      </c>
      <c r="C109" s="45" t="inlineStr">
        <is>
          <t>Công nghệ thông tin 2 K66</t>
        </is>
      </c>
      <c r="D109" s="46">
        <f>SUMIFS('Chi Tiết Học Phí'!$H$4:$H$1023,'Chi Tiết Học Phí'!$A$4:$A$1023,A109)</f>
        <v/>
      </c>
      <c r="E109" s="46">
        <f>SUMIFS('Chi Tiết Học Phí'!$J$4:$J$1023,'Chi Tiết Học Phí'!$A$4:$A$1023,A109)</f>
        <v/>
      </c>
      <c r="F109" s="46">
        <f>SUMIFS('Chi Tiết Học Phí'!$K$4:$K$1023,'Chi Tiết Học Phí'!$A$4:$A$1023,A109)</f>
        <v/>
      </c>
      <c r="G109" s="46">
        <f>SUMIFS('Chi Tiết Học Phí'!$L$4:$L$1023,'Chi Tiết Học Phí'!$A$4:$A$1023,A109)</f>
        <v/>
      </c>
      <c r="H109" s="46">
        <f>SUMIFS('Chi Tiết Học Phí'!$M$4:$M$1023,'Chi Tiết Học Phí'!$A$4:$A$1023,A109)-SUMIFS('Chi Tiết Học Phí'!$N$4:$N$1023,'Chi Tiết Học Phí'!$A$4:$A$1023,A109)</f>
        <v/>
      </c>
      <c r="I109" s="46">
        <f>SUMIFS('Chi Tiết Học Phí'!$O$4:$O$1023,'Chi Tiết Học Phí'!$A$4:$A$1023,A109)</f>
        <v/>
      </c>
      <c r="J109" s="46">
        <f>SUMIFS('Chi Tiết Học Phí'!$P$4:$P$1023,'Chi Tiết Học Phí'!$A$4:$A$1023,A109)</f>
        <v/>
      </c>
      <c r="K109" s="45">
        <f>IF(J109&gt;0,"Còn nợ","Đã hoàn thành")</f>
        <v/>
      </c>
    </row>
    <row r="110">
      <c r="A110" s="45" t="inlineStr">
        <is>
          <t>251230930</t>
        </is>
      </c>
      <c r="B110" s="45" t="inlineStr">
        <is>
          <t>NGUYỄN PHƯƠNG NAM</t>
        </is>
      </c>
      <c r="C110" s="45" t="inlineStr">
        <is>
          <t>Công nghệ thông tin 2 K66</t>
        </is>
      </c>
      <c r="D110" s="46">
        <f>SUMIFS('Chi Tiết Học Phí'!$H$4:$H$1023,'Chi Tiết Học Phí'!$A$4:$A$1023,A110)</f>
        <v/>
      </c>
      <c r="E110" s="46">
        <f>SUMIFS('Chi Tiết Học Phí'!$J$4:$J$1023,'Chi Tiết Học Phí'!$A$4:$A$1023,A110)</f>
        <v/>
      </c>
      <c r="F110" s="46">
        <f>SUMIFS('Chi Tiết Học Phí'!$K$4:$K$1023,'Chi Tiết Học Phí'!$A$4:$A$1023,A110)</f>
        <v/>
      </c>
      <c r="G110" s="46">
        <f>SUMIFS('Chi Tiết Học Phí'!$L$4:$L$1023,'Chi Tiết Học Phí'!$A$4:$A$1023,A110)</f>
        <v/>
      </c>
      <c r="H110" s="46">
        <f>SUMIFS('Chi Tiết Học Phí'!$M$4:$M$1023,'Chi Tiết Học Phí'!$A$4:$A$1023,A110)-SUMIFS('Chi Tiết Học Phí'!$N$4:$N$1023,'Chi Tiết Học Phí'!$A$4:$A$1023,A110)</f>
        <v/>
      </c>
      <c r="I110" s="46">
        <f>SUMIFS('Chi Tiết Học Phí'!$O$4:$O$1023,'Chi Tiết Học Phí'!$A$4:$A$1023,A110)</f>
        <v/>
      </c>
      <c r="J110" s="46">
        <f>SUMIFS('Chi Tiết Học Phí'!$P$4:$P$1023,'Chi Tiết Học Phí'!$A$4:$A$1023,A110)</f>
        <v/>
      </c>
      <c r="K110" s="45">
        <f>IF(J110&gt;0,"Còn nợ","Đã hoàn thành")</f>
        <v/>
      </c>
    </row>
    <row r="111">
      <c r="A111" s="45" t="inlineStr">
        <is>
          <t>251230931</t>
        </is>
      </c>
      <c r="B111" s="45" t="inlineStr">
        <is>
          <t>TRẦN ĐÌNH NAM</t>
        </is>
      </c>
      <c r="C111" s="45" t="inlineStr">
        <is>
          <t>Công nghệ thông tin 2 K66</t>
        </is>
      </c>
      <c r="D111" s="46">
        <f>SUMIFS('Chi Tiết Học Phí'!$H$4:$H$1023,'Chi Tiết Học Phí'!$A$4:$A$1023,A111)</f>
        <v/>
      </c>
      <c r="E111" s="46">
        <f>SUMIFS('Chi Tiết Học Phí'!$J$4:$J$1023,'Chi Tiết Học Phí'!$A$4:$A$1023,A111)</f>
        <v/>
      </c>
      <c r="F111" s="46">
        <f>SUMIFS('Chi Tiết Học Phí'!$K$4:$K$1023,'Chi Tiết Học Phí'!$A$4:$A$1023,A111)</f>
        <v/>
      </c>
      <c r="G111" s="46">
        <f>SUMIFS('Chi Tiết Học Phí'!$L$4:$L$1023,'Chi Tiết Học Phí'!$A$4:$A$1023,A111)</f>
        <v/>
      </c>
      <c r="H111" s="46">
        <f>SUMIFS('Chi Tiết Học Phí'!$M$4:$M$1023,'Chi Tiết Học Phí'!$A$4:$A$1023,A111)-SUMIFS('Chi Tiết Học Phí'!$N$4:$N$1023,'Chi Tiết Học Phí'!$A$4:$A$1023,A111)</f>
        <v/>
      </c>
      <c r="I111" s="46">
        <f>SUMIFS('Chi Tiết Học Phí'!$O$4:$O$1023,'Chi Tiết Học Phí'!$A$4:$A$1023,A111)</f>
        <v/>
      </c>
      <c r="J111" s="46">
        <f>SUMIFS('Chi Tiết Học Phí'!$P$4:$P$1023,'Chi Tiết Học Phí'!$A$4:$A$1023,A111)</f>
        <v/>
      </c>
      <c r="K111" s="45">
        <f>IF(J111&gt;0,"Còn nợ","Đã hoàn thành")</f>
        <v/>
      </c>
    </row>
    <row r="112">
      <c r="A112" s="45" t="inlineStr">
        <is>
          <t>251210934</t>
        </is>
      </c>
      <c r="B112" s="45" t="inlineStr">
        <is>
          <t>NGUYỄN KHÔI NGUYÊN</t>
        </is>
      </c>
      <c r="C112" s="45" t="inlineStr">
        <is>
          <t>Công nghệ thông tin 2 K66</t>
        </is>
      </c>
      <c r="D112" s="46">
        <f>SUMIFS('Chi Tiết Học Phí'!$H$4:$H$1023,'Chi Tiết Học Phí'!$A$4:$A$1023,A112)</f>
        <v/>
      </c>
      <c r="E112" s="46">
        <f>SUMIFS('Chi Tiết Học Phí'!$J$4:$J$1023,'Chi Tiết Học Phí'!$A$4:$A$1023,A112)</f>
        <v/>
      </c>
      <c r="F112" s="46">
        <f>SUMIFS('Chi Tiết Học Phí'!$K$4:$K$1023,'Chi Tiết Học Phí'!$A$4:$A$1023,A112)</f>
        <v/>
      </c>
      <c r="G112" s="46">
        <f>SUMIFS('Chi Tiết Học Phí'!$L$4:$L$1023,'Chi Tiết Học Phí'!$A$4:$A$1023,A112)</f>
        <v/>
      </c>
      <c r="H112" s="46">
        <f>SUMIFS('Chi Tiết Học Phí'!$M$4:$M$1023,'Chi Tiết Học Phí'!$A$4:$A$1023,A112)-SUMIFS('Chi Tiết Học Phí'!$N$4:$N$1023,'Chi Tiết Học Phí'!$A$4:$A$1023,A112)</f>
        <v/>
      </c>
      <c r="I112" s="46">
        <f>SUMIFS('Chi Tiết Học Phí'!$O$4:$O$1023,'Chi Tiết Học Phí'!$A$4:$A$1023,A112)</f>
        <v/>
      </c>
      <c r="J112" s="46">
        <f>SUMIFS('Chi Tiết Học Phí'!$P$4:$P$1023,'Chi Tiết Học Phí'!$A$4:$A$1023,A112)</f>
        <v/>
      </c>
      <c r="K112" s="45">
        <f>IF(J112&gt;0,"Còn nợ","Đã hoàn thành")</f>
        <v/>
      </c>
    </row>
    <row r="113">
      <c r="A113" s="45" t="inlineStr">
        <is>
          <t>251230937</t>
        </is>
      </c>
      <c r="B113" s="45" t="inlineStr">
        <is>
          <t>NGUYỄN HOÀNG NHẬT</t>
        </is>
      </c>
      <c r="C113" s="45" t="inlineStr">
        <is>
          <t>Công nghệ thông tin 2 K66</t>
        </is>
      </c>
      <c r="D113" s="46">
        <f>SUMIFS('Chi Tiết Học Phí'!$H$4:$H$1023,'Chi Tiết Học Phí'!$A$4:$A$1023,A113)</f>
        <v/>
      </c>
      <c r="E113" s="46">
        <f>SUMIFS('Chi Tiết Học Phí'!$J$4:$J$1023,'Chi Tiết Học Phí'!$A$4:$A$1023,A113)</f>
        <v/>
      </c>
      <c r="F113" s="46">
        <f>SUMIFS('Chi Tiết Học Phí'!$K$4:$K$1023,'Chi Tiết Học Phí'!$A$4:$A$1023,A113)</f>
        <v/>
      </c>
      <c r="G113" s="46">
        <f>SUMIFS('Chi Tiết Học Phí'!$L$4:$L$1023,'Chi Tiết Học Phí'!$A$4:$A$1023,A113)</f>
        <v/>
      </c>
      <c r="H113" s="46">
        <f>SUMIFS('Chi Tiết Học Phí'!$M$4:$M$1023,'Chi Tiết Học Phí'!$A$4:$A$1023,A113)-SUMIFS('Chi Tiết Học Phí'!$N$4:$N$1023,'Chi Tiết Học Phí'!$A$4:$A$1023,A113)</f>
        <v/>
      </c>
      <c r="I113" s="46">
        <f>SUMIFS('Chi Tiết Học Phí'!$O$4:$O$1023,'Chi Tiết Học Phí'!$A$4:$A$1023,A113)</f>
        <v/>
      </c>
      <c r="J113" s="46">
        <f>SUMIFS('Chi Tiết Học Phí'!$P$4:$P$1023,'Chi Tiết Học Phí'!$A$4:$A$1023,A113)</f>
        <v/>
      </c>
      <c r="K113" s="45">
        <f>IF(J113&gt;0,"Còn nợ","Đã hoàn thành")</f>
        <v/>
      </c>
    </row>
    <row r="114">
      <c r="A114" s="45" t="inlineStr">
        <is>
          <t>251230942</t>
        </is>
      </c>
      <c r="B114" s="45" t="inlineStr">
        <is>
          <t>NGUYỄN HOÀNG PHÚC</t>
        </is>
      </c>
      <c r="C114" s="45" t="inlineStr">
        <is>
          <t>Công nghệ thông tin 2 K66</t>
        </is>
      </c>
      <c r="D114" s="46">
        <f>SUMIFS('Chi Tiết Học Phí'!$H$4:$H$1023,'Chi Tiết Học Phí'!$A$4:$A$1023,A114)</f>
        <v/>
      </c>
      <c r="E114" s="46">
        <f>SUMIFS('Chi Tiết Học Phí'!$J$4:$J$1023,'Chi Tiết Học Phí'!$A$4:$A$1023,A114)</f>
        <v/>
      </c>
      <c r="F114" s="46">
        <f>SUMIFS('Chi Tiết Học Phí'!$K$4:$K$1023,'Chi Tiết Học Phí'!$A$4:$A$1023,A114)</f>
        <v/>
      </c>
      <c r="G114" s="46">
        <f>SUMIFS('Chi Tiết Học Phí'!$L$4:$L$1023,'Chi Tiết Học Phí'!$A$4:$A$1023,A114)</f>
        <v/>
      </c>
      <c r="H114" s="46">
        <f>SUMIFS('Chi Tiết Học Phí'!$M$4:$M$1023,'Chi Tiết Học Phí'!$A$4:$A$1023,A114)-SUMIFS('Chi Tiết Học Phí'!$N$4:$N$1023,'Chi Tiết Học Phí'!$A$4:$A$1023,A114)</f>
        <v/>
      </c>
      <c r="I114" s="46">
        <f>SUMIFS('Chi Tiết Học Phí'!$O$4:$O$1023,'Chi Tiết Học Phí'!$A$4:$A$1023,A114)</f>
        <v/>
      </c>
      <c r="J114" s="46">
        <f>SUMIFS('Chi Tiết Học Phí'!$P$4:$P$1023,'Chi Tiết Học Phí'!$A$4:$A$1023,A114)</f>
        <v/>
      </c>
      <c r="K114" s="45">
        <f>IF(J114&gt;0,"Còn nợ","Đã hoàn thành")</f>
        <v/>
      </c>
    </row>
    <row r="115">
      <c r="A115" s="45" t="inlineStr">
        <is>
          <t>251230945</t>
        </is>
      </c>
      <c r="B115" s="45" t="inlineStr">
        <is>
          <t>HOÀNG MINH PHƯƠNG</t>
        </is>
      </c>
      <c r="C115" s="45" t="inlineStr">
        <is>
          <t>Công nghệ thông tin 2 K66</t>
        </is>
      </c>
      <c r="D115" s="46">
        <f>SUMIFS('Chi Tiết Học Phí'!$H$4:$H$1023,'Chi Tiết Học Phí'!$A$4:$A$1023,A115)</f>
        <v/>
      </c>
      <c r="E115" s="46">
        <f>SUMIFS('Chi Tiết Học Phí'!$J$4:$J$1023,'Chi Tiết Học Phí'!$A$4:$A$1023,A115)</f>
        <v/>
      </c>
      <c r="F115" s="46">
        <f>SUMIFS('Chi Tiết Học Phí'!$K$4:$K$1023,'Chi Tiết Học Phí'!$A$4:$A$1023,A115)</f>
        <v/>
      </c>
      <c r="G115" s="46">
        <f>SUMIFS('Chi Tiết Học Phí'!$L$4:$L$1023,'Chi Tiết Học Phí'!$A$4:$A$1023,A115)</f>
        <v/>
      </c>
      <c r="H115" s="46">
        <f>SUMIFS('Chi Tiết Học Phí'!$M$4:$M$1023,'Chi Tiết Học Phí'!$A$4:$A$1023,A115)-SUMIFS('Chi Tiết Học Phí'!$N$4:$N$1023,'Chi Tiết Học Phí'!$A$4:$A$1023,A115)</f>
        <v/>
      </c>
      <c r="I115" s="46">
        <f>SUMIFS('Chi Tiết Học Phí'!$O$4:$O$1023,'Chi Tiết Học Phí'!$A$4:$A$1023,A115)</f>
        <v/>
      </c>
      <c r="J115" s="46">
        <f>SUMIFS('Chi Tiết Học Phí'!$P$4:$P$1023,'Chi Tiết Học Phí'!$A$4:$A$1023,A115)</f>
        <v/>
      </c>
      <c r="K115" s="45">
        <f>IF(J115&gt;0,"Còn nợ","Đã hoàn thành")</f>
        <v/>
      </c>
    </row>
    <row r="116">
      <c r="A116" s="45" t="inlineStr">
        <is>
          <t>251230946</t>
        </is>
      </c>
      <c r="B116" s="45" t="inlineStr">
        <is>
          <t>HOÀNG XUÂN PHƯƠNG</t>
        </is>
      </c>
      <c r="C116" s="45" t="inlineStr">
        <is>
          <t>Công nghệ thông tin 2 K66</t>
        </is>
      </c>
      <c r="D116" s="46">
        <f>SUMIFS('Chi Tiết Học Phí'!$H$4:$H$1023,'Chi Tiết Học Phí'!$A$4:$A$1023,A116)</f>
        <v/>
      </c>
      <c r="E116" s="46">
        <f>SUMIFS('Chi Tiết Học Phí'!$J$4:$J$1023,'Chi Tiết Học Phí'!$A$4:$A$1023,A116)</f>
        <v/>
      </c>
      <c r="F116" s="46">
        <f>SUMIFS('Chi Tiết Học Phí'!$K$4:$K$1023,'Chi Tiết Học Phí'!$A$4:$A$1023,A116)</f>
        <v/>
      </c>
      <c r="G116" s="46">
        <f>SUMIFS('Chi Tiết Học Phí'!$L$4:$L$1023,'Chi Tiết Học Phí'!$A$4:$A$1023,A116)</f>
        <v/>
      </c>
      <c r="H116" s="46">
        <f>SUMIFS('Chi Tiết Học Phí'!$M$4:$M$1023,'Chi Tiết Học Phí'!$A$4:$A$1023,A116)-SUMIFS('Chi Tiết Học Phí'!$N$4:$N$1023,'Chi Tiết Học Phí'!$A$4:$A$1023,A116)</f>
        <v/>
      </c>
      <c r="I116" s="46">
        <f>SUMIFS('Chi Tiết Học Phí'!$O$4:$O$1023,'Chi Tiết Học Phí'!$A$4:$A$1023,A116)</f>
        <v/>
      </c>
      <c r="J116" s="46">
        <f>SUMIFS('Chi Tiết Học Phí'!$P$4:$P$1023,'Chi Tiết Học Phí'!$A$4:$A$1023,A116)</f>
        <v/>
      </c>
      <c r="K116" s="45">
        <f>IF(J116&gt;0,"Còn nợ","Đã hoàn thành")</f>
        <v/>
      </c>
    </row>
    <row r="117">
      <c r="A117" s="45" t="inlineStr">
        <is>
          <t>251230951</t>
        </is>
      </c>
      <c r="B117" s="45" t="inlineStr">
        <is>
          <t>NGUYỄN QUANG QUÂN</t>
        </is>
      </c>
      <c r="C117" s="45" t="inlineStr">
        <is>
          <t>Công nghệ thông tin 2 K66</t>
        </is>
      </c>
      <c r="D117" s="46">
        <f>SUMIFS('Chi Tiết Học Phí'!$H$4:$H$1023,'Chi Tiết Học Phí'!$A$4:$A$1023,A117)</f>
        <v/>
      </c>
      <c r="E117" s="46">
        <f>SUMIFS('Chi Tiết Học Phí'!$J$4:$J$1023,'Chi Tiết Học Phí'!$A$4:$A$1023,A117)</f>
        <v/>
      </c>
      <c r="F117" s="46">
        <f>SUMIFS('Chi Tiết Học Phí'!$K$4:$K$1023,'Chi Tiết Học Phí'!$A$4:$A$1023,A117)</f>
        <v/>
      </c>
      <c r="G117" s="46">
        <f>SUMIFS('Chi Tiết Học Phí'!$L$4:$L$1023,'Chi Tiết Học Phí'!$A$4:$A$1023,A117)</f>
        <v/>
      </c>
      <c r="H117" s="46">
        <f>SUMIFS('Chi Tiết Học Phí'!$M$4:$M$1023,'Chi Tiết Học Phí'!$A$4:$A$1023,A117)-SUMIFS('Chi Tiết Học Phí'!$N$4:$N$1023,'Chi Tiết Học Phí'!$A$4:$A$1023,A117)</f>
        <v/>
      </c>
      <c r="I117" s="46">
        <f>SUMIFS('Chi Tiết Học Phí'!$O$4:$O$1023,'Chi Tiết Học Phí'!$A$4:$A$1023,A117)</f>
        <v/>
      </c>
      <c r="J117" s="46">
        <f>SUMIFS('Chi Tiết Học Phí'!$P$4:$P$1023,'Chi Tiết Học Phí'!$A$4:$A$1023,A117)</f>
        <v/>
      </c>
      <c r="K117" s="45">
        <f>IF(J117&gt;0,"Còn nợ","Đã hoàn thành")</f>
        <v/>
      </c>
    </row>
    <row r="118">
      <c r="A118" s="45" t="inlineStr">
        <is>
          <t>251230952</t>
        </is>
      </c>
      <c r="B118" s="45" t="inlineStr">
        <is>
          <t>TỐNG QUANG QUÝ</t>
        </is>
      </c>
      <c r="C118" s="45" t="inlineStr">
        <is>
          <t>Công nghệ thông tin 2 K66</t>
        </is>
      </c>
      <c r="D118" s="46">
        <f>SUMIFS('Chi Tiết Học Phí'!$H$4:$H$1023,'Chi Tiết Học Phí'!$A$4:$A$1023,A118)</f>
        <v/>
      </c>
      <c r="E118" s="46">
        <f>SUMIFS('Chi Tiết Học Phí'!$J$4:$J$1023,'Chi Tiết Học Phí'!$A$4:$A$1023,A118)</f>
        <v/>
      </c>
      <c r="F118" s="46">
        <f>SUMIFS('Chi Tiết Học Phí'!$K$4:$K$1023,'Chi Tiết Học Phí'!$A$4:$A$1023,A118)</f>
        <v/>
      </c>
      <c r="G118" s="46">
        <f>SUMIFS('Chi Tiết Học Phí'!$L$4:$L$1023,'Chi Tiết Học Phí'!$A$4:$A$1023,A118)</f>
        <v/>
      </c>
      <c r="H118" s="46">
        <f>SUMIFS('Chi Tiết Học Phí'!$M$4:$M$1023,'Chi Tiết Học Phí'!$A$4:$A$1023,A118)-SUMIFS('Chi Tiết Học Phí'!$N$4:$N$1023,'Chi Tiết Học Phí'!$A$4:$A$1023,A118)</f>
        <v/>
      </c>
      <c r="I118" s="46">
        <f>SUMIFS('Chi Tiết Học Phí'!$O$4:$O$1023,'Chi Tiết Học Phí'!$A$4:$A$1023,A118)</f>
        <v/>
      </c>
      <c r="J118" s="46">
        <f>SUMIFS('Chi Tiết Học Phí'!$P$4:$P$1023,'Chi Tiết Học Phí'!$A$4:$A$1023,A118)</f>
        <v/>
      </c>
      <c r="K118" s="45">
        <f>IF(J118&gt;0,"Còn nợ","Đã hoàn thành")</f>
        <v/>
      </c>
    </row>
    <row r="119">
      <c r="A119" s="45" t="inlineStr">
        <is>
          <t>251210953</t>
        </is>
      </c>
      <c r="B119" s="45" t="inlineStr">
        <is>
          <t>NGUYỄN ANH QUYỀN</t>
        </is>
      </c>
      <c r="C119" s="45" t="inlineStr">
        <is>
          <t>Công nghệ thông tin 2 K66</t>
        </is>
      </c>
      <c r="D119" s="46">
        <f>SUMIFS('Chi Tiết Học Phí'!$H$4:$H$1023,'Chi Tiết Học Phí'!$A$4:$A$1023,A119)</f>
        <v/>
      </c>
      <c r="E119" s="46">
        <f>SUMIFS('Chi Tiết Học Phí'!$J$4:$J$1023,'Chi Tiết Học Phí'!$A$4:$A$1023,A119)</f>
        <v/>
      </c>
      <c r="F119" s="46">
        <f>SUMIFS('Chi Tiết Học Phí'!$K$4:$K$1023,'Chi Tiết Học Phí'!$A$4:$A$1023,A119)</f>
        <v/>
      </c>
      <c r="G119" s="46">
        <f>SUMIFS('Chi Tiết Học Phí'!$L$4:$L$1023,'Chi Tiết Học Phí'!$A$4:$A$1023,A119)</f>
        <v/>
      </c>
      <c r="H119" s="46">
        <f>SUMIFS('Chi Tiết Học Phí'!$M$4:$M$1023,'Chi Tiết Học Phí'!$A$4:$A$1023,A119)-SUMIFS('Chi Tiết Học Phí'!$N$4:$N$1023,'Chi Tiết Học Phí'!$A$4:$A$1023,A119)</f>
        <v/>
      </c>
      <c r="I119" s="46">
        <f>SUMIFS('Chi Tiết Học Phí'!$O$4:$O$1023,'Chi Tiết Học Phí'!$A$4:$A$1023,A119)</f>
        <v/>
      </c>
      <c r="J119" s="46">
        <f>SUMIFS('Chi Tiết Học Phí'!$P$4:$P$1023,'Chi Tiết Học Phí'!$A$4:$A$1023,A119)</f>
        <v/>
      </c>
      <c r="K119" s="45">
        <f>IF(J119&gt;0,"Còn nợ","Đã hoàn thành")</f>
        <v/>
      </c>
    </row>
    <row r="120">
      <c r="A120" s="45" t="inlineStr">
        <is>
          <t>251230954</t>
        </is>
      </c>
      <c r="B120" s="45" t="inlineStr">
        <is>
          <t>LƯU CHÍ QUYẾT</t>
        </is>
      </c>
      <c r="C120" s="45" t="inlineStr">
        <is>
          <t>Công nghệ thông tin 2 K66</t>
        </is>
      </c>
      <c r="D120" s="46">
        <f>SUMIFS('Chi Tiết Học Phí'!$H$4:$H$1023,'Chi Tiết Học Phí'!$A$4:$A$1023,A120)</f>
        <v/>
      </c>
      <c r="E120" s="46">
        <f>SUMIFS('Chi Tiết Học Phí'!$J$4:$J$1023,'Chi Tiết Học Phí'!$A$4:$A$1023,A120)</f>
        <v/>
      </c>
      <c r="F120" s="46">
        <f>SUMIFS('Chi Tiết Học Phí'!$K$4:$K$1023,'Chi Tiết Học Phí'!$A$4:$A$1023,A120)</f>
        <v/>
      </c>
      <c r="G120" s="46">
        <f>SUMIFS('Chi Tiết Học Phí'!$L$4:$L$1023,'Chi Tiết Học Phí'!$A$4:$A$1023,A120)</f>
        <v/>
      </c>
      <c r="H120" s="46">
        <f>SUMIFS('Chi Tiết Học Phí'!$M$4:$M$1023,'Chi Tiết Học Phí'!$A$4:$A$1023,A120)-SUMIFS('Chi Tiết Học Phí'!$N$4:$N$1023,'Chi Tiết Học Phí'!$A$4:$A$1023,A120)</f>
        <v/>
      </c>
      <c r="I120" s="46">
        <f>SUMIFS('Chi Tiết Học Phí'!$O$4:$O$1023,'Chi Tiết Học Phí'!$A$4:$A$1023,A120)</f>
        <v/>
      </c>
      <c r="J120" s="46">
        <f>SUMIFS('Chi Tiết Học Phí'!$P$4:$P$1023,'Chi Tiết Học Phí'!$A$4:$A$1023,A120)</f>
        <v/>
      </c>
      <c r="K120" s="45">
        <f>IF(J120&gt;0,"Còn nợ","Đã hoàn thành")</f>
        <v/>
      </c>
    </row>
    <row r="121">
      <c r="A121" s="45" t="inlineStr">
        <is>
          <t>251230960</t>
        </is>
      </c>
      <c r="B121" s="45" t="inlineStr">
        <is>
          <t>CÔNG ANH TÀI</t>
        </is>
      </c>
      <c r="C121" s="45" t="inlineStr">
        <is>
          <t>Công nghệ thông tin 2 K66</t>
        </is>
      </c>
      <c r="D121" s="46">
        <f>SUMIFS('Chi Tiết Học Phí'!$H$4:$H$1023,'Chi Tiết Học Phí'!$A$4:$A$1023,A121)</f>
        <v/>
      </c>
      <c r="E121" s="46">
        <f>SUMIFS('Chi Tiết Học Phí'!$J$4:$J$1023,'Chi Tiết Học Phí'!$A$4:$A$1023,A121)</f>
        <v/>
      </c>
      <c r="F121" s="46">
        <f>SUMIFS('Chi Tiết Học Phí'!$K$4:$K$1023,'Chi Tiết Học Phí'!$A$4:$A$1023,A121)</f>
        <v/>
      </c>
      <c r="G121" s="46">
        <f>SUMIFS('Chi Tiết Học Phí'!$L$4:$L$1023,'Chi Tiết Học Phí'!$A$4:$A$1023,A121)</f>
        <v/>
      </c>
      <c r="H121" s="46">
        <f>SUMIFS('Chi Tiết Học Phí'!$M$4:$M$1023,'Chi Tiết Học Phí'!$A$4:$A$1023,A121)-SUMIFS('Chi Tiết Học Phí'!$N$4:$N$1023,'Chi Tiết Học Phí'!$A$4:$A$1023,A121)</f>
        <v/>
      </c>
      <c r="I121" s="46">
        <f>SUMIFS('Chi Tiết Học Phí'!$O$4:$O$1023,'Chi Tiết Học Phí'!$A$4:$A$1023,A121)</f>
        <v/>
      </c>
      <c r="J121" s="46">
        <f>SUMIFS('Chi Tiết Học Phí'!$P$4:$P$1023,'Chi Tiết Học Phí'!$A$4:$A$1023,A121)</f>
        <v/>
      </c>
      <c r="K121" s="45">
        <f>IF(J121&gt;0,"Còn nợ","Đã hoàn thành")</f>
        <v/>
      </c>
    </row>
    <row r="122">
      <c r="A122" s="45" t="inlineStr">
        <is>
          <t>251230961</t>
        </is>
      </c>
      <c r="B122" s="45" t="inlineStr">
        <is>
          <t>HOÀNG QUỐC THÁI</t>
        </is>
      </c>
      <c r="C122" s="45" t="inlineStr">
        <is>
          <t>Công nghệ thông tin 2 K66</t>
        </is>
      </c>
      <c r="D122" s="46">
        <f>SUMIFS('Chi Tiết Học Phí'!$H$4:$H$1023,'Chi Tiết Học Phí'!$A$4:$A$1023,A122)</f>
        <v/>
      </c>
      <c r="E122" s="46">
        <f>SUMIFS('Chi Tiết Học Phí'!$J$4:$J$1023,'Chi Tiết Học Phí'!$A$4:$A$1023,A122)</f>
        <v/>
      </c>
      <c r="F122" s="46">
        <f>SUMIFS('Chi Tiết Học Phí'!$K$4:$K$1023,'Chi Tiết Học Phí'!$A$4:$A$1023,A122)</f>
        <v/>
      </c>
      <c r="G122" s="46">
        <f>SUMIFS('Chi Tiết Học Phí'!$L$4:$L$1023,'Chi Tiết Học Phí'!$A$4:$A$1023,A122)</f>
        <v/>
      </c>
      <c r="H122" s="46">
        <f>SUMIFS('Chi Tiết Học Phí'!$M$4:$M$1023,'Chi Tiết Học Phí'!$A$4:$A$1023,A122)-SUMIFS('Chi Tiết Học Phí'!$N$4:$N$1023,'Chi Tiết Học Phí'!$A$4:$A$1023,A122)</f>
        <v/>
      </c>
      <c r="I122" s="46">
        <f>SUMIFS('Chi Tiết Học Phí'!$O$4:$O$1023,'Chi Tiết Học Phí'!$A$4:$A$1023,A122)</f>
        <v/>
      </c>
      <c r="J122" s="46">
        <f>SUMIFS('Chi Tiết Học Phí'!$P$4:$P$1023,'Chi Tiết Học Phí'!$A$4:$A$1023,A122)</f>
        <v/>
      </c>
      <c r="K122" s="45">
        <f>IF(J122&gt;0,"Còn nợ","Đã hoàn thành")</f>
        <v/>
      </c>
    </row>
    <row r="123">
      <c r="A123" s="45" t="inlineStr">
        <is>
          <t>251210975</t>
        </is>
      </c>
      <c r="B123" s="45" t="inlineStr">
        <is>
          <t>TRƯƠNG NGỌC THẮNG</t>
        </is>
      </c>
      <c r="C123" s="45" t="inlineStr">
        <is>
          <t>Công nghệ thông tin 2 K66</t>
        </is>
      </c>
      <c r="D123" s="46">
        <f>SUMIFS('Chi Tiết Học Phí'!$H$4:$H$1023,'Chi Tiết Học Phí'!$A$4:$A$1023,A123)</f>
        <v/>
      </c>
      <c r="E123" s="46">
        <f>SUMIFS('Chi Tiết Học Phí'!$J$4:$J$1023,'Chi Tiết Học Phí'!$A$4:$A$1023,A123)</f>
        <v/>
      </c>
      <c r="F123" s="46">
        <f>SUMIFS('Chi Tiết Học Phí'!$K$4:$K$1023,'Chi Tiết Học Phí'!$A$4:$A$1023,A123)</f>
        <v/>
      </c>
      <c r="G123" s="46">
        <f>SUMIFS('Chi Tiết Học Phí'!$L$4:$L$1023,'Chi Tiết Học Phí'!$A$4:$A$1023,A123)</f>
        <v/>
      </c>
      <c r="H123" s="46">
        <f>SUMIFS('Chi Tiết Học Phí'!$M$4:$M$1023,'Chi Tiết Học Phí'!$A$4:$A$1023,A123)-SUMIFS('Chi Tiết Học Phí'!$N$4:$N$1023,'Chi Tiết Học Phí'!$A$4:$A$1023,A123)</f>
        <v/>
      </c>
      <c r="I123" s="46">
        <f>SUMIFS('Chi Tiết Học Phí'!$O$4:$O$1023,'Chi Tiết Học Phí'!$A$4:$A$1023,A123)</f>
        <v/>
      </c>
      <c r="J123" s="46">
        <f>SUMIFS('Chi Tiết Học Phí'!$P$4:$P$1023,'Chi Tiết Học Phí'!$A$4:$A$1023,A123)</f>
        <v/>
      </c>
      <c r="K123" s="45">
        <f>IF(J123&gt;0,"Còn nợ","Đã hoàn thành")</f>
        <v/>
      </c>
    </row>
    <row r="124">
      <c r="A124" s="45" t="inlineStr">
        <is>
          <t>251210965</t>
        </is>
      </c>
      <c r="B124" s="45" t="inlineStr">
        <is>
          <t>ĐỖ NHƯ THÀNH</t>
        </is>
      </c>
      <c r="C124" s="45" t="inlineStr">
        <is>
          <t>Công nghệ thông tin 2 K66</t>
        </is>
      </c>
      <c r="D124" s="46">
        <f>SUMIFS('Chi Tiết Học Phí'!$H$4:$H$1023,'Chi Tiết Học Phí'!$A$4:$A$1023,A124)</f>
        <v/>
      </c>
      <c r="E124" s="46">
        <f>SUMIFS('Chi Tiết Học Phí'!$J$4:$J$1023,'Chi Tiết Học Phí'!$A$4:$A$1023,A124)</f>
        <v/>
      </c>
      <c r="F124" s="46">
        <f>SUMIFS('Chi Tiết Học Phí'!$K$4:$K$1023,'Chi Tiết Học Phí'!$A$4:$A$1023,A124)</f>
        <v/>
      </c>
      <c r="G124" s="46">
        <f>SUMIFS('Chi Tiết Học Phí'!$L$4:$L$1023,'Chi Tiết Học Phí'!$A$4:$A$1023,A124)</f>
        <v/>
      </c>
      <c r="H124" s="46">
        <f>SUMIFS('Chi Tiết Học Phí'!$M$4:$M$1023,'Chi Tiết Học Phí'!$A$4:$A$1023,A124)-SUMIFS('Chi Tiết Học Phí'!$N$4:$N$1023,'Chi Tiết Học Phí'!$A$4:$A$1023,A124)</f>
        <v/>
      </c>
      <c r="I124" s="46">
        <f>SUMIFS('Chi Tiết Học Phí'!$O$4:$O$1023,'Chi Tiết Học Phí'!$A$4:$A$1023,A124)</f>
        <v/>
      </c>
      <c r="J124" s="46">
        <f>SUMIFS('Chi Tiết Học Phí'!$P$4:$P$1023,'Chi Tiết Học Phí'!$A$4:$A$1023,A124)</f>
        <v/>
      </c>
      <c r="K124" s="45">
        <f>IF(J124&gt;0,"Còn nợ","Đã hoàn thành")</f>
        <v/>
      </c>
    </row>
    <row r="125">
      <c r="A125" s="45" t="inlineStr">
        <is>
          <t>251230968</t>
        </is>
      </c>
      <c r="B125" s="45" t="inlineStr">
        <is>
          <t>NGUYỄN QUANG THÀNH</t>
        </is>
      </c>
      <c r="C125" s="45" t="inlineStr">
        <is>
          <t>Công nghệ thông tin 2 K66</t>
        </is>
      </c>
      <c r="D125" s="46">
        <f>SUMIFS('Chi Tiết Học Phí'!$H$4:$H$1023,'Chi Tiết Học Phí'!$A$4:$A$1023,A125)</f>
        <v/>
      </c>
      <c r="E125" s="46">
        <f>SUMIFS('Chi Tiết Học Phí'!$J$4:$J$1023,'Chi Tiết Học Phí'!$A$4:$A$1023,A125)</f>
        <v/>
      </c>
      <c r="F125" s="46">
        <f>SUMIFS('Chi Tiết Học Phí'!$K$4:$K$1023,'Chi Tiết Học Phí'!$A$4:$A$1023,A125)</f>
        <v/>
      </c>
      <c r="G125" s="46">
        <f>SUMIFS('Chi Tiết Học Phí'!$L$4:$L$1023,'Chi Tiết Học Phí'!$A$4:$A$1023,A125)</f>
        <v/>
      </c>
      <c r="H125" s="46">
        <f>SUMIFS('Chi Tiết Học Phí'!$M$4:$M$1023,'Chi Tiết Học Phí'!$A$4:$A$1023,A125)-SUMIFS('Chi Tiết Học Phí'!$N$4:$N$1023,'Chi Tiết Học Phí'!$A$4:$A$1023,A125)</f>
        <v/>
      </c>
      <c r="I125" s="46">
        <f>SUMIFS('Chi Tiết Học Phí'!$O$4:$O$1023,'Chi Tiết Học Phí'!$A$4:$A$1023,A125)</f>
        <v/>
      </c>
      <c r="J125" s="46">
        <f>SUMIFS('Chi Tiết Học Phí'!$P$4:$P$1023,'Chi Tiết Học Phí'!$A$4:$A$1023,A125)</f>
        <v/>
      </c>
      <c r="K125" s="45">
        <f>IF(J125&gt;0,"Còn nợ","Đã hoàn thành")</f>
        <v/>
      </c>
    </row>
    <row r="126">
      <c r="A126" s="45" t="inlineStr">
        <is>
          <t>251230971</t>
        </is>
      </c>
      <c r="B126" s="45" t="inlineStr">
        <is>
          <t>TRẦN VĂN THÀNH</t>
        </is>
      </c>
      <c r="C126" s="45" t="inlineStr">
        <is>
          <t>Công nghệ thông tin 2 K66</t>
        </is>
      </c>
      <c r="D126" s="46">
        <f>SUMIFS('Chi Tiết Học Phí'!$H$4:$H$1023,'Chi Tiết Học Phí'!$A$4:$A$1023,A126)</f>
        <v/>
      </c>
      <c r="E126" s="46">
        <f>SUMIFS('Chi Tiết Học Phí'!$J$4:$J$1023,'Chi Tiết Học Phí'!$A$4:$A$1023,A126)</f>
        <v/>
      </c>
      <c r="F126" s="46">
        <f>SUMIFS('Chi Tiết Học Phí'!$K$4:$K$1023,'Chi Tiết Học Phí'!$A$4:$A$1023,A126)</f>
        <v/>
      </c>
      <c r="G126" s="46">
        <f>SUMIFS('Chi Tiết Học Phí'!$L$4:$L$1023,'Chi Tiết Học Phí'!$A$4:$A$1023,A126)</f>
        <v/>
      </c>
      <c r="H126" s="46">
        <f>SUMIFS('Chi Tiết Học Phí'!$M$4:$M$1023,'Chi Tiết Học Phí'!$A$4:$A$1023,A126)-SUMIFS('Chi Tiết Học Phí'!$N$4:$N$1023,'Chi Tiết Học Phí'!$A$4:$A$1023,A126)</f>
        <v/>
      </c>
      <c r="I126" s="46">
        <f>SUMIFS('Chi Tiết Học Phí'!$O$4:$O$1023,'Chi Tiết Học Phí'!$A$4:$A$1023,A126)</f>
        <v/>
      </c>
      <c r="J126" s="46">
        <f>SUMIFS('Chi Tiết Học Phí'!$P$4:$P$1023,'Chi Tiết Học Phí'!$A$4:$A$1023,A126)</f>
        <v/>
      </c>
      <c r="K126" s="45">
        <f>IF(J126&gt;0,"Còn nợ","Đã hoàn thành")</f>
        <v/>
      </c>
    </row>
    <row r="127">
      <c r="A127" s="45" t="inlineStr">
        <is>
          <t>251230978</t>
        </is>
      </c>
      <c r="B127" s="45" t="inlineStr">
        <is>
          <t>NGUYỄN TÁ ANH THỊNH</t>
        </is>
      </c>
      <c r="C127" s="45" t="inlineStr">
        <is>
          <t>Công nghệ thông tin 2 K66</t>
        </is>
      </c>
      <c r="D127" s="46">
        <f>SUMIFS('Chi Tiết Học Phí'!$H$4:$H$1023,'Chi Tiết Học Phí'!$A$4:$A$1023,A127)</f>
        <v/>
      </c>
      <c r="E127" s="46">
        <f>SUMIFS('Chi Tiết Học Phí'!$J$4:$J$1023,'Chi Tiết Học Phí'!$A$4:$A$1023,A127)</f>
        <v/>
      </c>
      <c r="F127" s="46">
        <f>SUMIFS('Chi Tiết Học Phí'!$K$4:$K$1023,'Chi Tiết Học Phí'!$A$4:$A$1023,A127)</f>
        <v/>
      </c>
      <c r="G127" s="46">
        <f>SUMIFS('Chi Tiết Học Phí'!$L$4:$L$1023,'Chi Tiết Học Phí'!$A$4:$A$1023,A127)</f>
        <v/>
      </c>
      <c r="H127" s="46">
        <f>SUMIFS('Chi Tiết Học Phí'!$M$4:$M$1023,'Chi Tiết Học Phí'!$A$4:$A$1023,A127)-SUMIFS('Chi Tiết Học Phí'!$N$4:$N$1023,'Chi Tiết Học Phí'!$A$4:$A$1023,A127)</f>
        <v/>
      </c>
      <c r="I127" s="46">
        <f>SUMIFS('Chi Tiết Học Phí'!$O$4:$O$1023,'Chi Tiết Học Phí'!$A$4:$A$1023,A127)</f>
        <v/>
      </c>
      <c r="J127" s="46">
        <f>SUMIFS('Chi Tiết Học Phí'!$P$4:$P$1023,'Chi Tiết Học Phí'!$A$4:$A$1023,A127)</f>
        <v/>
      </c>
      <c r="K127" s="45">
        <f>IF(J127&gt;0,"Còn nợ","Đã hoàn thành")</f>
        <v/>
      </c>
    </row>
    <row r="128">
      <c r="A128" s="45" t="inlineStr">
        <is>
          <t>251230980</t>
        </is>
      </c>
      <c r="B128" s="45" t="inlineStr">
        <is>
          <t>TRẦN BÁ THƯỜNG</t>
        </is>
      </c>
      <c r="C128" s="45" t="inlineStr">
        <is>
          <t>Công nghệ thông tin 2 K66</t>
        </is>
      </c>
      <c r="D128" s="46">
        <f>SUMIFS('Chi Tiết Học Phí'!$H$4:$H$1023,'Chi Tiết Học Phí'!$A$4:$A$1023,A128)</f>
        <v/>
      </c>
      <c r="E128" s="46">
        <f>SUMIFS('Chi Tiết Học Phí'!$J$4:$J$1023,'Chi Tiết Học Phí'!$A$4:$A$1023,A128)</f>
        <v/>
      </c>
      <c r="F128" s="46">
        <f>SUMIFS('Chi Tiết Học Phí'!$K$4:$K$1023,'Chi Tiết Học Phí'!$A$4:$A$1023,A128)</f>
        <v/>
      </c>
      <c r="G128" s="46">
        <f>SUMIFS('Chi Tiết Học Phí'!$L$4:$L$1023,'Chi Tiết Học Phí'!$A$4:$A$1023,A128)</f>
        <v/>
      </c>
      <c r="H128" s="46">
        <f>SUMIFS('Chi Tiết Học Phí'!$M$4:$M$1023,'Chi Tiết Học Phí'!$A$4:$A$1023,A128)-SUMIFS('Chi Tiết Học Phí'!$N$4:$N$1023,'Chi Tiết Học Phí'!$A$4:$A$1023,A128)</f>
        <v/>
      </c>
      <c r="I128" s="46">
        <f>SUMIFS('Chi Tiết Học Phí'!$O$4:$O$1023,'Chi Tiết Học Phí'!$A$4:$A$1023,A128)</f>
        <v/>
      </c>
      <c r="J128" s="46">
        <f>SUMIFS('Chi Tiết Học Phí'!$P$4:$P$1023,'Chi Tiết Học Phí'!$A$4:$A$1023,A128)</f>
        <v/>
      </c>
      <c r="K128" s="45">
        <f>IF(J128&gt;0,"Còn nợ","Đã hoàn thành")</f>
        <v/>
      </c>
    </row>
    <row r="129">
      <c r="A129" s="45" t="inlineStr">
        <is>
          <t>251230993</t>
        </is>
      </c>
      <c r="B129" s="45" t="inlineStr">
        <is>
          <t>TRỊNH QUỐC TUẤN</t>
        </is>
      </c>
      <c r="C129" s="45" t="inlineStr">
        <is>
          <t>Công nghệ thông tin 2 K66</t>
        </is>
      </c>
      <c r="D129" s="46">
        <f>SUMIFS('Chi Tiết Học Phí'!$H$4:$H$1023,'Chi Tiết Học Phí'!$A$4:$A$1023,A129)</f>
        <v/>
      </c>
      <c r="E129" s="46">
        <f>SUMIFS('Chi Tiết Học Phí'!$J$4:$J$1023,'Chi Tiết Học Phí'!$A$4:$A$1023,A129)</f>
        <v/>
      </c>
      <c r="F129" s="46">
        <f>SUMIFS('Chi Tiết Học Phí'!$K$4:$K$1023,'Chi Tiết Học Phí'!$A$4:$A$1023,A129)</f>
        <v/>
      </c>
      <c r="G129" s="46">
        <f>SUMIFS('Chi Tiết Học Phí'!$L$4:$L$1023,'Chi Tiết Học Phí'!$A$4:$A$1023,A129)</f>
        <v/>
      </c>
      <c r="H129" s="46">
        <f>SUMIFS('Chi Tiết Học Phí'!$M$4:$M$1023,'Chi Tiết Học Phí'!$A$4:$A$1023,A129)-SUMIFS('Chi Tiết Học Phí'!$N$4:$N$1023,'Chi Tiết Học Phí'!$A$4:$A$1023,A129)</f>
        <v/>
      </c>
      <c r="I129" s="46">
        <f>SUMIFS('Chi Tiết Học Phí'!$O$4:$O$1023,'Chi Tiết Học Phí'!$A$4:$A$1023,A129)</f>
        <v/>
      </c>
      <c r="J129" s="46">
        <f>SUMIFS('Chi Tiết Học Phí'!$P$4:$P$1023,'Chi Tiết Học Phí'!$A$4:$A$1023,A129)</f>
        <v/>
      </c>
      <c r="K129" s="45">
        <f>IF(J129&gt;0,"Còn nợ","Đã hoàn thành")</f>
        <v/>
      </c>
    </row>
    <row r="130">
      <c r="A130" s="45" t="inlineStr">
        <is>
          <t>251230996</t>
        </is>
      </c>
      <c r="B130" s="45" t="inlineStr">
        <is>
          <t>CHÚC ANH VIỆT</t>
        </is>
      </c>
      <c r="C130" s="45" t="inlineStr">
        <is>
          <t>Công nghệ thông tin 2 K66</t>
        </is>
      </c>
      <c r="D130" s="46">
        <f>SUMIFS('Chi Tiết Học Phí'!$H$4:$H$1023,'Chi Tiết Học Phí'!$A$4:$A$1023,A130)</f>
        <v/>
      </c>
      <c r="E130" s="46">
        <f>SUMIFS('Chi Tiết Học Phí'!$J$4:$J$1023,'Chi Tiết Học Phí'!$A$4:$A$1023,A130)</f>
        <v/>
      </c>
      <c r="F130" s="46">
        <f>SUMIFS('Chi Tiết Học Phí'!$K$4:$K$1023,'Chi Tiết Học Phí'!$A$4:$A$1023,A130)</f>
        <v/>
      </c>
      <c r="G130" s="46">
        <f>SUMIFS('Chi Tiết Học Phí'!$L$4:$L$1023,'Chi Tiết Học Phí'!$A$4:$A$1023,A130)</f>
        <v/>
      </c>
      <c r="H130" s="46">
        <f>SUMIFS('Chi Tiết Học Phí'!$M$4:$M$1023,'Chi Tiết Học Phí'!$A$4:$A$1023,A130)-SUMIFS('Chi Tiết Học Phí'!$N$4:$N$1023,'Chi Tiết Học Phí'!$A$4:$A$1023,A130)</f>
        <v/>
      </c>
      <c r="I130" s="46">
        <f>SUMIFS('Chi Tiết Học Phí'!$O$4:$O$1023,'Chi Tiết Học Phí'!$A$4:$A$1023,A130)</f>
        <v/>
      </c>
      <c r="J130" s="46">
        <f>SUMIFS('Chi Tiết Học Phí'!$P$4:$P$1023,'Chi Tiết Học Phí'!$A$4:$A$1023,A130)</f>
        <v/>
      </c>
      <c r="K130" s="45">
        <f>IF(J130&gt;0,"Còn nợ","Đã hoàn thành")</f>
        <v/>
      </c>
    </row>
    <row r="131">
      <c r="A131" s="45" t="inlineStr">
        <is>
          <t>251230999</t>
        </is>
      </c>
      <c r="B131" s="45" t="inlineStr">
        <is>
          <t>PHAN ĐÌNH VIỆT</t>
        </is>
      </c>
      <c r="C131" s="45" t="inlineStr">
        <is>
          <t>Công nghệ thông tin 2 K66</t>
        </is>
      </c>
      <c r="D131" s="46">
        <f>SUMIFS('Chi Tiết Học Phí'!$H$4:$H$1023,'Chi Tiết Học Phí'!$A$4:$A$1023,A131)</f>
        <v/>
      </c>
      <c r="E131" s="46">
        <f>SUMIFS('Chi Tiết Học Phí'!$J$4:$J$1023,'Chi Tiết Học Phí'!$A$4:$A$1023,A131)</f>
        <v/>
      </c>
      <c r="F131" s="46">
        <f>SUMIFS('Chi Tiết Học Phí'!$K$4:$K$1023,'Chi Tiết Học Phí'!$A$4:$A$1023,A131)</f>
        <v/>
      </c>
      <c r="G131" s="46">
        <f>SUMIFS('Chi Tiết Học Phí'!$L$4:$L$1023,'Chi Tiết Học Phí'!$A$4:$A$1023,A131)</f>
        <v/>
      </c>
      <c r="H131" s="46">
        <f>SUMIFS('Chi Tiết Học Phí'!$M$4:$M$1023,'Chi Tiết Học Phí'!$A$4:$A$1023,A131)-SUMIFS('Chi Tiết Học Phí'!$N$4:$N$1023,'Chi Tiết Học Phí'!$A$4:$A$1023,A131)</f>
        <v/>
      </c>
      <c r="I131" s="46">
        <f>SUMIFS('Chi Tiết Học Phí'!$O$4:$O$1023,'Chi Tiết Học Phí'!$A$4:$A$1023,A131)</f>
        <v/>
      </c>
      <c r="J131" s="46">
        <f>SUMIFS('Chi Tiết Học Phí'!$P$4:$P$1023,'Chi Tiết Học Phí'!$A$4:$A$1023,A131)</f>
        <v/>
      </c>
      <c r="K131" s="45">
        <f>IF(J131&gt;0,"Còn nợ","Đã hoàn thành")</f>
        <v/>
      </c>
    </row>
    <row r="132">
      <c r="A132" s="45" t="inlineStr">
        <is>
          <t>251231003</t>
        </is>
      </c>
      <c r="B132" s="45" t="inlineStr">
        <is>
          <t>TRẦN QUANG VINH</t>
        </is>
      </c>
      <c r="C132" s="45" t="inlineStr">
        <is>
          <t>Công nghệ thông tin 2 K66</t>
        </is>
      </c>
      <c r="D132" s="46">
        <f>SUMIFS('Chi Tiết Học Phí'!$H$4:$H$1023,'Chi Tiết Học Phí'!$A$4:$A$1023,A132)</f>
        <v/>
      </c>
      <c r="E132" s="46">
        <f>SUMIFS('Chi Tiết Học Phí'!$J$4:$J$1023,'Chi Tiết Học Phí'!$A$4:$A$1023,A132)</f>
        <v/>
      </c>
      <c r="F132" s="46">
        <f>SUMIFS('Chi Tiết Học Phí'!$K$4:$K$1023,'Chi Tiết Học Phí'!$A$4:$A$1023,A132)</f>
        <v/>
      </c>
      <c r="G132" s="46">
        <f>SUMIFS('Chi Tiết Học Phí'!$L$4:$L$1023,'Chi Tiết Học Phí'!$A$4:$A$1023,A132)</f>
        <v/>
      </c>
      <c r="H132" s="46">
        <f>SUMIFS('Chi Tiết Học Phí'!$M$4:$M$1023,'Chi Tiết Học Phí'!$A$4:$A$1023,A132)-SUMIFS('Chi Tiết Học Phí'!$N$4:$N$1023,'Chi Tiết Học Phí'!$A$4:$A$1023,A132)</f>
        <v/>
      </c>
      <c r="I132" s="46">
        <f>SUMIFS('Chi Tiết Học Phí'!$O$4:$O$1023,'Chi Tiết Học Phí'!$A$4:$A$1023,A132)</f>
        <v/>
      </c>
      <c r="J132" s="46">
        <f>SUMIFS('Chi Tiết Học Phí'!$P$4:$P$1023,'Chi Tiết Học Phí'!$A$4:$A$1023,A132)</f>
        <v/>
      </c>
      <c r="K132" s="45">
        <f>IF(J132&gt;0,"Còn nợ","Đã hoàn thành")</f>
        <v/>
      </c>
    </row>
    <row r="133">
      <c r="A133" s="45" t="inlineStr">
        <is>
          <t>251211005</t>
        </is>
      </c>
      <c r="B133" s="45" t="inlineStr">
        <is>
          <t>DƯƠNG HOÀNG VŨ</t>
        </is>
      </c>
      <c r="C133" s="45" t="inlineStr">
        <is>
          <t>Công nghệ thông tin 2 K66</t>
        </is>
      </c>
      <c r="D133" s="46">
        <f>SUMIFS('Chi Tiết Học Phí'!$H$4:$H$1023,'Chi Tiết Học Phí'!$A$4:$A$1023,A133)</f>
        <v/>
      </c>
      <c r="E133" s="46">
        <f>SUMIFS('Chi Tiết Học Phí'!$J$4:$J$1023,'Chi Tiết Học Phí'!$A$4:$A$1023,A133)</f>
        <v/>
      </c>
      <c r="F133" s="46">
        <f>SUMIFS('Chi Tiết Học Phí'!$K$4:$K$1023,'Chi Tiết Học Phí'!$A$4:$A$1023,A133)</f>
        <v/>
      </c>
      <c r="G133" s="46">
        <f>SUMIFS('Chi Tiết Học Phí'!$L$4:$L$1023,'Chi Tiết Học Phí'!$A$4:$A$1023,A133)</f>
        <v/>
      </c>
      <c r="H133" s="46">
        <f>SUMIFS('Chi Tiết Học Phí'!$M$4:$M$1023,'Chi Tiết Học Phí'!$A$4:$A$1023,A133)-SUMIFS('Chi Tiết Học Phí'!$N$4:$N$1023,'Chi Tiết Học Phí'!$A$4:$A$1023,A133)</f>
        <v/>
      </c>
      <c r="I133" s="46">
        <f>SUMIFS('Chi Tiết Học Phí'!$O$4:$O$1023,'Chi Tiết Học Phí'!$A$4:$A$1023,A133)</f>
        <v/>
      </c>
      <c r="J133" s="46">
        <f>SUMIFS('Chi Tiết Học Phí'!$P$4:$P$1023,'Chi Tiết Học Phí'!$A$4:$A$1023,A133)</f>
        <v/>
      </c>
      <c r="K133" s="45">
        <f>IF(J133&gt;0,"Còn nợ","Đã hoàn thành")</f>
        <v/>
      </c>
    </row>
    <row r="134">
      <c r="A134" s="45" t="inlineStr">
        <is>
          <t>251231006</t>
        </is>
      </c>
      <c r="B134" s="45" t="inlineStr">
        <is>
          <t>HÀ HUY VŨ</t>
        </is>
      </c>
      <c r="C134" s="45" t="inlineStr">
        <is>
          <t>Công nghệ thông tin 2 K66</t>
        </is>
      </c>
      <c r="D134" s="46">
        <f>SUMIFS('Chi Tiết Học Phí'!$H$4:$H$1023,'Chi Tiết Học Phí'!$A$4:$A$1023,A134)</f>
        <v/>
      </c>
      <c r="E134" s="46">
        <f>SUMIFS('Chi Tiết Học Phí'!$J$4:$J$1023,'Chi Tiết Học Phí'!$A$4:$A$1023,A134)</f>
        <v/>
      </c>
      <c r="F134" s="46">
        <f>SUMIFS('Chi Tiết Học Phí'!$K$4:$K$1023,'Chi Tiết Học Phí'!$A$4:$A$1023,A134)</f>
        <v/>
      </c>
      <c r="G134" s="46">
        <f>SUMIFS('Chi Tiết Học Phí'!$L$4:$L$1023,'Chi Tiết Học Phí'!$A$4:$A$1023,A134)</f>
        <v/>
      </c>
      <c r="H134" s="46">
        <f>SUMIFS('Chi Tiết Học Phí'!$M$4:$M$1023,'Chi Tiết Học Phí'!$A$4:$A$1023,A134)-SUMIFS('Chi Tiết Học Phí'!$N$4:$N$1023,'Chi Tiết Học Phí'!$A$4:$A$1023,A134)</f>
        <v/>
      </c>
      <c r="I134" s="46">
        <f>SUMIFS('Chi Tiết Học Phí'!$O$4:$O$1023,'Chi Tiết Học Phí'!$A$4:$A$1023,A134)</f>
        <v/>
      </c>
      <c r="J134" s="46">
        <f>SUMIFS('Chi Tiết Học Phí'!$P$4:$P$1023,'Chi Tiết Học Phí'!$A$4:$A$1023,A134)</f>
        <v/>
      </c>
      <c r="K134" s="45">
        <f>IF(J134&gt;0,"Còn nợ","Đã hoàn thành")</f>
        <v/>
      </c>
    </row>
    <row r="135">
      <c r="A135" s="45" t="inlineStr">
        <is>
          <t>251210795</t>
        </is>
      </c>
      <c r="B135" s="45" t="inlineStr">
        <is>
          <t>NGÔ ĐÌNH NGỌC AN</t>
        </is>
      </c>
      <c r="C135" s="45" t="inlineStr">
        <is>
          <t>Công nghệ thông tin 3 K66</t>
        </is>
      </c>
      <c r="D135" s="46">
        <f>SUMIFS('Chi Tiết Học Phí'!$H$4:$H$1023,'Chi Tiết Học Phí'!$A$4:$A$1023,A135)</f>
        <v/>
      </c>
      <c r="E135" s="46">
        <f>SUMIFS('Chi Tiết Học Phí'!$J$4:$J$1023,'Chi Tiết Học Phí'!$A$4:$A$1023,A135)</f>
        <v/>
      </c>
      <c r="F135" s="46">
        <f>SUMIFS('Chi Tiết Học Phí'!$K$4:$K$1023,'Chi Tiết Học Phí'!$A$4:$A$1023,A135)</f>
        <v/>
      </c>
      <c r="G135" s="46">
        <f>SUMIFS('Chi Tiết Học Phí'!$L$4:$L$1023,'Chi Tiết Học Phí'!$A$4:$A$1023,A135)</f>
        <v/>
      </c>
      <c r="H135" s="46">
        <f>SUMIFS('Chi Tiết Học Phí'!$M$4:$M$1023,'Chi Tiết Học Phí'!$A$4:$A$1023,A135)-SUMIFS('Chi Tiết Học Phí'!$N$4:$N$1023,'Chi Tiết Học Phí'!$A$4:$A$1023,A135)</f>
        <v/>
      </c>
      <c r="I135" s="46">
        <f>SUMIFS('Chi Tiết Học Phí'!$O$4:$O$1023,'Chi Tiết Học Phí'!$A$4:$A$1023,A135)</f>
        <v/>
      </c>
      <c r="J135" s="46">
        <f>SUMIFS('Chi Tiết Học Phí'!$P$4:$P$1023,'Chi Tiết Học Phí'!$A$4:$A$1023,A135)</f>
        <v/>
      </c>
      <c r="K135" s="45">
        <f>IF(J135&gt;0,"Còn nợ","Đã hoàn thành")</f>
        <v/>
      </c>
    </row>
    <row r="136">
      <c r="A136" s="45" t="inlineStr">
        <is>
          <t>251210797</t>
        </is>
      </c>
      <c r="B136" s="45" t="inlineStr">
        <is>
          <t>NGUYỄN VIỆT AN</t>
        </is>
      </c>
      <c r="C136" s="45" t="inlineStr">
        <is>
          <t>Công nghệ thông tin 3 K66</t>
        </is>
      </c>
      <c r="D136" s="46">
        <f>SUMIFS('Chi Tiết Học Phí'!$H$4:$H$1023,'Chi Tiết Học Phí'!$A$4:$A$1023,A136)</f>
        <v/>
      </c>
      <c r="E136" s="46">
        <f>SUMIFS('Chi Tiết Học Phí'!$J$4:$J$1023,'Chi Tiết Học Phí'!$A$4:$A$1023,A136)</f>
        <v/>
      </c>
      <c r="F136" s="46">
        <f>SUMIFS('Chi Tiết Học Phí'!$K$4:$K$1023,'Chi Tiết Học Phí'!$A$4:$A$1023,A136)</f>
        <v/>
      </c>
      <c r="G136" s="46">
        <f>SUMIFS('Chi Tiết Học Phí'!$L$4:$L$1023,'Chi Tiết Học Phí'!$A$4:$A$1023,A136)</f>
        <v/>
      </c>
      <c r="H136" s="46">
        <f>SUMIFS('Chi Tiết Học Phí'!$M$4:$M$1023,'Chi Tiết Học Phí'!$A$4:$A$1023,A136)-SUMIFS('Chi Tiết Học Phí'!$N$4:$N$1023,'Chi Tiết Học Phí'!$A$4:$A$1023,A136)</f>
        <v/>
      </c>
      <c r="I136" s="46">
        <f>SUMIFS('Chi Tiết Học Phí'!$O$4:$O$1023,'Chi Tiết Học Phí'!$A$4:$A$1023,A136)</f>
        <v/>
      </c>
      <c r="J136" s="46">
        <f>SUMIFS('Chi Tiết Học Phí'!$P$4:$P$1023,'Chi Tiết Học Phí'!$A$4:$A$1023,A136)</f>
        <v/>
      </c>
      <c r="K136" s="45">
        <f>IF(J136&gt;0,"Còn nợ","Đã hoàn thành")</f>
        <v/>
      </c>
    </row>
    <row r="137">
      <c r="A137" s="45" t="inlineStr">
        <is>
          <t>251230803</t>
        </is>
      </c>
      <c r="B137" s="45" t="inlineStr">
        <is>
          <t>NGUYỄN ĐỨC ANH</t>
        </is>
      </c>
      <c r="C137" s="45" t="inlineStr">
        <is>
          <t>Công nghệ thông tin 3 K66</t>
        </is>
      </c>
      <c r="D137" s="46">
        <f>SUMIFS('Chi Tiết Học Phí'!$H$4:$H$1023,'Chi Tiết Học Phí'!$A$4:$A$1023,A137)</f>
        <v/>
      </c>
      <c r="E137" s="46">
        <f>SUMIFS('Chi Tiết Học Phí'!$J$4:$J$1023,'Chi Tiết Học Phí'!$A$4:$A$1023,A137)</f>
        <v/>
      </c>
      <c r="F137" s="46">
        <f>SUMIFS('Chi Tiết Học Phí'!$K$4:$K$1023,'Chi Tiết Học Phí'!$A$4:$A$1023,A137)</f>
        <v/>
      </c>
      <c r="G137" s="46">
        <f>SUMIFS('Chi Tiết Học Phí'!$L$4:$L$1023,'Chi Tiết Học Phí'!$A$4:$A$1023,A137)</f>
        <v/>
      </c>
      <c r="H137" s="46">
        <f>SUMIFS('Chi Tiết Học Phí'!$M$4:$M$1023,'Chi Tiết Học Phí'!$A$4:$A$1023,A137)-SUMIFS('Chi Tiết Học Phí'!$N$4:$N$1023,'Chi Tiết Học Phí'!$A$4:$A$1023,A137)</f>
        <v/>
      </c>
      <c r="I137" s="46">
        <f>SUMIFS('Chi Tiết Học Phí'!$O$4:$O$1023,'Chi Tiết Học Phí'!$A$4:$A$1023,A137)</f>
        <v/>
      </c>
      <c r="J137" s="46">
        <f>SUMIFS('Chi Tiết Học Phí'!$P$4:$P$1023,'Chi Tiết Học Phí'!$A$4:$A$1023,A137)</f>
        <v/>
      </c>
      <c r="K137" s="45">
        <f>IF(J137&gt;0,"Còn nợ","Đã hoàn thành")</f>
        <v/>
      </c>
    </row>
    <row r="138">
      <c r="A138" s="45" t="inlineStr">
        <is>
          <t>251210804</t>
        </is>
      </c>
      <c r="B138" s="45" t="inlineStr">
        <is>
          <t>NGUYỄN NHẬT ANH</t>
        </is>
      </c>
      <c r="C138" s="45" t="inlineStr">
        <is>
          <t>Công nghệ thông tin 3 K66</t>
        </is>
      </c>
      <c r="D138" s="46">
        <f>SUMIFS('Chi Tiết Học Phí'!$H$4:$H$1023,'Chi Tiết Học Phí'!$A$4:$A$1023,A138)</f>
        <v/>
      </c>
      <c r="E138" s="46">
        <f>SUMIFS('Chi Tiết Học Phí'!$J$4:$J$1023,'Chi Tiết Học Phí'!$A$4:$A$1023,A138)</f>
        <v/>
      </c>
      <c r="F138" s="46">
        <f>SUMIFS('Chi Tiết Học Phí'!$K$4:$K$1023,'Chi Tiết Học Phí'!$A$4:$A$1023,A138)</f>
        <v/>
      </c>
      <c r="G138" s="46">
        <f>SUMIFS('Chi Tiết Học Phí'!$L$4:$L$1023,'Chi Tiết Học Phí'!$A$4:$A$1023,A138)</f>
        <v/>
      </c>
      <c r="H138" s="46">
        <f>SUMIFS('Chi Tiết Học Phí'!$M$4:$M$1023,'Chi Tiết Học Phí'!$A$4:$A$1023,A138)-SUMIFS('Chi Tiết Học Phí'!$N$4:$N$1023,'Chi Tiết Học Phí'!$A$4:$A$1023,A138)</f>
        <v/>
      </c>
      <c r="I138" s="46">
        <f>SUMIFS('Chi Tiết Học Phí'!$O$4:$O$1023,'Chi Tiết Học Phí'!$A$4:$A$1023,A138)</f>
        <v/>
      </c>
      <c r="J138" s="46">
        <f>SUMIFS('Chi Tiết Học Phí'!$P$4:$P$1023,'Chi Tiết Học Phí'!$A$4:$A$1023,A138)</f>
        <v/>
      </c>
      <c r="K138" s="45">
        <f>IF(J138&gt;0,"Còn nợ","Đã hoàn thành")</f>
        <v/>
      </c>
    </row>
    <row r="139">
      <c r="A139" s="45" t="inlineStr">
        <is>
          <t>251230805</t>
        </is>
      </c>
      <c r="B139" s="45" t="inlineStr">
        <is>
          <t>NGUYỄN QUỐC ANH</t>
        </is>
      </c>
      <c r="C139" s="45" t="inlineStr">
        <is>
          <t>Công nghệ thông tin 3 K66</t>
        </is>
      </c>
      <c r="D139" s="46">
        <f>SUMIFS('Chi Tiết Học Phí'!$H$4:$H$1023,'Chi Tiết Học Phí'!$A$4:$A$1023,A139)</f>
        <v/>
      </c>
      <c r="E139" s="46">
        <f>SUMIFS('Chi Tiết Học Phí'!$J$4:$J$1023,'Chi Tiết Học Phí'!$A$4:$A$1023,A139)</f>
        <v/>
      </c>
      <c r="F139" s="46">
        <f>SUMIFS('Chi Tiết Học Phí'!$K$4:$K$1023,'Chi Tiết Học Phí'!$A$4:$A$1023,A139)</f>
        <v/>
      </c>
      <c r="G139" s="46">
        <f>SUMIFS('Chi Tiết Học Phí'!$L$4:$L$1023,'Chi Tiết Học Phí'!$A$4:$A$1023,A139)</f>
        <v/>
      </c>
      <c r="H139" s="46">
        <f>SUMIFS('Chi Tiết Học Phí'!$M$4:$M$1023,'Chi Tiết Học Phí'!$A$4:$A$1023,A139)-SUMIFS('Chi Tiết Học Phí'!$N$4:$N$1023,'Chi Tiết Học Phí'!$A$4:$A$1023,A139)</f>
        <v/>
      </c>
      <c r="I139" s="46">
        <f>SUMIFS('Chi Tiết Học Phí'!$O$4:$O$1023,'Chi Tiết Học Phí'!$A$4:$A$1023,A139)</f>
        <v/>
      </c>
      <c r="J139" s="46">
        <f>SUMIFS('Chi Tiết Học Phí'!$P$4:$P$1023,'Chi Tiết Học Phí'!$A$4:$A$1023,A139)</f>
        <v/>
      </c>
      <c r="K139" s="45">
        <f>IF(J139&gt;0,"Còn nợ","Đã hoàn thành")</f>
        <v/>
      </c>
    </row>
    <row r="140">
      <c r="A140" s="45" t="inlineStr">
        <is>
          <t>251230810</t>
        </is>
      </c>
      <c r="B140" s="45" t="inlineStr">
        <is>
          <t>NGUYỄN XUÂN BÁCH</t>
        </is>
      </c>
      <c r="C140" s="45" t="inlineStr">
        <is>
          <t>Công nghệ thông tin 3 K66</t>
        </is>
      </c>
      <c r="D140" s="46">
        <f>SUMIFS('Chi Tiết Học Phí'!$H$4:$H$1023,'Chi Tiết Học Phí'!$A$4:$A$1023,A140)</f>
        <v/>
      </c>
      <c r="E140" s="46">
        <f>SUMIFS('Chi Tiết Học Phí'!$J$4:$J$1023,'Chi Tiết Học Phí'!$A$4:$A$1023,A140)</f>
        <v/>
      </c>
      <c r="F140" s="46">
        <f>SUMIFS('Chi Tiết Học Phí'!$K$4:$K$1023,'Chi Tiết Học Phí'!$A$4:$A$1023,A140)</f>
        <v/>
      </c>
      <c r="G140" s="46">
        <f>SUMIFS('Chi Tiết Học Phí'!$L$4:$L$1023,'Chi Tiết Học Phí'!$A$4:$A$1023,A140)</f>
        <v/>
      </c>
      <c r="H140" s="46">
        <f>SUMIFS('Chi Tiết Học Phí'!$M$4:$M$1023,'Chi Tiết Học Phí'!$A$4:$A$1023,A140)-SUMIFS('Chi Tiết Học Phí'!$N$4:$N$1023,'Chi Tiết Học Phí'!$A$4:$A$1023,A140)</f>
        <v/>
      </c>
      <c r="I140" s="46">
        <f>SUMIFS('Chi Tiết Học Phí'!$O$4:$O$1023,'Chi Tiết Học Phí'!$A$4:$A$1023,A140)</f>
        <v/>
      </c>
      <c r="J140" s="46">
        <f>SUMIFS('Chi Tiết Học Phí'!$P$4:$P$1023,'Chi Tiết Học Phí'!$A$4:$A$1023,A140)</f>
        <v/>
      </c>
      <c r="K140" s="45">
        <f>IF(J140&gt;0,"Còn nợ","Đã hoàn thành")</f>
        <v/>
      </c>
    </row>
    <row r="141">
      <c r="A141" s="45" t="inlineStr">
        <is>
          <t>251210814</t>
        </is>
      </c>
      <c r="B141" s="45" t="inlineStr">
        <is>
          <t>NGUYỄN DUY CAO</t>
        </is>
      </c>
      <c r="C141" s="45" t="inlineStr">
        <is>
          <t>Công nghệ thông tin 3 K66</t>
        </is>
      </c>
      <c r="D141" s="46">
        <f>SUMIFS('Chi Tiết Học Phí'!$H$4:$H$1023,'Chi Tiết Học Phí'!$A$4:$A$1023,A141)</f>
        <v/>
      </c>
      <c r="E141" s="46">
        <f>SUMIFS('Chi Tiết Học Phí'!$J$4:$J$1023,'Chi Tiết Học Phí'!$A$4:$A$1023,A141)</f>
        <v/>
      </c>
      <c r="F141" s="46">
        <f>SUMIFS('Chi Tiết Học Phí'!$K$4:$K$1023,'Chi Tiết Học Phí'!$A$4:$A$1023,A141)</f>
        <v/>
      </c>
      <c r="G141" s="46">
        <f>SUMIFS('Chi Tiết Học Phí'!$L$4:$L$1023,'Chi Tiết Học Phí'!$A$4:$A$1023,A141)</f>
        <v/>
      </c>
      <c r="H141" s="46">
        <f>SUMIFS('Chi Tiết Học Phí'!$M$4:$M$1023,'Chi Tiết Học Phí'!$A$4:$A$1023,A141)-SUMIFS('Chi Tiết Học Phí'!$N$4:$N$1023,'Chi Tiết Học Phí'!$A$4:$A$1023,A141)</f>
        <v/>
      </c>
      <c r="I141" s="46">
        <f>SUMIFS('Chi Tiết Học Phí'!$O$4:$O$1023,'Chi Tiết Học Phí'!$A$4:$A$1023,A141)</f>
        <v/>
      </c>
      <c r="J141" s="46">
        <f>SUMIFS('Chi Tiết Học Phí'!$P$4:$P$1023,'Chi Tiết Học Phí'!$A$4:$A$1023,A141)</f>
        <v/>
      </c>
      <c r="K141" s="45">
        <f>IF(J141&gt;0,"Còn nợ","Đã hoàn thành")</f>
        <v/>
      </c>
    </row>
    <row r="142">
      <c r="A142" s="45" t="inlineStr">
        <is>
          <t>251230815</t>
        </is>
      </c>
      <c r="B142" s="45" t="inlineStr">
        <is>
          <t>NGUYỄN THÀNH CÔNG</t>
        </is>
      </c>
      <c r="C142" s="45" t="inlineStr">
        <is>
          <t>Công nghệ thông tin 3 K66</t>
        </is>
      </c>
      <c r="D142" s="46">
        <f>SUMIFS('Chi Tiết Học Phí'!$H$4:$H$1023,'Chi Tiết Học Phí'!$A$4:$A$1023,A142)</f>
        <v/>
      </c>
      <c r="E142" s="46">
        <f>SUMIFS('Chi Tiết Học Phí'!$J$4:$J$1023,'Chi Tiết Học Phí'!$A$4:$A$1023,A142)</f>
        <v/>
      </c>
      <c r="F142" s="46">
        <f>SUMIFS('Chi Tiết Học Phí'!$K$4:$K$1023,'Chi Tiết Học Phí'!$A$4:$A$1023,A142)</f>
        <v/>
      </c>
      <c r="G142" s="46">
        <f>SUMIFS('Chi Tiết Học Phí'!$L$4:$L$1023,'Chi Tiết Học Phí'!$A$4:$A$1023,A142)</f>
        <v/>
      </c>
      <c r="H142" s="46">
        <f>SUMIFS('Chi Tiết Học Phí'!$M$4:$M$1023,'Chi Tiết Học Phí'!$A$4:$A$1023,A142)-SUMIFS('Chi Tiết Học Phí'!$N$4:$N$1023,'Chi Tiết Học Phí'!$A$4:$A$1023,A142)</f>
        <v/>
      </c>
      <c r="I142" s="46">
        <f>SUMIFS('Chi Tiết Học Phí'!$O$4:$O$1023,'Chi Tiết Học Phí'!$A$4:$A$1023,A142)</f>
        <v/>
      </c>
      <c r="J142" s="46">
        <f>SUMIFS('Chi Tiết Học Phí'!$P$4:$P$1023,'Chi Tiết Học Phí'!$A$4:$A$1023,A142)</f>
        <v/>
      </c>
      <c r="K142" s="45">
        <f>IF(J142&gt;0,"Còn nợ","Đã hoàn thành")</f>
        <v/>
      </c>
    </row>
    <row r="143">
      <c r="A143" s="45" t="inlineStr">
        <is>
          <t>251230816</t>
        </is>
      </c>
      <c r="B143" s="45" t="inlineStr">
        <is>
          <t>VŨ THÀNH CÔNG</t>
        </is>
      </c>
      <c r="C143" s="45" t="inlineStr">
        <is>
          <t>Công nghệ thông tin 3 K66</t>
        </is>
      </c>
      <c r="D143" s="46">
        <f>SUMIFS('Chi Tiết Học Phí'!$H$4:$H$1023,'Chi Tiết Học Phí'!$A$4:$A$1023,A143)</f>
        <v/>
      </c>
      <c r="E143" s="46">
        <f>SUMIFS('Chi Tiết Học Phí'!$J$4:$J$1023,'Chi Tiết Học Phí'!$A$4:$A$1023,A143)</f>
        <v/>
      </c>
      <c r="F143" s="46">
        <f>SUMIFS('Chi Tiết Học Phí'!$K$4:$K$1023,'Chi Tiết Học Phí'!$A$4:$A$1023,A143)</f>
        <v/>
      </c>
      <c r="G143" s="46">
        <f>SUMIFS('Chi Tiết Học Phí'!$L$4:$L$1023,'Chi Tiết Học Phí'!$A$4:$A$1023,A143)</f>
        <v/>
      </c>
      <c r="H143" s="46">
        <f>SUMIFS('Chi Tiết Học Phí'!$M$4:$M$1023,'Chi Tiết Học Phí'!$A$4:$A$1023,A143)-SUMIFS('Chi Tiết Học Phí'!$N$4:$N$1023,'Chi Tiết Học Phí'!$A$4:$A$1023,A143)</f>
        <v/>
      </c>
      <c r="I143" s="46">
        <f>SUMIFS('Chi Tiết Học Phí'!$O$4:$O$1023,'Chi Tiết Học Phí'!$A$4:$A$1023,A143)</f>
        <v/>
      </c>
      <c r="J143" s="46">
        <f>SUMIFS('Chi Tiết Học Phí'!$P$4:$P$1023,'Chi Tiết Học Phí'!$A$4:$A$1023,A143)</f>
        <v/>
      </c>
      <c r="K143" s="45">
        <f>IF(J143&gt;0,"Còn nợ","Đã hoàn thành")</f>
        <v/>
      </c>
    </row>
    <row r="144">
      <c r="A144" s="45" t="inlineStr">
        <is>
          <t>251230820</t>
        </is>
      </c>
      <c r="B144" s="45" t="inlineStr">
        <is>
          <t>BÙI VĂN CƯỜNG</t>
        </is>
      </c>
      <c r="C144" s="45" t="inlineStr">
        <is>
          <t>Công nghệ thông tin 3 K66</t>
        </is>
      </c>
      <c r="D144" s="46">
        <f>SUMIFS('Chi Tiết Học Phí'!$H$4:$H$1023,'Chi Tiết Học Phí'!$A$4:$A$1023,A144)</f>
        <v/>
      </c>
      <c r="E144" s="46">
        <f>SUMIFS('Chi Tiết Học Phí'!$J$4:$J$1023,'Chi Tiết Học Phí'!$A$4:$A$1023,A144)</f>
        <v/>
      </c>
      <c r="F144" s="46">
        <f>SUMIFS('Chi Tiết Học Phí'!$K$4:$K$1023,'Chi Tiết Học Phí'!$A$4:$A$1023,A144)</f>
        <v/>
      </c>
      <c r="G144" s="46">
        <f>SUMIFS('Chi Tiết Học Phí'!$L$4:$L$1023,'Chi Tiết Học Phí'!$A$4:$A$1023,A144)</f>
        <v/>
      </c>
      <c r="H144" s="46">
        <f>SUMIFS('Chi Tiết Học Phí'!$M$4:$M$1023,'Chi Tiết Học Phí'!$A$4:$A$1023,A144)-SUMIFS('Chi Tiết Học Phí'!$N$4:$N$1023,'Chi Tiết Học Phí'!$A$4:$A$1023,A144)</f>
        <v/>
      </c>
      <c r="I144" s="46">
        <f>SUMIFS('Chi Tiết Học Phí'!$O$4:$O$1023,'Chi Tiết Học Phí'!$A$4:$A$1023,A144)</f>
        <v/>
      </c>
      <c r="J144" s="46">
        <f>SUMIFS('Chi Tiết Học Phí'!$P$4:$P$1023,'Chi Tiết Học Phí'!$A$4:$A$1023,A144)</f>
        <v/>
      </c>
      <c r="K144" s="45">
        <f>IF(J144&gt;0,"Còn nợ","Đã hoàn thành")</f>
        <v/>
      </c>
    </row>
    <row r="145">
      <c r="A145" s="45" t="inlineStr">
        <is>
          <t>251230823</t>
        </is>
      </c>
      <c r="B145" s="45" t="inlineStr">
        <is>
          <t>NGUYỄN THÁI DOANH</t>
        </is>
      </c>
      <c r="C145" s="45" t="inlineStr">
        <is>
          <t>Công nghệ thông tin 3 K66</t>
        </is>
      </c>
      <c r="D145" s="46">
        <f>SUMIFS('Chi Tiết Học Phí'!$H$4:$H$1023,'Chi Tiết Học Phí'!$A$4:$A$1023,A145)</f>
        <v/>
      </c>
      <c r="E145" s="46">
        <f>SUMIFS('Chi Tiết Học Phí'!$J$4:$J$1023,'Chi Tiết Học Phí'!$A$4:$A$1023,A145)</f>
        <v/>
      </c>
      <c r="F145" s="46">
        <f>SUMIFS('Chi Tiết Học Phí'!$K$4:$K$1023,'Chi Tiết Học Phí'!$A$4:$A$1023,A145)</f>
        <v/>
      </c>
      <c r="G145" s="46">
        <f>SUMIFS('Chi Tiết Học Phí'!$L$4:$L$1023,'Chi Tiết Học Phí'!$A$4:$A$1023,A145)</f>
        <v/>
      </c>
      <c r="H145" s="46">
        <f>SUMIFS('Chi Tiết Học Phí'!$M$4:$M$1023,'Chi Tiết Học Phí'!$A$4:$A$1023,A145)-SUMIFS('Chi Tiết Học Phí'!$N$4:$N$1023,'Chi Tiết Học Phí'!$A$4:$A$1023,A145)</f>
        <v/>
      </c>
      <c r="I145" s="46">
        <f>SUMIFS('Chi Tiết Học Phí'!$O$4:$O$1023,'Chi Tiết Học Phí'!$A$4:$A$1023,A145)</f>
        <v/>
      </c>
      <c r="J145" s="46">
        <f>SUMIFS('Chi Tiết Học Phí'!$P$4:$P$1023,'Chi Tiết Học Phí'!$A$4:$A$1023,A145)</f>
        <v/>
      </c>
      <c r="K145" s="45">
        <f>IF(J145&gt;0,"Còn nợ","Đã hoàn thành")</f>
        <v/>
      </c>
    </row>
    <row r="146">
      <c r="A146" s="45" t="inlineStr">
        <is>
          <t>251230826</t>
        </is>
      </c>
      <c r="B146" s="45" t="inlineStr">
        <is>
          <t>ĐINH VĂN PHAN DŨNG</t>
        </is>
      </c>
      <c r="C146" s="45" t="inlineStr">
        <is>
          <t>Công nghệ thông tin 3 K66</t>
        </is>
      </c>
      <c r="D146" s="46">
        <f>SUMIFS('Chi Tiết Học Phí'!$H$4:$H$1023,'Chi Tiết Học Phí'!$A$4:$A$1023,A146)</f>
        <v/>
      </c>
      <c r="E146" s="46">
        <f>SUMIFS('Chi Tiết Học Phí'!$J$4:$J$1023,'Chi Tiết Học Phí'!$A$4:$A$1023,A146)</f>
        <v/>
      </c>
      <c r="F146" s="46">
        <f>SUMIFS('Chi Tiết Học Phí'!$K$4:$K$1023,'Chi Tiết Học Phí'!$A$4:$A$1023,A146)</f>
        <v/>
      </c>
      <c r="G146" s="46">
        <f>SUMIFS('Chi Tiết Học Phí'!$L$4:$L$1023,'Chi Tiết Học Phí'!$A$4:$A$1023,A146)</f>
        <v/>
      </c>
      <c r="H146" s="46">
        <f>SUMIFS('Chi Tiết Học Phí'!$M$4:$M$1023,'Chi Tiết Học Phí'!$A$4:$A$1023,A146)-SUMIFS('Chi Tiết Học Phí'!$N$4:$N$1023,'Chi Tiết Học Phí'!$A$4:$A$1023,A146)</f>
        <v/>
      </c>
      <c r="I146" s="46">
        <f>SUMIFS('Chi Tiết Học Phí'!$O$4:$O$1023,'Chi Tiết Học Phí'!$A$4:$A$1023,A146)</f>
        <v/>
      </c>
      <c r="J146" s="46">
        <f>SUMIFS('Chi Tiết Học Phí'!$P$4:$P$1023,'Chi Tiết Học Phí'!$A$4:$A$1023,A146)</f>
        <v/>
      </c>
      <c r="K146" s="45">
        <f>IF(J146&gt;0,"Còn nợ","Đã hoàn thành")</f>
        <v/>
      </c>
    </row>
    <row r="147">
      <c r="A147" s="45" t="inlineStr">
        <is>
          <t>251230824</t>
        </is>
      </c>
      <c r="B147" s="45" t="inlineStr">
        <is>
          <t>MAI PHƯƠNG DUNG</t>
        </is>
      </c>
      <c r="C147" s="45" t="inlineStr">
        <is>
          <t>Công nghệ thông tin 3 K66</t>
        </is>
      </c>
      <c r="D147" s="46">
        <f>SUMIFS('Chi Tiết Học Phí'!$H$4:$H$1023,'Chi Tiết Học Phí'!$A$4:$A$1023,A147)</f>
        <v/>
      </c>
      <c r="E147" s="46">
        <f>SUMIFS('Chi Tiết Học Phí'!$J$4:$J$1023,'Chi Tiết Học Phí'!$A$4:$A$1023,A147)</f>
        <v/>
      </c>
      <c r="F147" s="46">
        <f>SUMIFS('Chi Tiết Học Phí'!$K$4:$K$1023,'Chi Tiết Học Phí'!$A$4:$A$1023,A147)</f>
        <v/>
      </c>
      <c r="G147" s="46">
        <f>SUMIFS('Chi Tiết Học Phí'!$L$4:$L$1023,'Chi Tiết Học Phí'!$A$4:$A$1023,A147)</f>
        <v/>
      </c>
      <c r="H147" s="46">
        <f>SUMIFS('Chi Tiết Học Phí'!$M$4:$M$1023,'Chi Tiết Học Phí'!$A$4:$A$1023,A147)-SUMIFS('Chi Tiết Học Phí'!$N$4:$N$1023,'Chi Tiết Học Phí'!$A$4:$A$1023,A147)</f>
        <v/>
      </c>
      <c r="I147" s="46">
        <f>SUMIFS('Chi Tiết Học Phí'!$O$4:$O$1023,'Chi Tiết Học Phí'!$A$4:$A$1023,A147)</f>
        <v/>
      </c>
      <c r="J147" s="46">
        <f>SUMIFS('Chi Tiết Học Phí'!$P$4:$P$1023,'Chi Tiết Học Phí'!$A$4:$A$1023,A147)</f>
        <v/>
      </c>
      <c r="K147" s="45">
        <f>IF(J147&gt;0,"Còn nợ","Đã hoàn thành")</f>
        <v/>
      </c>
    </row>
    <row r="148">
      <c r="A148" s="45" t="inlineStr">
        <is>
          <t>251230832</t>
        </is>
      </c>
      <c r="B148" s="45" t="inlineStr">
        <is>
          <t>NGUYỄN THỊ THÙY DƯƠNG</t>
        </is>
      </c>
      <c r="C148" s="45" t="inlineStr">
        <is>
          <t>Công nghệ thông tin 3 K66</t>
        </is>
      </c>
      <c r="D148" s="46">
        <f>SUMIFS('Chi Tiết Học Phí'!$H$4:$H$1023,'Chi Tiết Học Phí'!$A$4:$A$1023,A148)</f>
        <v/>
      </c>
      <c r="E148" s="46">
        <f>SUMIFS('Chi Tiết Học Phí'!$J$4:$J$1023,'Chi Tiết Học Phí'!$A$4:$A$1023,A148)</f>
        <v/>
      </c>
      <c r="F148" s="46">
        <f>SUMIFS('Chi Tiết Học Phí'!$K$4:$K$1023,'Chi Tiết Học Phí'!$A$4:$A$1023,A148)</f>
        <v/>
      </c>
      <c r="G148" s="46">
        <f>SUMIFS('Chi Tiết Học Phí'!$L$4:$L$1023,'Chi Tiết Học Phí'!$A$4:$A$1023,A148)</f>
        <v/>
      </c>
      <c r="H148" s="46">
        <f>SUMIFS('Chi Tiết Học Phí'!$M$4:$M$1023,'Chi Tiết Học Phí'!$A$4:$A$1023,A148)-SUMIFS('Chi Tiết Học Phí'!$N$4:$N$1023,'Chi Tiết Học Phí'!$A$4:$A$1023,A148)</f>
        <v/>
      </c>
      <c r="I148" s="46">
        <f>SUMIFS('Chi Tiết Học Phí'!$O$4:$O$1023,'Chi Tiết Học Phí'!$A$4:$A$1023,A148)</f>
        <v/>
      </c>
      <c r="J148" s="46">
        <f>SUMIFS('Chi Tiết Học Phí'!$P$4:$P$1023,'Chi Tiết Học Phí'!$A$4:$A$1023,A148)</f>
        <v/>
      </c>
      <c r="K148" s="45">
        <f>IF(J148&gt;0,"Còn nợ","Đã hoàn thành")</f>
        <v/>
      </c>
    </row>
    <row r="149">
      <c r="A149" s="45" t="inlineStr">
        <is>
          <t>251230841</t>
        </is>
      </c>
      <c r="B149" s="45" t="inlineStr">
        <is>
          <t>TRƯƠNG MẠNH ĐẠT</t>
        </is>
      </c>
      <c r="C149" s="45" t="inlineStr">
        <is>
          <t>Công nghệ thông tin 3 K66</t>
        </is>
      </c>
      <c r="D149" s="46">
        <f>SUMIFS('Chi Tiết Học Phí'!$H$4:$H$1023,'Chi Tiết Học Phí'!$A$4:$A$1023,A149)</f>
        <v/>
      </c>
      <c r="E149" s="46">
        <f>SUMIFS('Chi Tiết Học Phí'!$J$4:$J$1023,'Chi Tiết Học Phí'!$A$4:$A$1023,A149)</f>
        <v/>
      </c>
      <c r="F149" s="46">
        <f>SUMIFS('Chi Tiết Học Phí'!$K$4:$K$1023,'Chi Tiết Học Phí'!$A$4:$A$1023,A149)</f>
        <v/>
      </c>
      <c r="G149" s="46">
        <f>SUMIFS('Chi Tiết Học Phí'!$L$4:$L$1023,'Chi Tiết Học Phí'!$A$4:$A$1023,A149)</f>
        <v/>
      </c>
      <c r="H149" s="46">
        <f>SUMIFS('Chi Tiết Học Phí'!$M$4:$M$1023,'Chi Tiết Học Phí'!$A$4:$A$1023,A149)-SUMIFS('Chi Tiết Học Phí'!$N$4:$N$1023,'Chi Tiết Học Phí'!$A$4:$A$1023,A149)</f>
        <v/>
      </c>
      <c r="I149" s="46">
        <f>SUMIFS('Chi Tiết Học Phí'!$O$4:$O$1023,'Chi Tiết Học Phí'!$A$4:$A$1023,A149)</f>
        <v/>
      </c>
      <c r="J149" s="46">
        <f>SUMIFS('Chi Tiết Học Phí'!$P$4:$P$1023,'Chi Tiết Học Phí'!$A$4:$A$1023,A149)</f>
        <v/>
      </c>
      <c r="K149" s="45">
        <f>IF(J149&gt;0,"Còn nợ","Đã hoàn thành")</f>
        <v/>
      </c>
    </row>
    <row r="150">
      <c r="A150" s="45" t="inlineStr">
        <is>
          <t>251230843</t>
        </is>
      </c>
      <c r="B150" s="45" t="inlineStr">
        <is>
          <t>TRẦN XUÂN ĐÔ</t>
        </is>
      </c>
      <c r="C150" s="45" t="inlineStr">
        <is>
          <t>Công nghệ thông tin 3 K66</t>
        </is>
      </c>
      <c r="D150" s="46">
        <f>SUMIFS('Chi Tiết Học Phí'!$H$4:$H$1023,'Chi Tiết Học Phí'!$A$4:$A$1023,A150)</f>
        <v/>
      </c>
      <c r="E150" s="46">
        <f>SUMIFS('Chi Tiết Học Phí'!$J$4:$J$1023,'Chi Tiết Học Phí'!$A$4:$A$1023,A150)</f>
        <v/>
      </c>
      <c r="F150" s="46">
        <f>SUMIFS('Chi Tiết Học Phí'!$K$4:$K$1023,'Chi Tiết Học Phí'!$A$4:$A$1023,A150)</f>
        <v/>
      </c>
      <c r="G150" s="46">
        <f>SUMIFS('Chi Tiết Học Phí'!$L$4:$L$1023,'Chi Tiết Học Phí'!$A$4:$A$1023,A150)</f>
        <v/>
      </c>
      <c r="H150" s="46">
        <f>SUMIFS('Chi Tiết Học Phí'!$M$4:$M$1023,'Chi Tiết Học Phí'!$A$4:$A$1023,A150)-SUMIFS('Chi Tiết Học Phí'!$N$4:$N$1023,'Chi Tiết Học Phí'!$A$4:$A$1023,A150)</f>
        <v/>
      </c>
      <c r="I150" s="46">
        <f>SUMIFS('Chi Tiết Học Phí'!$O$4:$O$1023,'Chi Tiết Học Phí'!$A$4:$A$1023,A150)</f>
        <v/>
      </c>
      <c r="J150" s="46">
        <f>SUMIFS('Chi Tiết Học Phí'!$P$4:$P$1023,'Chi Tiết Học Phí'!$A$4:$A$1023,A150)</f>
        <v/>
      </c>
      <c r="K150" s="45">
        <f>IF(J150&gt;0,"Còn nợ","Đã hoàn thành")</f>
        <v/>
      </c>
    </row>
    <row r="151">
      <c r="A151" s="45" t="inlineStr">
        <is>
          <t>251230846</t>
        </is>
      </c>
      <c r="B151" s="45" t="inlineStr">
        <is>
          <t>MAI MINH ĐỨC</t>
        </is>
      </c>
      <c r="C151" s="45" t="inlineStr">
        <is>
          <t>Công nghệ thông tin 3 K66</t>
        </is>
      </c>
      <c r="D151" s="46">
        <f>SUMIFS('Chi Tiết Học Phí'!$H$4:$H$1023,'Chi Tiết Học Phí'!$A$4:$A$1023,A151)</f>
        <v/>
      </c>
      <c r="E151" s="46">
        <f>SUMIFS('Chi Tiết Học Phí'!$J$4:$J$1023,'Chi Tiết Học Phí'!$A$4:$A$1023,A151)</f>
        <v/>
      </c>
      <c r="F151" s="46">
        <f>SUMIFS('Chi Tiết Học Phí'!$K$4:$K$1023,'Chi Tiết Học Phí'!$A$4:$A$1023,A151)</f>
        <v/>
      </c>
      <c r="G151" s="46">
        <f>SUMIFS('Chi Tiết Học Phí'!$L$4:$L$1023,'Chi Tiết Học Phí'!$A$4:$A$1023,A151)</f>
        <v/>
      </c>
      <c r="H151" s="46">
        <f>SUMIFS('Chi Tiết Học Phí'!$M$4:$M$1023,'Chi Tiết Học Phí'!$A$4:$A$1023,A151)-SUMIFS('Chi Tiết Học Phí'!$N$4:$N$1023,'Chi Tiết Học Phí'!$A$4:$A$1023,A151)</f>
        <v/>
      </c>
      <c r="I151" s="46">
        <f>SUMIFS('Chi Tiết Học Phí'!$O$4:$O$1023,'Chi Tiết Học Phí'!$A$4:$A$1023,A151)</f>
        <v/>
      </c>
      <c r="J151" s="46">
        <f>SUMIFS('Chi Tiết Học Phí'!$P$4:$P$1023,'Chi Tiết Học Phí'!$A$4:$A$1023,A151)</f>
        <v/>
      </c>
      <c r="K151" s="45">
        <f>IF(J151&gt;0,"Còn nợ","Đã hoàn thành")</f>
        <v/>
      </c>
    </row>
    <row r="152">
      <c r="A152" s="45" t="inlineStr">
        <is>
          <t>251230847</t>
        </is>
      </c>
      <c r="B152" s="45" t="inlineStr">
        <is>
          <t>MAI TIẾN ĐỨC</t>
        </is>
      </c>
      <c r="C152" s="45" t="inlineStr">
        <is>
          <t>Công nghệ thông tin 3 K66</t>
        </is>
      </c>
      <c r="D152" s="46">
        <f>SUMIFS('Chi Tiết Học Phí'!$H$4:$H$1023,'Chi Tiết Học Phí'!$A$4:$A$1023,A152)</f>
        <v/>
      </c>
      <c r="E152" s="46">
        <f>SUMIFS('Chi Tiết Học Phí'!$J$4:$J$1023,'Chi Tiết Học Phí'!$A$4:$A$1023,A152)</f>
        <v/>
      </c>
      <c r="F152" s="46">
        <f>SUMIFS('Chi Tiết Học Phí'!$K$4:$K$1023,'Chi Tiết Học Phí'!$A$4:$A$1023,A152)</f>
        <v/>
      </c>
      <c r="G152" s="46">
        <f>SUMIFS('Chi Tiết Học Phí'!$L$4:$L$1023,'Chi Tiết Học Phí'!$A$4:$A$1023,A152)</f>
        <v/>
      </c>
      <c r="H152" s="46">
        <f>SUMIFS('Chi Tiết Học Phí'!$M$4:$M$1023,'Chi Tiết Học Phí'!$A$4:$A$1023,A152)-SUMIFS('Chi Tiết Học Phí'!$N$4:$N$1023,'Chi Tiết Học Phí'!$A$4:$A$1023,A152)</f>
        <v/>
      </c>
      <c r="I152" s="46">
        <f>SUMIFS('Chi Tiết Học Phí'!$O$4:$O$1023,'Chi Tiết Học Phí'!$A$4:$A$1023,A152)</f>
        <v/>
      </c>
      <c r="J152" s="46">
        <f>SUMIFS('Chi Tiết Học Phí'!$P$4:$P$1023,'Chi Tiết Học Phí'!$A$4:$A$1023,A152)</f>
        <v/>
      </c>
      <c r="K152" s="45">
        <f>IF(J152&gt;0,"Còn nợ","Đã hoàn thành")</f>
        <v/>
      </c>
    </row>
    <row r="153">
      <c r="A153" s="45" t="inlineStr">
        <is>
          <t>251230850</t>
        </is>
      </c>
      <c r="B153" s="45" t="inlineStr">
        <is>
          <t>TRẦN PHẠM TRUNG ĐỨC</t>
        </is>
      </c>
      <c r="C153" s="45" t="inlineStr">
        <is>
          <t>Công nghệ thông tin 3 K66</t>
        </is>
      </c>
      <c r="D153" s="46">
        <f>SUMIFS('Chi Tiết Học Phí'!$H$4:$H$1023,'Chi Tiết Học Phí'!$A$4:$A$1023,A153)</f>
        <v/>
      </c>
      <c r="E153" s="46">
        <f>SUMIFS('Chi Tiết Học Phí'!$J$4:$J$1023,'Chi Tiết Học Phí'!$A$4:$A$1023,A153)</f>
        <v/>
      </c>
      <c r="F153" s="46">
        <f>SUMIFS('Chi Tiết Học Phí'!$K$4:$K$1023,'Chi Tiết Học Phí'!$A$4:$A$1023,A153)</f>
        <v/>
      </c>
      <c r="G153" s="46">
        <f>SUMIFS('Chi Tiết Học Phí'!$L$4:$L$1023,'Chi Tiết Học Phí'!$A$4:$A$1023,A153)</f>
        <v/>
      </c>
      <c r="H153" s="46">
        <f>SUMIFS('Chi Tiết Học Phí'!$M$4:$M$1023,'Chi Tiết Học Phí'!$A$4:$A$1023,A153)-SUMIFS('Chi Tiết Học Phí'!$N$4:$N$1023,'Chi Tiết Học Phí'!$A$4:$A$1023,A153)</f>
        <v/>
      </c>
      <c r="I153" s="46">
        <f>SUMIFS('Chi Tiết Học Phí'!$O$4:$O$1023,'Chi Tiết Học Phí'!$A$4:$A$1023,A153)</f>
        <v/>
      </c>
      <c r="J153" s="46">
        <f>SUMIFS('Chi Tiết Học Phí'!$P$4:$P$1023,'Chi Tiết Học Phí'!$A$4:$A$1023,A153)</f>
        <v/>
      </c>
      <c r="K153" s="45">
        <f>IF(J153&gt;0,"Còn nợ","Đã hoàn thành")</f>
        <v/>
      </c>
    </row>
    <row r="154">
      <c r="A154" s="45" t="inlineStr">
        <is>
          <t>251210851</t>
        </is>
      </c>
      <c r="B154" s="45" t="inlineStr">
        <is>
          <t>NGUYỄN THANH HÀ</t>
        </is>
      </c>
      <c r="C154" s="45" t="inlineStr">
        <is>
          <t>Công nghệ thông tin 3 K66</t>
        </is>
      </c>
      <c r="D154" s="46">
        <f>SUMIFS('Chi Tiết Học Phí'!$H$4:$H$1023,'Chi Tiết Học Phí'!$A$4:$A$1023,A154)</f>
        <v/>
      </c>
      <c r="E154" s="46">
        <f>SUMIFS('Chi Tiết Học Phí'!$J$4:$J$1023,'Chi Tiết Học Phí'!$A$4:$A$1023,A154)</f>
        <v/>
      </c>
      <c r="F154" s="46">
        <f>SUMIFS('Chi Tiết Học Phí'!$K$4:$K$1023,'Chi Tiết Học Phí'!$A$4:$A$1023,A154)</f>
        <v/>
      </c>
      <c r="G154" s="46">
        <f>SUMIFS('Chi Tiết Học Phí'!$L$4:$L$1023,'Chi Tiết Học Phí'!$A$4:$A$1023,A154)</f>
        <v/>
      </c>
      <c r="H154" s="46">
        <f>SUMIFS('Chi Tiết Học Phí'!$M$4:$M$1023,'Chi Tiết Học Phí'!$A$4:$A$1023,A154)-SUMIFS('Chi Tiết Học Phí'!$N$4:$N$1023,'Chi Tiết Học Phí'!$A$4:$A$1023,A154)</f>
        <v/>
      </c>
      <c r="I154" s="46">
        <f>SUMIFS('Chi Tiết Học Phí'!$O$4:$O$1023,'Chi Tiết Học Phí'!$A$4:$A$1023,A154)</f>
        <v/>
      </c>
      <c r="J154" s="46">
        <f>SUMIFS('Chi Tiết Học Phí'!$P$4:$P$1023,'Chi Tiết Học Phí'!$A$4:$A$1023,A154)</f>
        <v/>
      </c>
      <c r="K154" s="45">
        <f>IF(J154&gt;0,"Còn nợ","Đã hoàn thành")</f>
        <v/>
      </c>
    </row>
    <row r="155">
      <c r="A155" s="45" t="inlineStr">
        <is>
          <t>251210853</t>
        </is>
      </c>
      <c r="B155" s="45" t="inlineStr">
        <is>
          <t>NGUYỄN PHƯƠNG HẢI</t>
        </is>
      </c>
      <c r="C155" s="45" t="inlineStr">
        <is>
          <t>Công nghệ thông tin 3 K66</t>
        </is>
      </c>
      <c r="D155" s="46">
        <f>SUMIFS('Chi Tiết Học Phí'!$H$4:$H$1023,'Chi Tiết Học Phí'!$A$4:$A$1023,A155)</f>
        <v/>
      </c>
      <c r="E155" s="46">
        <f>SUMIFS('Chi Tiết Học Phí'!$J$4:$J$1023,'Chi Tiết Học Phí'!$A$4:$A$1023,A155)</f>
        <v/>
      </c>
      <c r="F155" s="46">
        <f>SUMIFS('Chi Tiết Học Phí'!$K$4:$K$1023,'Chi Tiết Học Phí'!$A$4:$A$1023,A155)</f>
        <v/>
      </c>
      <c r="G155" s="46">
        <f>SUMIFS('Chi Tiết Học Phí'!$L$4:$L$1023,'Chi Tiết Học Phí'!$A$4:$A$1023,A155)</f>
        <v/>
      </c>
      <c r="H155" s="46">
        <f>SUMIFS('Chi Tiết Học Phí'!$M$4:$M$1023,'Chi Tiết Học Phí'!$A$4:$A$1023,A155)-SUMIFS('Chi Tiết Học Phí'!$N$4:$N$1023,'Chi Tiết Học Phí'!$A$4:$A$1023,A155)</f>
        <v/>
      </c>
      <c r="I155" s="46">
        <f>SUMIFS('Chi Tiết Học Phí'!$O$4:$O$1023,'Chi Tiết Học Phí'!$A$4:$A$1023,A155)</f>
        <v/>
      </c>
      <c r="J155" s="46">
        <f>SUMIFS('Chi Tiết Học Phí'!$P$4:$P$1023,'Chi Tiết Học Phí'!$A$4:$A$1023,A155)</f>
        <v/>
      </c>
      <c r="K155" s="45">
        <f>IF(J155&gt;0,"Còn nợ","Đã hoàn thành")</f>
        <v/>
      </c>
    </row>
    <row r="156">
      <c r="A156" s="45" t="inlineStr">
        <is>
          <t>251230855</t>
        </is>
      </c>
      <c r="B156" s="45" t="inlineStr">
        <is>
          <t>TRỊNH MINH HÀO</t>
        </is>
      </c>
      <c r="C156" s="45" t="inlineStr">
        <is>
          <t>Công nghệ thông tin 3 K66</t>
        </is>
      </c>
      <c r="D156" s="46">
        <f>SUMIFS('Chi Tiết Học Phí'!$H$4:$H$1023,'Chi Tiết Học Phí'!$A$4:$A$1023,A156)</f>
        <v/>
      </c>
      <c r="E156" s="46">
        <f>SUMIFS('Chi Tiết Học Phí'!$J$4:$J$1023,'Chi Tiết Học Phí'!$A$4:$A$1023,A156)</f>
        <v/>
      </c>
      <c r="F156" s="46">
        <f>SUMIFS('Chi Tiết Học Phí'!$K$4:$K$1023,'Chi Tiết Học Phí'!$A$4:$A$1023,A156)</f>
        <v/>
      </c>
      <c r="G156" s="46">
        <f>SUMIFS('Chi Tiết Học Phí'!$L$4:$L$1023,'Chi Tiết Học Phí'!$A$4:$A$1023,A156)</f>
        <v/>
      </c>
      <c r="H156" s="46">
        <f>SUMIFS('Chi Tiết Học Phí'!$M$4:$M$1023,'Chi Tiết Học Phí'!$A$4:$A$1023,A156)-SUMIFS('Chi Tiết Học Phí'!$N$4:$N$1023,'Chi Tiết Học Phí'!$A$4:$A$1023,A156)</f>
        <v/>
      </c>
      <c r="I156" s="46">
        <f>SUMIFS('Chi Tiết Học Phí'!$O$4:$O$1023,'Chi Tiết Học Phí'!$A$4:$A$1023,A156)</f>
        <v/>
      </c>
      <c r="J156" s="46">
        <f>SUMIFS('Chi Tiết Học Phí'!$P$4:$P$1023,'Chi Tiết Học Phí'!$A$4:$A$1023,A156)</f>
        <v/>
      </c>
      <c r="K156" s="45">
        <f>IF(J156&gt;0,"Còn nợ","Đã hoàn thành")</f>
        <v/>
      </c>
    </row>
    <row r="157">
      <c r="A157" s="45" t="inlineStr">
        <is>
          <t>251210865</t>
        </is>
      </c>
      <c r="B157" s="45" t="inlineStr">
        <is>
          <t>NGÔ KHÁNH HOÀNG</t>
        </is>
      </c>
      <c r="C157" s="45" t="inlineStr">
        <is>
          <t>Công nghệ thông tin 3 K66</t>
        </is>
      </c>
      <c r="D157" s="46">
        <f>SUMIFS('Chi Tiết Học Phí'!$H$4:$H$1023,'Chi Tiết Học Phí'!$A$4:$A$1023,A157)</f>
        <v/>
      </c>
      <c r="E157" s="46">
        <f>SUMIFS('Chi Tiết Học Phí'!$J$4:$J$1023,'Chi Tiết Học Phí'!$A$4:$A$1023,A157)</f>
        <v/>
      </c>
      <c r="F157" s="46">
        <f>SUMIFS('Chi Tiết Học Phí'!$K$4:$K$1023,'Chi Tiết Học Phí'!$A$4:$A$1023,A157)</f>
        <v/>
      </c>
      <c r="G157" s="46">
        <f>SUMIFS('Chi Tiết Học Phí'!$L$4:$L$1023,'Chi Tiết Học Phí'!$A$4:$A$1023,A157)</f>
        <v/>
      </c>
      <c r="H157" s="46">
        <f>SUMIFS('Chi Tiết Học Phí'!$M$4:$M$1023,'Chi Tiết Học Phí'!$A$4:$A$1023,A157)-SUMIFS('Chi Tiết Học Phí'!$N$4:$N$1023,'Chi Tiết Học Phí'!$A$4:$A$1023,A157)</f>
        <v/>
      </c>
      <c r="I157" s="46">
        <f>SUMIFS('Chi Tiết Học Phí'!$O$4:$O$1023,'Chi Tiết Học Phí'!$A$4:$A$1023,A157)</f>
        <v/>
      </c>
      <c r="J157" s="46">
        <f>SUMIFS('Chi Tiết Học Phí'!$P$4:$P$1023,'Chi Tiết Học Phí'!$A$4:$A$1023,A157)</f>
        <v/>
      </c>
      <c r="K157" s="45">
        <f>IF(J157&gt;0,"Còn nợ","Đã hoàn thành")</f>
        <v/>
      </c>
    </row>
    <row r="158">
      <c r="A158" s="45" t="inlineStr">
        <is>
          <t>251210870</t>
        </is>
      </c>
      <c r="B158" s="45" t="inlineStr">
        <is>
          <t>BÙI VIỆT HÙNG</t>
        </is>
      </c>
      <c r="C158" s="45" t="inlineStr">
        <is>
          <t>Công nghệ thông tin 3 K66</t>
        </is>
      </c>
      <c r="D158" s="46">
        <f>SUMIFS('Chi Tiết Học Phí'!$H$4:$H$1023,'Chi Tiết Học Phí'!$A$4:$A$1023,A158)</f>
        <v/>
      </c>
      <c r="E158" s="46">
        <f>SUMIFS('Chi Tiết Học Phí'!$J$4:$J$1023,'Chi Tiết Học Phí'!$A$4:$A$1023,A158)</f>
        <v/>
      </c>
      <c r="F158" s="46">
        <f>SUMIFS('Chi Tiết Học Phí'!$K$4:$K$1023,'Chi Tiết Học Phí'!$A$4:$A$1023,A158)</f>
        <v/>
      </c>
      <c r="G158" s="46">
        <f>SUMIFS('Chi Tiết Học Phí'!$L$4:$L$1023,'Chi Tiết Học Phí'!$A$4:$A$1023,A158)</f>
        <v/>
      </c>
      <c r="H158" s="46">
        <f>SUMIFS('Chi Tiết Học Phí'!$M$4:$M$1023,'Chi Tiết Học Phí'!$A$4:$A$1023,A158)-SUMIFS('Chi Tiết Học Phí'!$N$4:$N$1023,'Chi Tiết Học Phí'!$A$4:$A$1023,A158)</f>
        <v/>
      </c>
      <c r="I158" s="46">
        <f>SUMIFS('Chi Tiết Học Phí'!$O$4:$O$1023,'Chi Tiết Học Phí'!$A$4:$A$1023,A158)</f>
        <v/>
      </c>
      <c r="J158" s="46">
        <f>SUMIFS('Chi Tiết Học Phí'!$P$4:$P$1023,'Chi Tiết Học Phí'!$A$4:$A$1023,A158)</f>
        <v/>
      </c>
      <c r="K158" s="45">
        <f>IF(J158&gt;0,"Còn nợ","Đã hoàn thành")</f>
        <v/>
      </c>
    </row>
    <row r="159">
      <c r="A159" s="45" t="inlineStr">
        <is>
          <t>251210878</t>
        </is>
      </c>
      <c r="B159" s="45" t="inlineStr">
        <is>
          <t>NGUYỄN HỒNG HƯNG</t>
        </is>
      </c>
      <c r="C159" s="45" t="inlineStr">
        <is>
          <t>Công nghệ thông tin 3 K66</t>
        </is>
      </c>
      <c r="D159" s="46">
        <f>SUMIFS('Chi Tiết Học Phí'!$H$4:$H$1023,'Chi Tiết Học Phí'!$A$4:$A$1023,A159)</f>
        <v/>
      </c>
      <c r="E159" s="46">
        <f>SUMIFS('Chi Tiết Học Phí'!$J$4:$J$1023,'Chi Tiết Học Phí'!$A$4:$A$1023,A159)</f>
        <v/>
      </c>
      <c r="F159" s="46">
        <f>SUMIFS('Chi Tiết Học Phí'!$K$4:$K$1023,'Chi Tiết Học Phí'!$A$4:$A$1023,A159)</f>
        <v/>
      </c>
      <c r="G159" s="46">
        <f>SUMIFS('Chi Tiết Học Phí'!$L$4:$L$1023,'Chi Tiết Học Phí'!$A$4:$A$1023,A159)</f>
        <v/>
      </c>
      <c r="H159" s="46">
        <f>SUMIFS('Chi Tiết Học Phí'!$M$4:$M$1023,'Chi Tiết Học Phí'!$A$4:$A$1023,A159)-SUMIFS('Chi Tiết Học Phí'!$N$4:$N$1023,'Chi Tiết Học Phí'!$A$4:$A$1023,A159)</f>
        <v/>
      </c>
      <c r="I159" s="46">
        <f>SUMIFS('Chi Tiết Học Phí'!$O$4:$O$1023,'Chi Tiết Học Phí'!$A$4:$A$1023,A159)</f>
        <v/>
      </c>
      <c r="J159" s="46">
        <f>SUMIFS('Chi Tiết Học Phí'!$P$4:$P$1023,'Chi Tiết Học Phí'!$A$4:$A$1023,A159)</f>
        <v/>
      </c>
      <c r="K159" s="45">
        <f>IF(J159&gt;0,"Còn nợ","Đã hoàn thành")</f>
        <v/>
      </c>
    </row>
    <row r="160">
      <c r="A160" s="45" t="inlineStr">
        <is>
          <t>251230879</t>
        </is>
      </c>
      <c r="B160" s="45" t="inlineStr">
        <is>
          <t>NGUYỄN QUANG HƯNG</t>
        </is>
      </c>
      <c r="C160" s="45" t="inlineStr">
        <is>
          <t>Công nghệ thông tin 3 K66</t>
        </is>
      </c>
      <c r="D160" s="46">
        <f>SUMIFS('Chi Tiết Học Phí'!$H$4:$H$1023,'Chi Tiết Học Phí'!$A$4:$A$1023,A160)</f>
        <v/>
      </c>
      <c r="E160" s="46">
        <f>SUMIFS('Chi Tiết Học Phí'!$J$4:$J$1023,'Chi Tiết Học Phí'!$A$4:$A$1023,A160)</f>
        <v/>
      </c>
      <c r="F160" s="46">
        <f>SUMIFS('Chi Tiết Học Phí'!$K$4:$K$1023,'Chi Tiết Học Phí'!$A$4:$A$1023,A160)</f>
        <v/>
      </c>
      <c r="G160" s="46">
        <f>SUMIFS('Chi Tiết Học Phí'!$L$4:$L$1023,'Chi Tiết Học Phí'!$A$4:$A$1023,A160)</f>
        <v/>
      </c>
      <c r="H160" s="46">
        <f>SUMIFS('Chi Tiết Học Phí'!$M$4:$M$1023,'Chi Tiết Học Phí'!$A$4:$A$1023,A160)-SUMIFS('Chi Tiết Học Phí'!$N$4:$N$1023,'Chi Tiết Học Phí'!$A$4:$A$1023,A160)</f>
        <v/>
      </c>
      <c r="I160" s="46">
        <f>SUMIFS('Chi Tiết Học Phí'!$O$4:$O$1023,'Chi Tiết Học Phí'!$A$4:$A$1023,A160)</f>
        <v/>
      </c>
      <c r="J160" s="46">
        <f>SUMIFS('Chi Tiết Học Phí'!$P$4:$P$1023,'Chi Tiết Học Phí'!$A$4:$A$1023,A160)</f>
        <v/>
      </c>
      <c r="K160" s="45">
        <f>IF(J160&gt;0,"Còn nợ","Đã hoàn thành")</f>
        <v/>
      </c>
    </row>
    <row r="161">
      <c r="A161" s="45" t="inlineStr">
        <is>
          <t>251210880</t>
        </is>
      </c>
      <c r="B161" s="45" t="inlineStr">
        <is>
          <t>PHẠM GIA HƯNG</t>
        </is>
      </c>
      <c r="C161" s="45" t="inlineStr">
        <is>
          <t>Công nghệ thông tin 3 K66</t>
        </is>
      </c>
      <c r="D161" s="46">
        <f>SUMIFS('Chi Tiết Học Phí'!$H$4:$H$1023,'Chi Tiết Học Phí'!$A$4:$A$1023,A161)</f>
        <v/>
      </c>
      <c r="E161" s="46">
        <f>SUMIFS('Chi Tiết Học Phí'!$J$4:$J$1023,'Chi Tiết Học Phí'!$A$4:$A$1023,A161)</f>
        <v/>
      </c>
      <c r="F161" s="46">
        <f>SUMIFS('Chi Tiết Học Phí'!$K$4:$K$1023,'Chi Tiết Học Phí'!$A$4:$A$1023,A161)</f>
        <v/>
      </c>
      <c r="G161" s="46">
        <f>SUMIFS('Chi Tiết Học Phí'!$L$4:$L$1023,'Chi Tiết Học Phí'!$A$4:$A$1023,A161)</f>
        <v/>
      </c>
      <c r="H161" s="46">
        <f>SUMIFS('Chi Tiết Học Phí'!$M$4:$M$1023,'Chi Tiết Học Phí'!$A$4:$A$1023,A161)-SUMIFS('Chi Tiết Học Phí'!$N$4:$N$1023,'Chi Tiết Học Phí'!$A$4:$A$1023,A161)</f>
        <v/>
      </c>
      <c r="I161" s="46">
        <f>SUMIFS('Chi Tiết Học Phí'!$O$4:$O$1023,'Chi Tiết Học Phí'!$A$4:$A$1023,A161)</f>
        <v/>
      </c>
      <c r="J161" s="46">
        <f>SUMIFS('Chi Tiết Học Phí'!$P$4:$P$1023,'Chi Tiết Học Phí'!$A$4:$A$1023,A161)</f>
        <v/>
      </c>
      <c r="K161" s="45">
        <f>IF(J161&gt;0,"Còn nợ","Đã hoàn thành")</f>
        <v/>
      </c>
    </row>
    <row r="162">
      <c r="A162" s="45" t="inlineStr">
        <is>
          <t>251230882</t>
        </is>
      </c>
      <c r="B162" s="45" t="inlineStr">
        <is>
          <t>LÊ XUÂN HƯỞNG</t>
        </is>
      </c>
      <c r="C162" s="45" t="inlineStr">
        <is>
          <t>Công nghệ thông tin 3 K66</t>
        </is>
      </c>
      <c r="D162" s="46">
        <f>SUMIFS('Chi Tiết Học Phí'!$H$4:$H$1023,'Chi Tiết Học Phí'!$A$4:$A$1023,A162)</f>
        <v/>
      </c>
      <c r="E162" s="46">
        <f>SUMIFS('Chi Tiết Học Phí'!$J$4:$J$1023,'Chi Tiết Học Phí'!$A$4:$A$1023,A162)</f>
        <v/>
      </c>
      <c r="F162" s="46">
        <f>SUMIFS('Chi Tiết Học Phí'!$K$4:$K$1023,'Chi Tiết Học Phí'!$A$4:$A$1023,A162)</f>
        <v/>
      </c>
      <c r="G162" s="46">
        <f>SUMIFS('Chi Tiết Học Phí'!$L$4:$L$1023,'Chi Tiết Học Phí'!$A$4:$A$1023,A162)</f>
        <v/>
      </c>
      <c r="H162" s="46">
        <f>SUMIFS('Chi Tiết Học Phí'!$M$4:$M$1023,'Chi Tiết Học Phí'!$A$4:$A$1023,A162)-SUMIFS('Chi Tiết Học Phí'!$N$4:$N$1023,'Chi Tiết Học Phí'!$A$4:$A$1023,A162)</f>
        <v/>
      </c>
      <c r="I162" s="46">
        <f>SUMIFS('Chi Tiết Học Phí'!$O$4:$O$1023,'Chi Tiết Học Phí'!$A$4:$A$1023,A162)</f>
        <v/>
      </c>
      <c r="J162" s="46">
        <f>SUMIFS('Chi Tiết Học Phí'!$P$4:$P$1023,'Chi Tiết Học Phí'!$A$4:$A$1023,A162)</f>
        <v/>
      </c>
      <c r="K162" s="45">
        <f>IF(J162&gt;0,"Còn nợ","Đã hoàn thành")</f>
        <v/>
      </c>
    </row>
    <row r="163">
      <c r="A163" s="45" t="inlineStr">
        <is>
          <t>251210873</t>
        </is>
      </c>
      <c r="B163" s="45" t="inlineStr">
        <is>
          <t>TRẦN QUỐC HUY</t>
        </is>
      </c>
      <c r="C163" s="45" t="inlineStr">
        <is>
          <t>Công nghệ thông tin 3 K66</t>
        </is>
      </c>
      <c r="D163" s="46">
        <f>SUMIFS('Chi Tiết Học Phí'!$H$4:$H$1023,'Chi Tiết Học Phí'!$A$4:$A$1023,A163)</f>
        <v/>
      </c>
      <c r="E163" s="46">
        <f>SUMIFS('Chi Tiết Học Phí'!$J$4:$J$1023,'Chi Tiết Học Phí'!$A$4:$A$1023,A163)</f>
        <v/>
      </c>
      <c r="F163" s="46">
        <f>SUMIFS('Chi Tiết Học Phí'!$K$4:$K$1023,'Chi Tiết Học Phí'!$A$4:$A$1023,A163)</f>
        <v/>
      </c>
      <c r="G163" s="46">
        <f>SUMIFS('Chi Tiết Học Phí'!$L$4:$L$1023,'Chi Tiết Học Phí'!$A$4:$A$1023,A163)</f>
        <v/>
      </c>
      <c r="H163" s="46">
        <f>SUMIFS('Chi Tiết Học Phí'!$M$4:$M$1023,'Chi Tiết Học Phí'!$A$4:$A$1023,A163)-SUMIFS('Chi Tiết Học Phí'!$N$4:$N$1023,'Chi Tiết Học Phí'!$A$4:$A$1023,A163)</f>
        <v/>
      </c>
      <c r="I163" s="46">
        <f>SUMIFS('Chi Tiết Học Phí'!$O$4:$O$1023,'Chi Tiết Học Phí'!$A$4:$A$1023,A163)</f>
        <v/>
      </c>
      <c r="J163" s="46">
        <f>SUMIFS('Chi Tiết Học Phí'!$P$4:$P$1023,'Chi Tiết Học Phí'!$A$4:$A$1023,A163)</f>
        <v/>
      </c>
      <c r="K163" s="45">
        <f>IF(J163&gt;0,"Còn nợ","Đã hoàn thành")</f>
        <v/>
      </c>
    </row>
    <row r="164">
      <c r="A164" s="45" t="inlineStr">
        <is>
          <t>251230887</t>
        </is>
      </c>
      <c r="B164" s="45" t="inlineStr">
        <is>
          <t>NGUYỄN QUỐC KHÁNH</t>
        </is>
      </c>
      <c r="C164" s="45" t="inlineStr">
        <is>
          <t>Công nghệ thông tin 3 K66</t>
        </is>
      </c>
      <c r="D164" s="46">
        <f>SUMIFS('Chi Tiết Học Phí'!$H$4:$H$1023,'Chi Tiết Học Phí'!$A$4:$A$1023,A164)</f>
        <v/>
      </c>
      <c r="E164" s="46">
        <f>SUMIFS('Chi Tiết Học Phí'!$J$4:$J$1023,'Chi Tiết Học Phí'!$A$4:$A$1023,A164)</f>
        <v/>
      </c>
      <c r="F164" s="46">
        <f>SUMIFS('Chi Tiết Học Phí'!$K$4:$K$1023,'Chi Tiết Học Phí'!$A$4:$A$1023,A164)</f>
        <v/>
      </c>
      <c r="G164" s="46">
        <f>SUMIFS('Chi Tiết Học Phí'!$L$4:$L$1023,'Chi Tiết Học Phí'!$A$4:$A$1023,A164)</f>
        <v/>
      </c>
      <c r="H164" s="46">
        <f>SUMIFS('Chi Tiết Học Phí'!$M$4:$M$1023,'Chi Tiết Học Phí'!$A$4:$A$1023,A164)-SUMIFS('Chi Tiết Học Phí'!$N$4:$N$1023,'Chi Tiết Học Phí'!$A$4:$A$1023,A164)</f>
        <v/>
      </c>
      <c r="I164" s="46">
        <f>SUMIFS('Chi Tiết Học Phí'!$O$4:$O$1023,'Chi Tiết Học Phí'!$A$4:$A$1023,A164)</f>
        <v/>
      </c>
      <c r="J164" s="46">
        <f>SUMIFS('Chi Tiết Học Phí'!$P$4:$P$1023,'Chi Tiết Học Phí'!$A$4:$A$1023,A164)</f>
        <v/>
      </c>
      <c r="K164" s="45">
        <f>IF(J164&gt;0,"Còn nợ","Đã hoàn thành")</f>
        <v/>
      </c>
    </row>
    <row r="165">
      <c r="A165" s="45" t="inlineStr">
        <is>
          <t>251230890</t>
        </is>
      </c>
      <c r="B165" s="45" t="inlineStr">
        <is>
          <t>PHẠM GIA KHÁNH</t>
        </is>
      </c>
      <c r="C165" s="45" t="inlineStr">
        <is>
          <t>Công nghệ thông tin 3 K66</t>
        </is>
      </c>
      <c r="D165" s="46">
        <f>SUMIFS('Chi Tiết Học Phí'!$H$4:$H$1023,'Chi Tiết Học Phí'!$A$4:$A$1023,A165)</f>
        <v/>
      </c>
      <c r="E165" s="46">
        <f>SUMIFS('Chi Tiết Học Phí'!$J$4:$J$1023,'Chi Tiết Học Phí'!$A$4:$A$1023,A165)</f>
        <v/>
      </c>
      <c r="F165" s="46">
        <f>SUMIFS('Chi Tiết Học Phí'!$K$4:$K$1023,'Chi Tiết Học Phí'!$A$4:$A$1023,A165)</f>
        <v/>
      </c>
      <c r="G165" s="46">
        <f>SUMIFS('Chi Tiết Học Phí'!$L$4:$L$1023,'Chi Tiết Học Phí'!$A$4:$A$1023,A165)</f>
        <v/>
      </c>
      <c r="H165" s="46">
        <f>SUMIFS('Chi Tiết Học Phí'!$M$4:$M$1023,'Chi Tiết Học Phí'!$A$4:$A$1023,A165)-SUMIFS('Chi Tiết Học Phí'!$N$4:$N$1023,'Chi Tiết Học Phí'!$A$4:$A$1023,A165)</f>
        <v/>
      </c>
      <c r="I165" s="46">
        <f>SUMIFS('Chi Tiết Học Phí'!$O$4:$O$1023,'Chi Tiết Học Phí'!$A$4:$A$1023,A165)</f>
        <v/>
      </c>
      <c r="J165" s="46">
        <f>SUMIFS('Chi Tiết Học Phí'!$P$4:$P$1023,'Chi Tiết Học Phí'!$A$4:$A$1023,A165)</f>
        <v/>
      </c>
      <c r="K165" s="45">
        <f>IF(J165&gt;0,"Còn nợ","Đã hoàn thành")</f>
        <v/>
      </c>
    </row>
    <row r="166">
      <c r="A166" s="45" t="inlineStr">
        <is>
          <t>251210893</t>
        </is>
      </c>
      <c r="B166" s="45" t="inlineStr">
        <is>
          <t>NGUYỄN ĐĂNG KHÔI</t>
        </is>
      </c>
      <c r="C166" s="45" t="inlineStr">
        <is>
          <t>Công nghệ thông tin 3 K66</t>
        </is>
      </c>
      <c r="D166" s="46">
        <f>SUMIFS('Chi Tiết Học Phí'!$H$4:$H$1023,'Chi Tiết Học Phí'!$A$4:$A$1023,A166)</f>
        <v/>
      </c>
      <c r="E166" s="46">
        <f>SUMIFS('Chi Tiết Học Phí'!$J$4:$J$1023,'Chi Tiết Học Phí'!$A$4:$A$1023,A166)</f>
        <v/>
      </c>
      <c r="F166" s="46">
        <f>SUMIFS('Chi Tiết Học Phí'!$K$4:$K$1023,'Chi Tiết Học Phí'!$A$4:$A$1023,A166)</f>
        <v/>
      </c>
      <c r="G166" s="46">
        <f>SUMIFS('Chi Tiết Học Phí'!$L$4:$L$1023,'Chi Tiết Học Phí'!$A$4:$A$1023,A166)</f>
        <v/>
      </c>
      <c r="H166" s="46">
        <f>SUMIFS('Chi Tiết Học Phí'!$M$4:$M$1023,'Chi Tiết Học Phí'!$A$4:$A$1023,A166)-SUMIFS('Chi Tiết Học Phí'!$N$4:$N$1023,'Chi Tiết Học Phí'!$A$4:$A$1023,A166)</f>
        <v/>
      </c>
      <c r="I166" s="46">
        <f>SUMIFS('Chi Tiết Học Phí'!$O$4:$O$1023,'Chi Tiết Học Phí'!$A$4:$A$1023,A166)</f>
        <v/>
      </c>
      <c r="J166" s="46">
        <f>SUMIFS('Chi Tiết Học Phí'!$P$4:$P$1023,'Chi Tiết Học Phí'!$A$4:$A$1023,A166)</f>
        <v/>
      </c>
      <c r="K166" s="45">
        <f>IF(J166&gt;0,"Còn nợ","Đã hoàn thành")</f>
        <v/>
      </c>
    </row>
    <row r="167">
      <c r="A167" s="45" t="inlineStr">
        <is>
          <t>251230894</t>
        </is>
      </c>
      <c r="B167" s="45" t="inlineStr">
        <is>
          <t>NGUYỄN NGỌC NGUYÊN KHÔI</t>
        </is>
      </c>
      <c r="C167" s="45" t="inlineStr">
        <is>
          <t>Công nghệ thông tin 3 K66</t>
        </is>
      </c>
      <c r="D167" s="46">
        <f>SUMIFS('Chi Tiết Học Phí'!$H$4:$H$1023,'Chi Tiết Học Phí'!$A$4:$A$1023,A167)</f>
        <v/>
      </c>
      <c r="E167" s="46">
        <f>SUMIFS('Chi Tiết Học Phí'!$J$4:$J$1023,'Chi Tiết Học Phí'!$A$4:$A$1023,A167)</f>
        <v/>
      </c>
      <c r="F167" s="46">
        <f>SUMIFS('Chi Tiết Học Phí'!$K$4:$K$1023,'Chi Tiết Học Phí'!$A$4:$A$1023,A167)</f>
        <v/>
      </c>
      <c r="G167" s="46">
        <f>SUMIFS('Chi Tiết Học Phí'!$L$4:$L$1023,'Chi Tiết Học Phí'!$A$4:$A$1023,A167)</f>
        <v/>
      </c>
      <c r="H167" s="46">
        <f>SUMIFS('Chi Tiết Học Phí'!$M$4:$M$1023,'Chi Tiết Học Phí'!$A$4:$A$1023,A167)-SUMIFS('Chi Tiết Học Phí'!$N$4:$N$1023,'Chi Tiết Học Phí'!$A$4:$A$1023,A167)</f>
        <v/>
      </c>
      <c r="I167" s="46">
        <f>SUMIFS('Chi Tiết Học Phí'!$O$4:$O$1023,'Chi Tiết Học Phí'!$A$4:$A$1023,A167)</f>
        <v/>
      </c>
      <c r="J167" s="46">
        <f>SUMIFS('Chi Tiết Học Phí'!$P$4:$P$1023,'Chi Tiết Học Phí'!$A$4:$A$1023,A167)</f>
        <v/>
      </c>
      <c r="K167" s="45">
        <f>IF(J167&gt;0,"Còn nợ","Đã hoàn thành")</f>
        <v/>
      </c>
    </row>
    <row r="168">
      <c r="A168" s="45" t="inlineStr">
        <is>
          <t>251230903</t>
        </is>
      </c>
      <c r="B168" s="45" t="inlineStr">
        <is>
          <t>TẠ DUY LINH</t>
        </is>
      </c>
      <c r="C168" s="45" t="inlineStr">
        <is>
          <t>Công nghệ thông tin 3 K66</t>
        </is>
      </c>
      <c r="D168" s="46">
        <f>SUMIFS('Chi Tiết Học Phí'!$H$4:$H$1023,'Chi Tiết Học Phí'!$A$4:$A$1023,A168)</f>
        <v/>
      </c>
      <c r="E168" s="46">
        <f>SUMIFS('Chi Tiết Học Phí'!$J$4:$J$1023,'Chi Tiết Học Phí'!$A$4:$A$1023,A168)</f>
        <v/>
      </c>
      <c r="F168" s="46">
        <f>SUMIFS('Chi Tiết Học Phí'!$K$4:$K$1023,'Chi Tiết Học Phí'!$A$4:$A$1023,A168)</f>
        <v/>
      </c>
      <c r="G168" s="46">
        <f>SUMIFS('Chi Tiết Học Phí'!$L$4:$L$1023,'Chi Tiết Học Phí'!$A$4:$A$1023,A168)</f>
        <v/>
      </c>
      <c r="H168" s="46">
        <f>SUMIFS('Chi Tiết Học Phí'!$M$4:$M$1023,'Chi Tiết Học Phí'!$A$4:$A$1023,A168)-SUMIFS('Chi Tiết Học Phí'!$N$4:$N$1023,'Chi Tiết Học Phí'!$A$4:$A$1023,A168)</f>
        <v/>
      </c>
      <c r="I168" s="46">
        <f>SUMIFS('Chi Tiết Học Phí'!$O$4:$O$1023,'Chi Tiết Học Phí'!$A$4:$A$1023,A168)</f>
        <v/>
      </c>
      <c r="J168" s="46">
        <f>SUMIFS('Chi Tiết Học Phí'!$P$4:$P$1023,'Chi Tiết Học Phí'!$A$4:$A$1023,A168)</f>
        <v/>
      </c>
      <c r="K168" s="45">
        <f>IF(J168&gt;0,"Còn nợ","Đã hoàn thành")</f>
        <v/>
      </c>
    </row>
    <row r="169">
      <c r="A169" s="45" t="inlineStr">
        <is>
          <t>251210904</t>
        </is>
      </c>
      <c r="B169" s="45" t="inlineStr">
        <is>
          <t>BÙI THIỆN LONG</t>
        </is>
      </c>
      <c r="C169" s="45" t="inlineStr">
        <is>
          <t>Công nghệ thông tin 3 K66</t>
        </is>
      </c>
      <c r="D169" s="46">
        <f>SUMIFS('Chi Tiết Học Phí'!$H$4:$H$1023,'Chi Tiết Học Phí'!$A$4:$A$1023,A169)</f>
        <v/>
      </c>
      <c r="E169" s="46">
        <f>SUMIFS('Chi Tiết Học Phí'!$J$4:$J$1023,'Chi Tiết Học Phí'!$A$4:$A$1023,A169)</f>
        <v/>
      </c>
      <c r="F169" s="46">
        <f>SUMIFS('Chi Tiết Học Phí'!$K$4:$K$1023,'Chi Tiết Học Phí'!$A$4:$A$1023,A169)</f>
        <v/>
      </c>
      <c r="G169" s="46">
        <f>SUMIFS('Chi Tiết Học Phí'!$L$4:$L$1023,'Chi Tiết Học Phí'!$A$4:$A$1023,A169)</f>
        <v/>
      </c>
      <c r="H169" s="46">
        <f>SUMIFS('Chi Tiết Học Phí'!$M$4:$M$1023,'Chi Tiết Học Phí'!$A$4:$A$1023,A169)-SUMIFS('Chi Tiết Học Phí'!$N$4:$N$1023,'Chi Tiết Học Phí'!$A$4:$A$1023,A169)</f>
        <v/>
      </c>
      <c r="I169" s="46">
        <f>SUMIFS('Chi Tiết Học Phí'!$O$4:$O$1023,'Chi Tiết Học Phí'!$A$4:$A$1023,A169)</f>
        <v/>
      </c>
      <c r="J169" s="46">
        <f>SUMIFS('Chi Tiết Học Phí'!$P$4:$P$1023,'Chi Tiết Học Phí'!$A$4:$A$1023,A169)</f>
        <v/>
      </c>
      <c r="K169" s="45">
        <f>IF(J169&gt;0,"Còn nợ","Đã hoàn thành")</f>
        <v/>
      </c>
    </row>
    <row r="170">
      <c r="A170" s="45" t="inlineStr">
        <is>
          <t>251230905</t>
        </is>
      </c>
      <c r="B170" s="45" t="inlineStr">
        <is>
          <t>CÔNG HOÀNG LONG</t>
        </is>
      </c>
      <c r="C170" s="45" t="inlineStr">
        <is>
          <t>Công nghệ thông tin 3 K66</t>
        </is>
      </c>
      <c r="D170" s="46">
        <f>SUMIFS('Chi Tiết Học Phí'!$H$4:$H$1023,'Chi Tiết Học Phí'!$A$4:$A$1023,A170)</f>
        <v/>
      </c>
      <c r="E170" s="46">
        <f>SUMIFS('Chi Tiết Học Phí'!$J$4:$J$1023,'Chi Tiết Học Phí'!$A$4:$A$1023,A170)</f>
        <v/>
      </c>
      <c r="F170" s="46">
        <f>SUMIFS('Chi Tiết Học Phí'!$K$4:$K$1023,'Chi Tiết Học Phí'!$A$4:$A$1023,A170)</f>
        <v/>
      </c>
      <c r="G170" s="46">
        <f>SUMIFS('Chi Tiết Học Phí'!$L$4:$L$1023,'Chi Tiết Học Phí'!$A$4:$A$1023,A170)</f>
        <v/>
      </c>
      <c r="H170" s="46">
        <f>SUMIFS('Chi Tiết Học Phí'!$M$4:$M$1023,'Chi Tiết Học Phí'!$A$4:$A$1023,A170)-SUMIFS('Chi Tiết Học Phí'!$N$4:$N$1023,'Chi Tiết Học Phí'!$A$4:$A$1023,A170)</f>
        <v/>
      </c>
      <c r="I170" s="46">
        <f>SUMIFS('Chi Tiết Học Phí'!$O$4:$O$1023,'Chi Tiết Học Phí'!$A$4:$A$1023,A170)</f>
        <v/>
      </c>
      <c r="J170" s="46">
        <f>SUMIFS('Chi Tiết Học Phí'!$P$4:$P$1023,'Chi Tiết Học Phí'!$A$4:$A$1023,A170)</f>
        <v/>
      </c>
      <c r="K170" s="45">
        <f>IF(J170&gt;0,"Còn nợ","Đã hoàn thành")</f>
        <v/>
      </c>
    </row>
    <row r="171">
      <c r="A171" s="45" t="inlineStr">
        <is>
          <t>251230907</t>
        </is>
      </c>
      <c r="B171" s="45" t="inlineStr">
        <is>
          <t>ĐẶNG THÀNH LONG</t>
        </is>
      </c>
      <c r="C171" s="45" t="inlineStr">
        <is>
          <t>Công nghệ thông tin 3 K66</t>
        </is>
      </c>
      <c r="D171" s="46">
        <f>SUMIFS('Chi Tiết Học Phí'!$H$4:$H$1023,'Chi Tiết Học Phí'!$A$4:$A$1023,A171)</f>
        <v/>
      </c>
      <c r="E171" s="46">
        <f>SUMIFS('Chi Tiết Học Phí'!$J$4:$J$1023,'Chi Tiết Học Phí'!$A$4:$A$1023,A171)</f>
        <v/>
      </c>
      <c r="F171" s="46">
        <f>SUMIFS('Chi Tiết Học Phí'!$K$4:$K$1023,'Chi Tiết Học Phí'!$A$4:$A$1023,A171)</f>
        <v/>
      </c>
      <c r="G171" s="46">
        <f>SUMIFS('Chi Tiết Học Phí'!$L$4:$L$1023,'Chi Tiết Học Phí'!$A$4:$A$1023,A171)</f>
        <v/>
      </c>
      <c r="H171" s="46">
        <f>SUMIFS('Chi Tiết Học Phí'!$M$4:$M$1023,'Chi Tiết Học Phí'!$A$4:$A$1023,A171)-SUMIFS('Chi Tiết Học Phí'!$N$4:$N$1023,'Chi Tiết Học Phí'!$A$4:$A$1023,A171)</f>
        <v/>
      </c>
      <c r="I171" s="46">
        <f>SUMIFS('Chi Tiết Học Phí'!$O$4:$O$1023,'Chi Tiết Học Phí'!$A$4:$A$1023,A171)</f>
        <v/>
      </c>
      <c r="J171" s="46">
        <f>SUMIFS('Chi Tiết Học Phí'!$P$4:$P$1023,'Chi Tiết Học Phí'!$A$4:$A$1023,A171)</f>
        <v/>
      </c>
      <c r="K171" s="45">
        <f>IF(J171&gt;0,"Còn nợ","Đã hoàn thành")</f>
        <v/>
      </c>
    </row>
    <row r="172">
      <c r="A172" s="45" t="inlineStr">
        <is>
          <t>251230912</t>
        </is>
      </c>
      <c r="B172" s="45" t="inlineStr">
        <is>
          <t>DƯƠNG DOÃN LƯỢNG</t>
        </is>
      </c>
      <c r="C172" s="45" t="inlineStr">
        <is>
          <t>Công nghệ thông tin 3 K66</t>
        </is>
      </c>
      <c r="D172" s="46">
        <f>SUMIFS('Chi Tiết Học Phí'!$H$4:$H$1023,'Chi Tiết Học Phí'!$A$4:$A$1023,A172)</f>
        <v/>
      </c>
      <c r="E172" s="46">
        <f>SUMIFS('Chi Tiết Học Phí'!$J$4:$J$1023,'Chi Tiết Học Phí'!$A$4:$A$1023,A172)</f>
        <v/>
      </c>
      <c r="F172" s="46">
        <f>SUMIFS('Chi Tiết Học Phí'!$K$4:$K$1023,'Chi Tiết Học Phí'!$A$4:$A$1023,A172)</f>
        <v/>
      </c>
      <c r="G172" s="46">
        <f>SUMIFS('Chi Tiết Học Phí'!$L$4:$L$1023,'Chi Tiết Học Phí'!$A$4:$A$1023,A172)</f>
        <v/>
      </c>
      <c r="H172" s="46">
        <f>SUMIFS('Chi Tiết Học Phí'!$M$4:$M$1023,'Chi Tiết Học Phí'!$A$4:$A$1023,A172)-SUMIFS('Chi Tiết Học Phí'!$N$4:$N$1023,'Chi Tiết Học Phí'!$A$4:$A$1023,A172)</f>
        <v/>
      </c>
      <c r="I172" s="46">
        <f>SUMIFS('Chi Tiết Học Phí'!$O$4:$O$1023,'Chi Tiết Học Phí'!$A$4:$A$1023,A172)</f>
        <v/>
      </c>
      <c r="J172" s="46">
        <f>SUMIFS('Chi Tiết Học Phí'!$P$4:$P$1023,'Chi Tiết Học Phí'!$A$4:$A$1023,A172)</f>
        <v/>
      </c>
      <c r="K172" s="45">
        <f>IF(J172&gt;0,"Còn nợ","Đã hoàn thành")</f>
        <v/>
      </c>
    </row>
    <row r="173">
      <c r="A173" s="45" t="inlineStr">
        <is>
          <t>251230915</t>
        </is>
      </c>
      <c r="B173" s="45" t="inlineStr">
        <is>
          <t>LÊ TIẾN MẠNH</t>
        </is>
      </c>
      <c r="C173" s="45" t="inlineStr">
        <is>
          <t>Công nghệ thông tin 3 K66</t>
        </is>
      </c>
      <c r="D173" s="46">
        <f>SUMIFS('Chi Tiết Học Phí'!$H$4:$H$1023,'Chi Tiết Học Phí'!$A$4:$A$1023,A173)</f>
        <v/>
      </c>
      <c r="E173" s="46">
        <f>SUMIFS('Chi Tiết Học Phí'!$J$4:$J$1023,'Chi Tiết Học Phí'!$A$4:$A$1023,A173)</f>
        <v/>
      </c>
      <c r="F173" s="46">
        <f>SUMIFS('Chi Tiết Học Phí'!$K$4:$K$1023,'Chi Tiết Học Phí'!$A$4:$A$1023,A173)</f>
        <v/>
      </c>
      <c r="G173" s="46">
        <f>SUMIFS('Chi Tiết Học Phí'!$L$4:$L$1023,'Chi Tiết Học Phí'!$A$4:$A$1023,A173)</f>
        <v/>
      </c>
      <c r="H173" s="46">
        <f>SUMIFS('Chi Tiết Học Phí'!$M$4:$M$1023,'Chi Tiết Học Phí'!$A$4:$A$1023,A173)-SUMIFS('Chi Tiết Học Phí'!$N$4:$N$1023,'Chi Tiết Học Phí'!$A$4:$A$1023,A173)</f>
        <v/>
      </c>
      <c r="I173" s="46">
        <f>SUMIFS('Chi Tiết Học Phí'!$O$4:$O$1023,'Chi Tiết Học Phí'!$A$4:$A$1023,A173)</f>
        <v/>
      </c>
      <c r="J173" s="46">
        <f>SUMIFS('Chi Tiết Học Phí'!$P$4:$P$1023,'Chi Tiết Học Phí'!$A$4:$A$1023,A173)</f>
        <v/>
      </c>
      <c r="K173" s="45">
        <f>IF(J173&gt;0,"Còn nợ","Đã hoàn thành")</f>
        <v/>
      </c>
    </row>
    <row r="174">
      <c r="A174" s="45" t="inlineStr">
        <is>
          <t>241230792</t>
        </is>
      </c>
      <c r="B174" s="45" t="inlineStr">
        <is>
          <t>Bùi Nhật Minh</t>
        </is>
      </c>
      <c r="C174" s="45" t="inlineStr">
        <is>
          <t>Công nghệ thông tin 3 K66</t>
        </is>
      </c>
      <c r="D174" s="46">
        <f>SUMIFS('Chi Tiết Học Phí'!$H$4:$H$1023,'Chi Tiết Học Phí'!$A$4:$A$1023,A174)</f>
        <v/>
      </c>
      <c r="E174" s="46">
        <f>SUMIFS('Chi Tiết Học Phí'!$J$4:$J$1023,'Chi Tiết Học Phí'!$A$4:$A$1023,A174)</f>
        <v/>
      </c>
      <c r="F174" s="46">
        <f>SUMIFS('Chi Tiết Học Phí'!$K$4:$K$1023,'Chi Tiết Học Phí'!$A$4:$A$1023,A174)</f>
        <v/>
      </c>
      <c r="G174" s="46">
        <f>SUMIFS('Chi Tiết Học Phí'!$L$4:$L$1023,'Chi Tiết Học Phí'!$A$4:$A$1023,A174)</f>
        <v/>
      </c>
      <c r="H174" s="46">
        <f>SUMIFS('Chi Tiết Học Phí'!$M$4:$M$1023,'Chi Tiết Học Phí'!$A$4:$A$1023,A174)-SUMIFS('Chi Tiết Học Phí'!$N$4:$N$1023,'Chi Tiết Học Phí'!$A$4:$A$1023,A174)</f>
        <v/>
      </c>
      <c r="I174" s="46">
        <f>SUMIFS('Chi Tiết Học Phí'!$O$4:$O$1023,'Chi Tiết Học Phí'!$A$4:$A$1023,A174)</f>
        <v/>
      </c>
      <c r="J174" s="46">
        <f>SUMIFS('Chi Tiết Học Phí'!$P$4:$P$1023,'Chi Tiết Học Phí'!$A$4:$A$1023,A174)</f>
        <v/>
      </c>
      <c r="K174" s="45">
        <f>IF(J174&gt;0,"Còn nợ","Đã hoàn thành")</f>
        <v/>
      </c>
    </row>
    <row r="175">
      <c r="A175" s="45" t="inlineStr">
        <is>
          <t>251210920</t>
        </is>
      </c>
      <c r="B175" s="45" t="inlineStr">
        <is>
          <t>ĐÀM QUANG MINH</t>
        </is>
      </c>
      <c r="C175" s="45" t="inlineStr">
        <is>
          <t>Công nghệ thông tin 3 K66</t>
        </is>
      </c>
      <c r="D175" s="46">
        <f>SUMIFS('Chi Tiết Học Phí'!$H$4:$H$1023,'Chi Tiết Học Phí'!$A$4:$A$1023,A175)</f>
        <v/>
      </c>
      <c r="E175" s="46">
        <f>SUMIFS('Chi Tiết Học Phí'!$J$4:$J$1023,'Chi Tiết Học Phí'!$A$4:$A$1023,A175)</f>
        <v/>
      </c>
      <c r="F175" s="46">
        <f>SUMIFS('Chi Tiết Học Phí'!$K$4:$K$1023,'Chi Tiết Học Phí'!$A$4:$A$1023,A175)</f>
        <v/>
      </c>
      <c r="G175" s="46">
        <f>SUMIFS('Chi Tiết Học Phí'!$L$4:$L$1023,'Chi Tiết Học Phí'!$A$4:$A$1023,A175)</f>
        <v/>
      </c>
      <c r="H175" s="46">
        <f>SUMIFS('Chi Tiết Học Phí'!$M$4:$M$1023,'Chi Tiết Học Phí'!$A$4:$A$1023,A175)-SUMIFS('Chi Tiết Học Phí'!$N$4:$N$1023,'Chi Tiết Học Phí'!$A$4:$A$1023,A175)</f>
        <v/>
      </c>
      <c r="I175" s="46">
        <f>SUMIFS('Chi Tiết Học Phí'!$O$4:$O$1023,'Chi Tiết Học Phí'!$A$4:$A$1023,A175)</f>
        <v/>
      </c>
      <c r="J175" s="46">
        <f>SUMIFS('Chi Tiết Học Phí'!$P$4:$P$1023,'Chi Tiết Học Phí'!$A$4:$A$1023,A175)</f>
        <v/>
      </c>
      <c r="K175" s="45">
        <f>IF(J175&gt;0,"Còn nợ","Đã hoàn thành")</f>
        <v/>
      </c>
    </row>
    <row r="176">
      <c r="A176" s="45" t="inlineStr">
        <is>
          <t>251210921</t>
        </is>
      </c>
      <c r="B176" s="45" t="inlineStr">
        <is>
          <t>ĐẶNG ĐÌNH MINH</t>
        </is>
      </c>
      <c r="C176" s="45" t="inlineStr">
        <is>
          <t>Công nghệ thông tin 3 K66</t>
        </is>
      </c>
      <c r="D176" s="46">
        <f>SUMIFS('Chi Tiết Học Phí'!$H$4:$H$1023,'Chi Tiết Học Phí'!$A$4:$A$1023,A176)</f>
        <v/>
      </c>
      <c r="E176" s="46">
        <f>SUMIFS('Chi Tiết Học Phí'!$J$4:$J$1023,'Chi Tiết Học Phí'!$A$4:$A$1023,A176)</f>
        <v/>
      </c>
      <c r="F176" s="46">
        <f>SUMIFS('Chi Tiết Học Phí'!$K$4:$K$1023,'Chi Tiết Học Phí'!$A$4:$A$1023,A176)</f>
        <v/>
      </c>
      <c r="G176" s="46">
        <f>SUMIFS('Chi Tiết Học Phí'!$L$4:$L$1023,'Chi Tiết Học Phí'!$A$4:$A$1023,A176)</f>
        <v/>
      </c>
      <c r="H176" s="46">
        <f>SUMIFS('Chi Tiết Học Phí'!$M$4:$M$1023,'Chi Tiết Học Phí'!$A$4:$A$1023,A176)-SUMIFS('Chi Tiết Học Phí'!$N$4:$N$1023,'Chi Tiết Học Phí'!$A$4:$A$1023,A176)</f>
        <v/>
      </c>
      <c r="I176" s="46">
        <f>SUMIFS('Chi Tiết Học Phí'!$O$4:$O$1023,'Chi Tiết Học Phí'!$A$4:$A$1023,A176)</f>
        <v/>
      </c>
      <c r="J176" s="46">
        <f>SUMIFS('Chi Tiết Học Phí'!$P$4:$P$1023,'Chi Tiết Học Phí'!$A$4:$A$1023,A176)</f>
        <v/>
      </c>
      <c r="K176" s="45">
        <f>IF(J176&gt;0,"Còn nợ","Đã hoàn thành")</f>
        <v/>
      </c>
    </row>
    <row r="177">
      <c r="A177" s="45" t="inlineStr">
        <is>
          <t>251230922</t>
        </is>
      </c>
      <c r="B177" s="45" t="inlineStr">
        <is>
          <t>HOÀNG VĂN MINH</t>
        </is>
      </c>
      <c r="C177" s="45" t="inlineStr">
        <is>
          <t>Công nghệ thông tin 3 K66</t>
        </is>
      </c>
      <c r="D177" s="46">
        <f>SUMIFS('Chi Tiết Học Phí'!$H$4:$H$1023,'Chi Tiết Học Phí'!$A$4:$A$1023,A177)</f>
        <v/>
      </c>
      <c r="E177" s="46">
        <f>SUMIFS('Chi Tiết Học Phí'!$J$4:$J$1023,'Chi Tiết Học Phí'!$A$4:$A$1023,A177)</f>
        <v/>
      </c>
      <c r="F177" s="46">
        <f>SUMIFS('Chi Tiết Học Phí'!$K$4:$K$1023,'Chi Tiết Học Phí'!$A$4:$A$1023,A177)</f>
        <v/>
      </c>
      <c r="G177" s="46">
        <f>SUMIFS('Chi Tiết Học Phí'!$L$4:$L$1023,'Chi Tiết Học Phí'!$A$4:$A$1023,A177)</f>
        <v/>
      </c>
      <c r="H177" s="46">
        <f>SUMIFS('Chi Tiết Học Phí'!$M$4:$M$1023,'Chi Tiết Học Phí'!$A$4:$A$1023,A177)-SUMIFS('Chi Tiết Học Phí'!$N$4:$N$1023,'Chi Tiết Học Phí'!$A$4:$A$1023,A177)</f>
        <v/>
      </c>
      <c r="I177" s="46">
        <f>SUMIFS('Chi Tiết Học Phí'!$O$4:$O$1023,'Chi Tiết Học Phí'!$A$4:$A$1023,A177)</f>
        <v/>
      </c>
      <c r="J177" s="46">
        <f>SUMIFS('Chi Tiết Học Phí'!$P$4:$P$1023,'Chi Tiết Học Phí'!$A$4:$A$1023,A177)</f>
        <v/>
      </c>
      <c r="K177" s="45">
        <f>IF(J177&gt;0,"Còn nợ","Đã hoàn thành")</f>
        <v/>
      </c>
    </row>
    <row r="178">
      <c r="A178" s="45" t="inlineStr">
        <is>
          <t>251230923</t>
        </is>
      </c>
      <c r="B178" s="45" t="inlineStr">
        <is>
          <t>PHẠM ĐĂNG MINH</t>
        </is>
      </c>
      <c r="C178" s="45" t="inlineStr">
        <is>
          <t>Công nghệ thông tin 3 K66</t>
        </is>
      </c>
      <c r="D178" s="46">
        <f>SUMIFS('Chi Tiết Học Phí'!$H$4:$H$1023,'Chi Tiết Học Phí'!$A$4:$A$1023,A178)</f>
        <v/>
      </c>
      <c r="E178" s="46">
        <f>SUMIFS('Chi Tiết Học Phí'!$J$4:$J$1023,'Chi Tiết Học Phí'!$A$4:$A$1023,A178)</f>
        <v/>
      </c>
      <c r="F178" s="46">
        <f>SUMIFS('Chi Tiết Học Phí'!$K$4:$K$1023,'Chi Tiết Học Phí'!$A$4:$A$1023,A178)</f>
        <v/>
      </c>
      <c r="G178" s="46">
        <f>SUMIFS('Chi Tiết Học Phí'!$L$4:$L$1023,'Chi Tiết Học Phí'!$A$4:$A$1023,A178)</f>
        <v/>
      </c>
      <c r="H178" s="46">
        <f>SUMIFS('Chi Tiết Học Phí'!$M$4:$M$1023,'Chi Tiết Học Phí'!$A$4:$A$1023,A178)-SUMIFS('Chi Tiết Học Phí'!$N$4:$N$1023,'Chi Tiết Học Phí'!$A$4:$A$1023,A178)</f>
        <v/>
      </c>
      <c r="I178" s="46">
        <f>SUMIFS('Chi Tiết Học Phí'!$O$4:$O$1023,'Chi Tiết Học Phí'!$A$4:$A$1023,A178)</f>
        <v/>
      </c>
      <c r="J178" s="46">
        <f>SUMIFS('Chi Tiết Học Phí'!$P$4:$P$1023,'Chi Tiết Học Phí'!$A$4:$A$1023,A178)</f>
        <v/>
      </c>
      <c r="K178" s="45">
        <f>IF(J178&gt;0,"Còn nợ","Đã hoàn thành")</f>
        <v/>
      </c>
    </row>
    <row r="179">
      <c r="A179" s="45" t="inlineStr">
        <is>
          <t>251210924</t>
        </is>
      </c>
      <c r="B179" s="45" t="inlineStr">
        <is>
          <t>TRẦN VĂN MINH</t>
        </is>
      </c>
      <c r="C179" s="45" t="inlineStr">
        <is>
          <t>Công nghệ thông tin 3 K66</t>
        </is>
      </c>
      <c r="D179" s="46">
        <f>SUMIFS('Chi Tiết Học Phí'!$H$4:$H$1023,'Chi Tiết Học Phí'!$A$4:$A$1023,A179)</f>
        <v/>
      </c>
      <c r="E179" s="46">
        <f>SUMIFS('Chi Tiết Học Phí'!$J$4:$J$1023,'Chi Tiết Học Phí'!$A$4:$A$1023,A179)</f>
        <v/>
      </c>
      <c r="F179" s="46">
        <f>SUMIFS('Chi Tiết Học Phí'!$K$4:$K$1023,'Chi Tiết Học Phí'!$A$4:$A$1023,A179)</f>
        <v/>
      </c>
      <c r="G179" s="46">
        <f>SUMIFS('Chi Tiết Học Phí'!$L$4:$L$1023,'Chi Tiết Học Phí'!$A$4:$A$1023,A179)</f>
        <v/>
      </c>
      <c r="H179" s="46">
        <f>SUMIFS('Chi Tiết Học Phí'!$M$4:$M$1023,'Chi Tiết Học Phí'!$A$4:$A$1023,A179)-SUMIFS('Chi Tiết Học Phí'!$N$4:$N$1023,'Chi Tiết Học Phí'!$A$4:$A$1023,A179)</f>
        <v/>
      </c>
      <c r="I179" s="46">
        <f>SUMIFS('Chi Tiết Học Phí'!$O$4:$O$1023,'Chi Tiết Học Phí'!$A$4:$A$1023,A179)</f>
        <v/>
      </c>
      <c r="J179" s="46">
        <f>SUMIFS('Chi Tiết Học Phí'!$P$4:$P$1023,'Chi Tiết Học Phí'!$A$4:$A$1023,A179)</f>
        <v/>
      </c>
      <c r="K179" s="45">
        <f>IF(J179&gt;0,"Còn nợ","Đã hoàn thành")</f>
        <v/>
      </c>
    </row>
    <row r="180">
      <c r="A180" s="45" t="inlineStr">
        <is>
          <t>251230927</t>
        </is>
      </c>
      <c r="B180" s="45" t="inlineStr">
        <is>
          <t>LÊ HỮU NAM</t>
        </is>
      </c>
      <c r="C180" s="45" t="inlineStr">
        <is>
          <t>Công nghệ thông tin 3 K66</t>
        </is>
      </c>
      <c r="D180" s="46">
        <f>SUMIFS('Chi Tiết Học Phí'!$H$4:$H$1023,'Chi Tiết Học Phí'!$A$4:$A$1023,A180)</f>
        <v/>
      </c>
      <c r="E180" s="46">
        <f>SUMIFS('Chi Tiết Học Phí'!$J$4:$J$1023,'Chi Tiết Học Phí'!$A$4:$A$1023,A180)</f>
        <v/>
      </c>
      <c r="F180" s="46">
        <f>SUMIFS('Chi Tiết Học Phí'!$K$4:$K$1023,'Chi Tiết Học Phí'!$A$4:$A$1023,A180)</f>
        <v/>
      </c>
      <c r="G180" s="46">
        <f>SUMIFS('Chi Tiết Học Phí'!$L$4:$L$1023,'Chi Tiết Học Phí'!$A$4:$A$1023,A180)</f>
        <v/>
      </c>
      <c r="H180" s="46">
        <f>SUMIFS('Chi Tiết Học Phí'!$M$4:$M$1023,'Chi Tiết Học Phí'!$A$4:$A$1023,A180)-SUMIFS('Chi Tiết Học Phí'!$N$4:$N$1023,'Chi Tiết Học Phí'!$A$4:$A$1023,A180)</f>
        <v/>
      </c>
      <c r="I180" s="46">
        <f>SUMIFS('Chi Tiết Học Phí'!$O$4:$O$1023,'Chi Tiết Học Phí'!$A$4:$A$1023,A180)</f>
        <v/>
      </c>
      <c r="J180" s="46">
        <f>SUMIFS('Chi Tiết Học Phí'!$P$4:$P$1023,'Chi Tiết Học Phí'!$A$4:$A$1023,A180)</f>
        <v/>
      </c>
      <c r="K180" s="45">
        <f>IF(J180&gt;0,"Còn nợ","Đã hoàn thành")</f>
        <v/>
      </c>
    </row>
    <row r="181">
      <c r="A181" s="45" t="inlineStr">
        <is>
          <t>251230929</t>
        </is>
      </c>
      <c r="B181" s="45" t="inlineStr">
        <is>
          <t>NGUYỄN HỮU NAM</t>
        </is>
      </c>
      <c r="C181" s="45" t="inlineStr">
        <is>
          <t>Công nghệ thông tin 3 K66</t>
        </is>
      </c>
      <c r="D181" s="46">
        <f>SUMIFS('Chi Tiết Học Phí'!$H$4:$H$1023,'Chi Tiết Học Phí'!$A$4:$A$1023,A181)</f>
        <v/>
      </c>
      <c r="E181" s="46">
        <f>SUMIFS('Chi Tiết Học Phí'!$J$4:$J$1023,'Chi Tiết Học Phí'!$A$4:$A$1023,A181)</f>
        <v/>
      </c>
      <c r="F181" s="46">
        <f>SUMIFS('Chi Tiết Học Phí'!$K$4:$K$1023,'Chi Tiết Học Phí'!$A$4:$A$1023,A181)</f>
        <v/>
      </c>
      <c r="G181" s="46">
        <f>SUMIFS('Chi Tiết Học Phí'!$L$4:$L$1023,'Chi Tiết Học Phí'!$A$4:$A$1023,A181)</f>
        <v/>
      </c>
      <c r="H181" s="46">
        <f>SUMIFS('Chi Tiết Học Phí'!$M$4:$M$1023,'Chi Tiết Học Phí'!$A$4:$A$1023,A181)-SUMIFS('Chi Tiết Học Phí'!$N$4:$N$1023,'Chi Tiết Học Phí'!$A$4:$A$1023,A181)</f>
        <v/>
      </c>
      <c r="I181" s="46">
        <f>SUMIFS('Chi Tiết Học Phí'!$O$4:$O$1023,'Chi Tiết Học Phí'!$A$4:$A$1023,A181)</f>
        <v/>
      </c>
      <c r="J181" s="46">
        <f>SUMIFS('Chi Tiết Học Phí'!$P$4:$P$1023,'Chi Tiết Học Phí'!$A$4:$A$1023,A181)</f>
        <v/>
      </c>
      <c r="K181" s="45">
        <f>IF(J181&gt;0,"Còn nợ","Đã hoàn thành")</f>
        <v/>
      </c>
    </row>
    <row r="182">
      <c r="A182" s="45" t="inlineStr">
        <is>
          <t>251230933</t>
        </is>
      </c>
      <c r="B182" s="45" t="inlineStr">
        <is>
          <t>BÙI TRUNG NGUYÊN</t>
        </is>
      </c>
      <c r="C182" s="45" t="inlineStr">
        <is>
          <t>Công nghệ thông tin 3 K66</t>
        </is>
      </c>
      <c r="D182" s="46">
        <f>SUMIFS('Chi Tiết Học Phí'!$H$4:$H$1023,'Chi Tiết Học Phí'!$A$4:$A$1023,A182)</f>
        <v/>
      </c>
      <c r="E182" s="46">
        <f>SUMIFS('Chi Tiết Học Phí'!$J$4:$J$1023,'Chi Tiết Học Phí'!$A$4:$A$1023,A182)</f>
        <v/>
      </c>
      <c r="F182" s="46">
        <f>SUMIFS('Chi Tiết Học Phí'!$K$4:$K$1023,'Chi Tiết Học Phí'!$A$4:$A$1023,A182)</f>
        <v/>
      </c>
      <c r="G182" s="46">
        <f>SUMIFS('Chi Tiết Học Phí'!$L$4:$L$1023,'Chi Tiết Học Phí'!$A$4:$A$1023,A182)</f>
        <v/>
      </c>
      <c r="H182" s="46">
        <f>SUMIFS('Chi Tiết Học Phí'!$M$4:$M$1023,'Chi Tiết Học Phí'!$A$4:$A$1023,A182)-SUMIFS('Chi Tiết Học Phí'!$N$4:$N$1023,'Chi Tiết Học Phí'!$A$4:$A$1023,A182)</f>
        <v/>
      </c>
      <c r="I182" s="46">
        <f>SUMIFS('Chi Tiết Học Phí'!$O$4:$O$1023,'Chi Tiết Học Phí'!$A$4:$A$1023,A182)</f>
        <v/>
      </c>
      <c r="J182" s="46">
        <f>SUMIFS('Chi Tiết Học Phí'!$P$4:$P$1023,'Chi Tiết Học Phí'!$A$4:$A$1023,A182)</f>
        <v/>
      </c>
      <c r="K182" s="45">
        <f>IF(J182&gt;0,"Còn nợ","Đã hoàn thành")</f>
        <v/>
      </c>
    </row>
    <row r="183">
      <c r="A183" s="45" t="inlineStr">
        <is>
          <t>251230935</t>
        </is>
      </c>
      <c r="B183" s="45" t="inlineStr">
        <is>
          <t>NGUYỄN THIỆN NHÂN</t>
        </is>
      </c>
      <c r="C183" s="45" t="inlineStr">
        <is>
          <t>Công nghệ thông tin 3 K66</t>
        </is>
      </c>
      <c r="D183" s="46">
        <f>SUMIFS('Chi Tiết Học Phí'!$H$4:$H$1023,'Chi Tiết Học Phí'!$A$4:$A$1023,A183)</f>
        <v/>
      </c>
      <c r="E183" s="46">
        <f>SUMIFS('Chi Tiết Học Phí'!$J$4:$J$1023,'Chi Tiết Học Phí'!$A$4:$A$1023,A183)</f>
        <v/>
      </c>
      <c r="F183" s="46">
        <f>SUMIFS('Chi Tiết Học Phí'!$K$4:$K$1023,'Chi Tiết Học Phí'!$A$4:$A$1023,A183)</f>
        <v/>
      </c>
      <c r="G183" s="46">
        <f>SUMIFS('Chi Tiết Học Phí'!$L$4:$L$1023,'Chi Tiết Học Phí'!$A$4:$A$1023,A183)</f>
        <v/>
      </c>
      <c r="H183" s="46">
        <f>SUMIFS('Chi Tiết Học Phí'!$M$4:$M$1023,'Chi Tiết Học Phí'!$A$4:$A$1023,A183)-SUMIFS('Chi Tiết Học Phí'!$N$4:$N$1023,'Chi Tiết Học Phí'!$A$4:$A$1023,A183)</f>
        <v/>
      </c>
      <c r="I183" s="46">
        <f>SUMIFS('Chi Tiết Học Phí'!$O$4:$O$1023,'Chi Tiết Học Phí'!$A$4:$A$1023,A183)</f>
        <v/>
      </c>
      <c r="J183" s="46">
        <f>SUMIFS('Chi Tiết Học Phí'!$P$4:$P$1023,'Chi Tiết Học Phí'!$A$4:$A$1023,A183)</f>
        <v/>
      </c>
      <c r="K183" s="45">
        <f>IF(J183&gt;0,"Còn nợ","Đã hoàn thành")</f>
        <v/>
      </c>
    </row>
    <row r="184">
      <c r="A184" s="45" t="inlineStr">
        <is>
          <t>251230936</t>
        </is>
      </c>
      <c r="B184" s="45" t="inlineStr">
        <is>
          <t>ĐỖ VIỆT NHẬT</t>
        </is>
      </c>
      <c r="C184" s="45" t="inlineStr">
        <is>
          <t>Công nghệ thông tin 3 K66</t>
        </is>
      </c>
      <c r="D184" s="46">
        <f>SUMIFS('Chi Tiết Học Phí'!$H$4:$H$1023,'Chi Tiết Học Phí'!$A$4:$A$1023,A184)</f>
        <v/>
      </c>
      <c r="E184" s="46">
        <f>SUMIFS('Chi Tiết Học Phí'!$J$4:$J$1023,'Chi Tiết Học Phí'!$A$4:$A$1023,A184)</f>
        <v/>
      </c>
      <c r="F184" s="46">
        <f>SUMIFS('Chi Tiết Học Phí'!$K$4:$K$1023,'Chi Tiết Học Phí'!$A$4:$A$1023,A184)</f>
        <v/>
      </c>
      <c r="G184" s="46">
        <f>SUMIFS('Chi Tiết Học Phí'!$L$4:$L$1023,'Chi Tiết Học Phí'!$A$4:$A$1023,A184)</f>
        <v/>
      </c>
      <c r="H184" s="46">
        <f>SUMIFS('Chi Tiết Học Phí'!$M$4:$M$1023,'Chi Tiết Học Phí'!$A$4:$A$1023,A184)-SUMIFS('Chi Tiết Học Phí'!$N$4:$N$1023,'Chi Tiết Học Phí'!$A$4:$A$1023,A184)</f>
        <v/>
      </c>
      <c r="I184" s="46">
        <f>SUMIFS('Chi Tiết Học Phí'!$O$4:$O$1023,'Chi Tiết Học Phí'!$A$4:$A$1023,A184)</f>
        <v/>
      </c>
      <c r="J184" s="46">
        <f>SUMIFS('Chi Tiết Học Phí'!$P$4:$P$1023,'Chi Tiết Học Phí'!$A$4:$A$1023,A184)</f>
        <v/>
      </c>
      <c r="K184" s="45">
        <f>IF(J184&gt;0,"Còn nợ","Đã hoàn thành")</f>
        <v/>
      </c>
    </row>
    <row r="185">
      <c r="A185" s="45" t="inlineStr">
        <is>
          <t>251230939</t>
        </is>
      </c>
      <c r="B185" s="45" t="inlineStr">
        <is>
          <t>ĐỖ VIẾT PHONG</t>
        </is>
      </c>
      <c r="C185" s="45" t="inlineStr">
        <is>
          <t>Công nghệ thông tin 3 K66</t>
        </is>
      </c>
      <c r="D185" s="46">
        <f>SUMIFS('Chi Tiết Học Phí'!$H$4:$H$1023,'Chi Tiết Học Phí'!$A$4:$A$1023,A185)</f>
        <v/>
      </c>
      <c r="E185" s="46">
        <f>SUMIFS('Chi Tiết Học Phí'!$J$4:$J$1023,'Chi Tiết Học Phí'!$A$4:$A$1023,A185)</f>
        <v/>
      </c>
      <c r="F185" s="46">
        <f>SUMIFS('Chi Tiết Học Phí'!$K$4:$K$1023,'Chi Tiết Học Phí'!$A$4:$A$1023,A185)</f>
        <v/>
      </c>
      <c r="G185" s="46">
        <f>SUMIFS('Chi Tiết Học Phí'!$L$4:$L$1023,'Chi Tiết Học Phí'!$A$4:$A$1023,A185)</f>
        <v/>
      </c>
      <c r="H185" s="46">
        <f>SUMIFS('Chi Tiết Học Phí'!$M$4:$M$1023,'Chi Tiết Học Phí'!$A$4:$A$1023,A185)-SUMIFS('Chi Tiết Học Phí'!$N$4:$N$1023,'Chi Tiết Học Phí'!$A$4:$A$1023,A185)</f>
        <v/>
      </c>
      <c r="I185" s="46">
        <f>SUMIFS('Chi Tiết Học Phí'!$O$4:$O$1023,'Chi Tiết Học Phí'!$A$4:$A$1023,A185)</f>
        <v/>
      </c>
      <c r="J185" s="46">
        <f>SUMIFS('Chi Tiết Học Phí'!$P$4:$P$1023,'Chi Tiết Học Phí'!$A$4:$A$1023,A185)</f>
        <v/>
      </c>
      <c r="K185" s="45">
        <f>IF(J185&gt;0,"Còn nợ","Đã hoàn thành")</f>
        <v/>
      </c>
    </row>
    <row r="186">
      <c r="A186" s="45" t="inlineStr">
        <is>
          <t>251210943</t>
        </is>
      </c>
      <c r="B186" s="45" t="inlineStr">
        <is>
          <t>PHAN HỒNG PHÚC</t>
        </is>
      </c>
      <c r="C186" s="45" t="inlineStr">
        <is>
          <t>Công nghệ thông tin 3 K66</t>
        </is>
      </c>
      <c r="D186" s="46">
        <f>SUMIFS('Chi Tiết Học Phí'!$H$4:$H$1023,'Chi Tiết Học Phí'!$A$4:$A$1023,A186)</f>
        <v/>
      </c>
      <c r="E186" s="46">
        <f>SUMIFS('Chi Tiết Học Phí'!$J$4:$J$1023,'Chi Tiết Học Phí'!$A$4:$A$1023,A186)</f>
        <v/>
      </c>
      <c r="F186" s="46">
        <f>SUMIFS('Chi Tiết Học Phí'!$K$4:$K$1023,'Chi Tiết Học Phí'!$A$4:$A$1023,A186)</f>
        <v/>
      </c>
      <c r="G186" s="46">
        <f>SUMIFS('Chi Tiết Học Phí'!$L$4:$L$1023,'Chi Tiết Học Phí'!$A$4:$A$1023,A186)</f>
        <v/>
      </c>
      <c r="H186" s="46">
        <f>SUMIFS('Chi Tiết Học Phí'!$M$4:$M$1023,'Chi Tiết Học Phí'!$A$4:$A$1023,A186)-SUMIFS('Chi Tiết Học Phí'!$N$4:$N$1023,'Chi Tiết Học Phí'!$A$4:$A$1023,A186)</f>
        <v/>
      </c>
      <c r="I186" s="46">
        <f>SUMIFS('Chi Tiết Học Phí'!$O$4:$O$1023,'Chi Tiết Học Phí'!$A$4:$A$1023,A186)</f>
        <v/>
      </c>
      <c r="J186" s="46">
        <f>SUMIFS('Chi Tiết Học Phí'!$P$4:$P$1023,'Chi Tiết Học Phí'!$A$4:$A$1023,A186)</f>
        <v/>
      </c>
      <c r="K186" s="45">
        <f>IF(J186&gt;0,"Còn nợ","Đã hoàn thành")</f>
        <v/>
      </c>
    </row>
    <row r="187">
      <c r="A187" s="45" t="inlineStr">
        <is>
          <t>251230944</t>
        </is>
      </c>
      <c r="B187" s="45" t="inlineStr">
        <is>
          <t>BÙI THỊ NGỌC PHƯƠNG</t>
        </is>
      </c>
      <c r="C187" s="45" t="inlineStr">
        <is>
          <t>Công nghệ thông tin 3 K66</t>
        </is>
      </c>
      <c r="D187" s="46">
        <f>SUMIFS('Chi Tiết Học Phí'!$H$4:$H$1023,'Chi Tiết Học Phí'!$A$4:$A$1023,A187)</f>
        <v/>
      </c>
      <c r="E187" s="46">
        <f>SUMIFS('Chi Tiết Học Phí'!$J$4:$J$1023,'Chi Tiết Học Phí'!$A$4:$A$1023,A187)</f>
        <v/>
      </c>
      <c r="F187" s="46">
        <f>SUMIFS('Chi Tiết Học Phí'!$K$4:$K$1023,'Chi Tiết Học Phí'!$A$4:$A$1023,A187)</f>
        <v/>
      </c>
      <c r="G187" s="46">
        <f>SUMIFS('Chi Tiết Học Phí'!$L$4:$L$1023,'Chi Tiết Học Phí'!$A$4:$A$1023,A187)</f>
        <v/>
      </c>
      <c r="H187" s="46">
        <f>SUMIFS('Chi Tiết Học Phí'!$M$4:$M$1023,'Chi Tiết Học Phí'!$A$4:$A$1023,A187)-SUMIFS('Chi Tiết Học Phí'!$N$4:$N$1023,'Chi Tiết Học Phí'!$A$4:$A$1023,A187)</f>
        <v/>
      </c>
      <c r="I187" s="46">
        <f>SUMIFS('Chi Tiết Học Phí'!$O$4:$O$1023,'Chi Tiết Học Phí'!$A$4:$A$1023,A187)</f>
        <v/>
      </c>
      <c r="J187" s="46">
        <f>SUMIFS('Chi Tiết Học Phí'!$P$4:$P$1023,'Chi Tiết Học Phí'!$A$4:$A$1023,A187)</f>
        <v/>
      </c>
      <c r="K187" s="45">
        <f>IF(J187&gt;0,"Còn nợ","Đã hoàn thành")</f>
        <v/>
      </c>
    </row>
    <row r="188">
      <c r="A188" s="45" t="inlineStr">
        <is>
          <t>251230950</t>
        </is>
      </c>
      <c r="B188" s="45" t="inlineStr">
        <is>
          <t>BÙI TUẤN MINH QUÂN</t>
        </is>
      </c>
      <c r="C188" s="45" t="inlineStr">
        <is>
          <t>Công nghệ thông tin 3 K66</t>
        </is>
      </c>
      <c r="D188" s="46">
        <f>SUMIFS('Chi Tiết Học Phí'!$H$4:$H$1023,'Chi Tiết Học Phí'!$A$4:$A$1023,A188)</f>
        <v/>
      </c>
      <c r="E188" s="46">
        <f>SUMIFS('Chi Tiết Học Phí'!$J$4:$J$1023,'Chi Tiết Học Phí'!$A$4:$A$1023,A188)</f>
        <v/>
      </c>
      <c r="F188" s="46">
        <f>SUMIFS('Chi Tiết Học Phí'!$K$4:$K$1023,'Chi Tiết Học Phí'!$A$4:$A$1023,A188)</f>
        <v/>
      </c>
      <c r="G188" s="46">
        <f>SUMIFS('Chi Tiết Học Phí'!$L$4:$L$1023,'Chi Tiết Học Phí'!$A$4:$A$1023,A188)</f>
        <v/>
      </c>
      <c r="H188" s="46">
        <f>SUMIFS('Chi Tiết Học Phí'!$M$4:$M$1023,'Chi Tiết Học Phí'!$A$4:$A$1023,A188)-SUMIFS('Chi Tiết Học Phí'!$N$4:$N$1023,'Chi Tiết Học Phí'!$A$4:$A$1023,A188)</f>
        <v/>
      </c>
      <c r="I188" s="46">
        <f>SUMIFS('Chi Tiết Học Phí'!$O$4:$O$1023,'Chi Tiết Học Phí'!$A$4:$A$1023,A188)</f>
        <v/>
      </c>
      <c r="J188" s="46">
        <f>SUMIFS('Chi Tiết Học Phí'!$P$4:$P$1023,'Chi Tiết Học Phí'!$A$4:$A$1023,A188)</f>
        <v/>
      </c>
      <c r="K188" s="45">
        <f>IF(J188&gt;0,"Còn nợ","Đã hoàn thành")</f>
        <v/>
      </c>
    </row>
    <row r="189">
      <c r="A189" s="45" t="inlineStr">
        <is>
          <t>251230957</t>
        </is>
      </c>
      <c r="B189" s="45" t="inlineStr">
        <is>
          <t>NGUYỄN ĐÌNH SƠN</t>
        </is>
      </c>
      <c r="C189" s="45" t="inlineStr">
        <is>
          <t>Công nghệ thông tin 3 K66</t>
        </is>
      </c>
      <c r="D189" s="46">
        <f>SUMIFS('Chi Tiết Học Phí'!$H$4:$H$1023,'Chi Tiết Học Phí'!$A$4:$A$1023,A189)</f>
        <v/>
      </c>
      <c r="E189" s="46">
        <f>SUMIFS('Chi Tiết Học Phí'!$J$4:$J$1023,'Chi Tiết Học Phí'!$A$4:$A$1023,A189)</f>
        <v/>
      </c>
      <c r="F189" s="46">
        <f>SUMIFS('Chi Tiết Học Phí'!$K$4:$K$1023,'Chi Tiết Học Phí'!$A$4:$A$1023,A189)</f>
        <v/>
      </c>
      <c r="G189" s="46">
        <f>SUMIFS('Chi Tiết Học Phí'!$L$4:$L$1023,'Chi Tiết Học Phí'!$A$4:$A$1023,A189)</f>
        <v/>
      </c>
      <c r="H189" s="46">
        <f>SUMIFS('Chi Tiết Học Phí'!$M$4:$M$1023,'Chi Tiết Học Phí'!$A$4:$A$1023,A189)-SUMIFS('Chi Tiết Học Phí'!$N$4:$N$1023,'Chi Tiết Học Phí'!$A$4:$A$1023,A189)</f>
        <v/>
      </c>
      <c r="I189" s="46">
        <f>SUMIFS('Chi Tiết Học Phí'!$O$4:$O$1023,'Chi Tiết Học Phí'!$A$4:$A$1023,A189)</f>
        <v/>
      </c>
      <c r="J189" s="46">
        <f>SUMIFS('Chi Tiết Học Phí'!$P$4:$P$1023,'Chi Tiết Học Phí'!$A$4:$A$1023,A189)</f>
        <v/>
      </c>
      <c r="K189" s="45">
        <f>IF(J189&gt;0,"Còn nợ","Đã hoàn thành")</f>
        <v/>
      </c>
    </row>
    <row r="190">
      <c r="A190" s="45" t="inlineStr">
        <is>
          <t>251230958</t>
        </is>
      </c>
      <c r="B190" s="45" t="inlineStr">
        <is>
          <t>NGUYỄN VĂN SƠN</t>
        </is>
      </c>
      <c r="C190" s="45" t="inlineStr">
        <is>
          <t>Công nghệ thông tin 3 K66</t>
        </is>
      </c>
      <c r="D190" s="46">
        <f>SUMIFS('Chi Tiết Học Phí'!$H$4:$H$1023,'Chi Tiết Học Phí'!$A$4:$A$1023,A190)</f>
        <v/>
      </c>
      <c r="E190" s="46">
        <f>SUMIFS('Chi Tiết Học Phí'!$J$4:$J$1023,'Chi Tiết Học Phí'!$A$4:$A$1023,A190)</f>
        <v/>
      </c>
      <c r="F190" s="46">
        <f>SUMIFS('Chi Tiết Học Phí'!$K$4:$K$1023,'Chi Tiết Học Phí'!$A$4:$A$1023,A190)</f>
        <v/>
      </c>
      <c r="G190" s="46">
        <f>SUMIFS('Chi Tiết Học Phí'!$L$4:$L$1023,'Chi Tiết Học Phí'!$A$4:$A$1023,A190)</f>
        <v/>
      </c>
      <c r="H190" s="46">
        <f>SUMIFS('Chi Tiết Học Phí'!$M$4:$M$1023,'Chi Tiết Học Phí'!$A$4:$A$1023,A190)-SUMIFS('Chi Tiết Học Phí'!$N$4:$N$1023,'Chi Tiết Học Phí'!$A$4:$A$1023,A190)</f>
        <v/>
      </c>
      <c r="I190" s="46">
        <f>SUMIFS('Chi Tiết Học Phí'!$O$4:$O$1023,'Chi Tiết Học Phí'!$A$4:$A$1023,A190)</f>
        <v/>
      </c>
      <c r="J190" s="46">
        <f>SUMIFS('Chi Tiết Học Phí'!$P$4:$P$1023,'Chi Tiết Học Phí'!$A$4:$A$1023,A190)</f>
        <v/>
      </c>
      <c r="K190" s="45">
        <f>IF(J190&gt;0,"Còn nợ","Đã hoàn thành")</f>
        <v/>
      </c>
    </row>
    <row r="191">
      <c r="A191" s="45" t="inlineStr">
        <is>
          <t>251230959</t>
        </is>
      </c>
      <c r="B191" s="45" t="inlineStr">
        <is>
          <t>TRẦN VĂN SỸ</t>
        </is>
      </c>
      <c r="C191" s="45" t="inlineStr">
        <is>
          <t>Công nghệ thông tin 3 K66</t>
        </is>
      </c>
      <c r="D191" s="46">
        <f>SUMIFS('Chi Tiết Học Phí'!$H$4:$H$1023,'Chi Tiết Học Phí'!$A$4:$A$1023,A191)</f>
        <v/>
      </c>
      <c r="E191" s="46">
        <f>SUMIFS('Chi Tiết Học Phí'!$J$4:$J$1023,'Chi Tiết Học Phí'!$A$4:$A$1023,A191)</f>
        <v/>
      </c>
      <c r="F191" s="46">
        <f>SUMIFS('Chi Tiết Học Phí'!$K$4:$K$1023,'Chi Tiết Học Phí'!$A$4:$A$1023,A191)</f>
        <v/>
      </c>
      <c r="G191" s="46">
        <f>SUMIFS('Chi Tiết Học Phí'!$L$4:$L$1023,'Chi Tiết Học Phí'!$A$4:$A$1023,A191)</f>
        <v/>
      </c>
      <c r="H191" s="46">
        <f>SUMIFS('Chi Tiết Học Phí'!$M$4:$M$1023,'Chi Tiết Học Phí'!$A$4:$A$1023,A191)-SUMIFS('Chi Tiết Học Phí'!$N$4:$N$1023,'Chi Tiết Học Phí'!$A$4:$A$1023,A191)</f>
        <v/>
      </c>
      <c r="I191" s="46">
        <f>SUMIFS('Chi Tiết Học Phí'!$O$4:$O$1023,'Chi Tiết Học Phí'!$A$4:$A$1023,A191)</f>
        <v/>
      </c>
      <c r="J191" s="46">
        <f>SUMIFS('Chi Tiết Học Phí'!$P$4:$P$1023,'Chi Tiết Học Phí'!$A$4:$A$1023,A191)</f>
        <v/>
      </c>
      <c r="K191" s="45">
        <f>IF(J191&gt;0,"Còn nợ","Đã hoàn thành")</f>
        <v/>
      </c>
    </row>
    <row r="192">
      <c r="A192" s="45" t="inlineStr">
        <is>
          <t>251230963</t>
        </is>
      </c>
      <c r="B192" s="45" t="inlineStr">
        <is>
          <t>NGUYỄN VIẾT THÁI</t>
        </is>
      </c>
      <c r="C192" s="45" t="inlineStr">
        <is>
          <t>Công nghệ thông tin 3 K66</t>
        </is>
      </c>
      <c r="D192" s="46">
        <f>SUMIFS('Chi Tiết Học Phí'!$H$4:$H$1023,'Chi Tiết Học Phí'!$A$4:$A$1023,A192)</f>
        <v/>
      </c>
      <c r="E192" s="46">
        <f>SUMIFS('Chi Tiết Học Phí'!$J$4:$J$1023,'Chi Tiết Học Phí'!$A$4:$A$1023,A192)</f>
        <v/>
      </c>
      <c r="F192" s="46">
        <f>SUMIFS('Chi Tiết Học Phí'!$K$4:$K$1023,'Chi Tiết Học Phí'!$A$4:$A$1023,A192)</f>
        <v/>
      </c>
      <c r="G192" s="46">
        <f>SUMIFS('Chi Tiết Học Phí'!$L$4:$L$1023,'Chi Tiết Học Phí'!$A$4:$A$1023,A192)</f>
        <v/>
      </c>
      <c r="H192" s="46">
        <f>SUMIFS('Chi Tiết Học Phí'!$M$4:$M$1023,'Chi Tiết Học Phí'!$A$4:$A$1023,A192)-SUMIFS('Chi Tiết Học Phí'!$N$4:$N$1023,'Chi Tiết Học Phí'!$A$4:$A$1023,A192)</f>
        <v/>
      </c>
      <c r="I192" s="46">
        <f>SUMIFS('Chi Tiết Học Phí'!$O$4:$O$1023,'Chi Tiết Học Phí'!$A$4:$A$1023,A192)</f>
        <v/>
      </c>
      <c r="J192" s="46">
        <f>SUMIFS('Chi Tiết Học Phí'!$P$4:$P$1023,'Chi Tiết Học Phí'!$A$4:$A$1023,A192)</f>
        <v/>
      </c>
      <c r="K192" s="45">
        <f>IF(J192&gt;0,"Còn nợ","Đã hoàn thành")</f>
        <v/>
      </c>
    </row>
    <row r="193">
      <c r="A193" s="45" t="inlineStr">
        <is>
          <t>251230973</t>
        </is>
      </c>
      <c r="B193" s="45" t="inlineStr">
        <is>
          <t>NGÔ TRẦN HIẾU THĂNG</t>
        </is>
      </c>
      <c r="C193" s="45" t="inlineStr">
        <is>
          <t>Công nghệ thông tin 3 K66</t>
        </is>
      </c>
      <c r="D193" s="46">
        <f>SUMIFS('Chi Tiết Học Phí'!$H$4:$H$1023,'Chi Tiết Học Phí'!$A$4:$A$1023,A193)</f>
        <v/>
      </c>
      <c r="E193" s="46">
        <f>SUMIFS('Chi Tiết Học Phí'!$J$4:$J$1023,'Chi Tiết Học Phí'!$A$4:$A$1023,A193)</f>
        <v/>
      </c>
      <c r="F193" s="46">
        <f>SUMIFS('Chi Tiết Học Phí'!$K$4:$K$1023,'Chi Tiết Học Phí'!$A$4:$A$1023,A193)</f>
        <v/>
      </c>
      <c r="G193" s="46">
        <f>SUMIFS('Chi Tiết Học Phí'!$L$4:$L$1023,'Chi Tiết Học Phí'!$A$4:$A$1023,A193)</f>
        <v/>
      </c>
      <c r="H193" s="46">
        <f>SUMIFS('Chi Tiết Học Phí'!$M$4:$M$1023,'Chi Tiết Học Phí'!$A$4:$A$1023,A193)-SUMIFS('Chi Tiết Học Phí'!$N$4:$N$1023,'Chi Tiết Học Phí'!$A$4:$A$1023,A193)</f>
        <v/>
      </c>
      <c r="I193" s="46">
        <f>SUMIFS('Chi Tiết Học Phí'!$O$4:$O$1023,'Chi Tiết Học Phí'!$A$4:$A$1023,A193)</f>
        <v/>
      </c>
      <c r="J193" s="46">
        <f>SUMIFS('Chi Tiết Học Phí'!$P$4:$P$1023,'Chi Tiết Học Phí'!$A$4:$A$1023,A193)</f>
        <v/>
      </c>
      <c r="K193" s="45">
        <f>IF(J193&gt;0,"Còn nợ","Đã hoàn thành")</f>
        <v/>
      </c>
    </row>
    <row r="194">
      <c r="A194" s="45" t="inlineStr">
        <is>
          <t>251230974</t>
        </is>
      </c>
      <c r="B194" s="45" t="inlineStr">
        <is>
          <t>PHAN ĐỨC THẮNG</t>
        </is>
      </c>
      <c r="C194" s="45" t="inlineStr">
        <is>
          <t>Công nghệ thông tin 3 K66</t>
        </is>
      </c>
      <c r="D194" s="46">
        <f>SUMIFS('Chi Tiết Học Phí'!$H$4:$H$1023,'Chi Tiết Học Phí'!$A$4:$A$1023,A194)</f>
        <v/>
      </c>
      <c r="E194" s="46">
        <f>SUMIFS('Chi Tiết Học Phí'!$J$4:$J$1023,'Chi Tiết Học Phí'!$A$4:$A$1023,A194)</f>
        <v/>
      </c>
      <c r="F194" s="46">
        <f>SUMIFS('Chi Tiết Học Phí'!$K$4:$K$1023,'Chi Tiết Học Phí'!$A$4:$A$1023,A194)</f>
        <v/>
      </c>
      <c r="G194" s="46">
        <f>SUMIFS('Chi Tiết Học Phí'!$L$4:$L$1023,'Chi Tiết Học Phí'!$A$4:$A$1023,A194)</f>
        <v/>
      </c>
      <c r="H194" s="46">
        <f>SUMIFS('Chi Tiết Học Phí'!$M$4:$M$1023,'Chi Tiết Học Phí'!$A$4:$A$1023,A194)-SUMIFS('Chi Tiết Học Phí'!$N$4:$N$1023,'Chi Tiết Học Phí'!$A$4:$A$1023,A194)</f>
        <v/>
      </c>
      <c r="I194" s="46">
        <f>SUMIFS('Chi Tiết Học Phí'!$O$4:$O$1023,'Chi Tiết Học Phí'!$A$4:$A$1023,A194)</f>
        <v/>
      </c>
      <c r="J194" s="46">
        <f>SUMIFS('Chi Tiết Học Phí'!$P$4:$P$1023,'Chi Tiết Học Phí'!$A$4:$A$1023,A194)</f>
        <v/>
      </c>
      <c r="K194" s="45">
        <f>IF(J194&gt;0,"Còn nợ","Đã hoàn thành")</f>
        <v/>
      </c>
    </row>
    <row r="195">
      <c r="A195" s="45" t="inlineStr">
        <is>
          <t>251230966</t>
        </is>
      </c>
      <c r="B195" s="45" t="inlineStr">
        <is>
          <t>LÂM TIẾN THÀNH</t>
        </is>
      </c>
      <c r="C195" s="45" t="inlineStr">
        <is>
          <t>Công nghệ thông tin 3 K66</t>
        </is>
      </c>
      <c r="D195" s="46">
        <f>SUMIFS('Chi Tiết Học Phí'!$H$4:$H$1023,'Chi Tiết Học Phí'!$A$4:$A$1023,A195)</f>
        <v/>
      </c>
      <c r="E195" s="46">
        <f>SUMIFS('Chi Tiết Học Phí'!$J$4:$J$1023,'Chi Tiết Học Phí'!$A$4:$A$1023,A195)</f>
        <v/>
      </c>
      <c r="F195" s="46">
        <f>SUMIFS('Chi Tiết Học Phí'!$K$4:$K$1023,'Chi Tiết Học Phí'!$A$4:$A$1023,A195)</f>
        <v/>
      </c>
      <c r="G195" s="46">
        <f>SUMIFS('Chi Tiết Học Phí'!$L$4:$L$1023,'Chi Tiết Học Phí'!$A$4:$A$1023,A195)</f>
        <v/>
      </c>
      <c r="H195" s="46">
        <f>SUMIFS('Chi Tiết Học Phí'!$M$4:$M$1023,'Chi Tiết Học Phí'!$A$4:$A$1023,A195)-SUMIFS('Chi Tiết Học Phí'!$N$4:$N$1023,'Chi Tiết Học Phí'!$A$4:$A$1023,A195)</f>
        <v/>
      </c>
      <c r="I195" s="46">
        <f>SUMIFS('Chi Tiết Học Phí'!$O$4:$O$1023,'Chi Tiết Học Phí'!$A$4:$A$1023,A195)</f>
        <v/>
      </c>
      <c r="J195" s="46">
        <f>SUMIFS('Chi Tiết Học Phí'!$P$4:$P$1023,'Chi Tiết Học Phí'!$A$4:$A$1023,A195)</f>
        <v/>
      </c>
      <c r="K195" s="45">
        <f>IF(J195&gt;0,"Còn nợ","Đã hoàn thành")</f>
        <v/>
      </c>
    </row>
    <row r="196">
      <c r="A196" s="45" t="inlineStr">
        <is>
          <t>251230976</t>
        </is>
      </c>
      <c r="B196" s="45" t="inlineStr">
        <is>
          <t>NGUYỄN DUY THIỆN</t>
        </is>
      </c>
      <c r="C196" s="45" t="inlineStr">
        <is>
          <t>Công nghệ thông tin 3 K66</t>
        </is>
      </c>
      <c r="D196" s="46">
        <f>SUMIFS('Chi Tiết Học Phí'!$H$4:$H$1023,'Chi Tiết Học Phí'!$A$4:$A$1023,A196)</f>
        <v/>
      </c>
      <c r="E196" s="46">
        <f>SUMIFS('Chi Tiết Học Phí'!$J$4:$J$1023,'Chi Tiết Học Phí'!$A$4:$A$1023,A196)</f>
        <v/>
      </c>
      <c r="F196" s="46">
        <f>SUMIFS('Chi Tiết Học Phí'!$K$4:$K$1023,'Chi Tiết Học Phí'!$A$4:$A$1023,A196)</f>
        <v/>
      </c>
      <c r="G196" s="46">
        <f>SUMIFS('Chi Tiết Học Phí'!$L$4:$L$1023,'Chi Tiết Học Phí'!$A$4:$A$1023,A196)</f>
        <v/>
      </c>
      <c r="H196" s="46">
        <f>SUMIFS('Chi Tiết Học Phí'!$M$4:$M$1023,'Chi Tiết Học Phí'!$A$4:$A$1023,A196)-SUMIFS('Chi Tiết Học Phí'!$N$4:$N$1023,'Chi Tiết Học Phí'!$A$4:$A$1023,A196)</f>
        <v/>
      </c>
      <c r="I196" s="46">
        <f>SUMIFS('Chi Tiết Học Phí'!$O$4:$O$1023,'Chi Tiết Học Phí'!$A$4:$A$1023,A196)</f>
        <v/>
      </c>
      <c r="J196" s="46">
        <f>SUMIFS('Chi Tiết Học Phí'!$P$4:$P$1023,'Chi Tiết Học Phí'!$A$4:$A$1023,A196)</f>
        <v/>
      </c>
      <c r="K196" s="45">
        <f>IF(J196&gt;0,"Còn nợ","Đã hoàn thành")</f>
        <v/>
      </c>
    </row>
    <row r="197">
      <c r="A197" s="45" t="inlineStr">
        <is>
          <t>251210987</t>
        </is>
      </c>
      <c r="B197" s="45" t="inlineStr">
        <is>
          <t>DƯƠNG ĐỨC TRUNG</t>
        </is>
      </c>
      <c r="C197" s="45" t="inlineStr">
        <is>
          <t>Công nghệ thông tin 3 K66</t>
        </is>
      </c>
      <c r="D197" s="46">
        <f>SUMIFS('Chi Tiết Học Phí'!$H$4:$H$1023,'Chi Tiết Học Phí'!$A$4:$A$1023,A197)</f>
        <v/>
      </c>
      <c r="E197" s="46">
        <f>SUMIFS('Chi Tiết Học Phí'!$J$4:$J$1023,'Chi Tiết Học Phí'!$A$4:$A$1023,A197)</f>
        <v/>
      </c>
      <c r="F197" s="46">
        <f>SUMIFS('Chi Tiết Học Phí'!$K$4:$K$1023,'Chi Tiết Học Phí'!$A$4:$A$1023,A197)</f>
        <v/>
      </c>
      <c r="G197" s="46">
        <f>SUMIFS('Chi Tiết Học Phí'!$L$4:$L$1023,'Chi Tiết Học Phí'!$A$4:$A$1023,A197)</f>
        <v/>
      </c>
      <c r="H197" s="46">
        <f>SUMIFS('Chi Tiết Học Phí'!$M$4:$M$1023,'Chi Tiết Học Phí'!$A$4:$A$1023,A197)-SUMIFS('Chi Tiết Học Phí'!$N$4:$N$1023,'Chi Tiết Học Phí'!$A$4:$A$1023,A197)</f>
        <v/>
      </c>
      <c r="I197" s="46">
        <f>SUMIFS('Chi Tiết Học Phí'!$O$4:$O$1023,'Chi Tiết Học Phí'!$A$4:$A$1023,A197)</f>
        <v/>
      </c>
      <c r="J197" s="46">
        <f>SUMIFS('Chi Tiết Học Phí'!$P$4:$P$1023,'Chi Tiết Học Phí'!$A$4:$A$1023,A197)</f>
        <v/>
      </c>
      <c r="K197" s="45">
        <f>IF(J197&gt;0,"Còn nợ","Đã hoàn thành")</f>
        <v/>
      </c>
    </row>
    <row r="198">
      <c r="A198" s="45" t="inlineStr">
        <is>
          <t>251230990</t>
        </is>
      </c>
      <c r="B198" s="45" t="inlineStr">
        <is>
          <t>LÊ QUANG TÚ</t>
        </is>
      </c>
      <c r="C198" s="45" t="inlineStr">
        <is>
          <t>Công nghệ thông tin 3 K66</t>
        </is>
      </c>
      <c r="D198" s="46">
        <f>SUMIFS('Chi Tiết Học Phí'!$H$4:$H$1023,'Chi Tiết Học Phí'!$A$4:$A$1023,A198)</f>
        <v/>
      </c>
      <c r="E198" s="46">
        <f>SUMIFS('Chi Tiết Học Phí'!$J$4:$J$1023,'Chi Tiết Học Phí'!$A$4:$A$1023,A198)</f>
        <v/>
      </c>
      <c r="F198" s="46">
        <f>SUMIFS('Chi Tiết Học Phí'!$K$4:$K$1023,'Chi Tiết Học Phí'!$A$4:$A$1023,A198)</f>
        <v/>
      </c>
      <c r="G198" s="46">
        <f>SUMIFS('Chi Tiết Học Phí'!$L$4:$L$1023,'Chi Tiết Học Phí'!$A$4:$A$1023,A198)</f>
        <v/>
      </c>
      <c r="H198" s="46">
        <f>SUMIFS('Chi Tiết Học Phí'!$M$4:$M$1023,'Chi Tiết Học Phí'!$A$4:$A$1023,A198)-SUMIFS('Chi Tiết Học Phí'!$N$4:$N$1023,'Chi Tiết Học Phí'!$A$4:$A$1023,A198)</f>
        <v/>
      </c>
      <c r="I198" s="46">
        <f>SUMIFS('Chi Tiết Học Phí'!$O$4:$O$1023,'Chi Tiết Học Phí'!$A$4:$A$1023,A198)</f>
        <v/>
      </c>
      <c r="J198" s="46">
        <f>SUMIFS('Chi Tiết Học Phí'!$P$4:$P$1023,'Chi Tiết Học Phí'!$A$4:$A$1023,A198)</f>
        <v/>
      </c>
      <c r="K198" s="45">
        <f>IF(J198&gt;0,"Còn nợ","Đã hoàn thành")</f>
        <v/>
      </c>
    </row>
    <row r="199">
      <c r="A199" s="45" t="inlineStr">
        <is>
          <t>251210991</t>
        </is>
      </c>
      <c r="B199" s="45" t="inlineStr">
        <is>
          <t>LÊ TUẤN TÚ</t>
        </is>
      </c>
      <c r="C199" s="45" t="inlineStr">
        <is>
          <t>Công nghệ thông tin 3 K66</t>
        </is>
      </c>
      <c r="D199" s="46">
        <f>SUMIFS('Chi Tiết Học Phí'!$H$4:$H$1023,'Chi Tiết Học Phí'!$A$4:$A$1023,A199)</f>
        <v/>
      </c>
      <c r="E199" s="46">
        <f>SUMIFS('Chi Tiết Học Phí'!$J$4:$J$1023,'Chi Tiết Học Phí'!$A$4:$A$1023,A199)</f>
        <v/>
      </c>
      <c r="F199" s="46">
        <f>SUMIFS('Chi Tiết Học Phí'!$K$4:$K$1023,'Chi Tiết Học Phí'!$A$4:$A$1023,A199)</f>
        <v/>
      </c>
      <c r="G199" s="46">
        <f>SUMIFS('Chi Tiết Học Phí'!$L$4:$L$1023,'Chi Tiết Học Phí'!$A$4:$A$1023,A199)</f>
        <v/>
      </c>
      <c r="H199" s="46">
        <f>SUMIFS('Chi Tiết Học Phí'!$M$4:$M$1023,'Chi Tiết Học Phí'!$A$4:$A$1023,A199)-SUMIFS('Chi Tiết Học Phí'!$N$4:$N$1023,'Chi Tiết Học Phí'!$A$4:$A$1023,A199)</f>
        <v/>
      </c>
      <c r="I199" s="46">
        <f>SUMIFS('Chi Tiết Học Phí'!$O$4:$O$1023,'Chi Tiết Học Phí'!$A$4:$A$1023,A199)</f>
        <v/>
      </c>
      <c r="J199" s="46">
        <f>SUMIFS('Chi Tiết Học Phí'!$P$4:$P$1023,'Chi Tiết Học Phí'!$A$4:$A$1023,A199)</f>
        <v/>
      </c>
      <c r="K199" s="45">
        <f>IF(J199&gt;0,"Còn nợ","Đã hoàn thành")</f>
        <v/>
      </c>
    </row>
    <row r="200">
      <c r="A200" s="45" t="inlineStr">
        <is>
          <t>251210998</t>
        </is>
      </c>
      <c r="B200" s="45" t="inlineStr">
        <is>
          <t>NGUYỄN HỒNG LONG VIỆT</t>
        </is>
      </c>
      <c r="C200" s="45" t="inlineStr">
        <is>
          <t>Công nghệ thông tin 3 K66</t>
        </is>
      </c>
      <c r="D200" s="46">
        <f>SUMIFS('Chi Tiết Học Phí'!$H$4:$H$1023,'Chi Tiết Học Phí'!$A$4:$A$1023,A200)</f>
        <v/>
      </c>
      <c r="E200" s="46">
        <f>SUMIFS('Chi Tiết Học Phí'!$J$4:$J$1023,'Chi Tiết Học Phí'!$A$4:$A$1023,A200)</f>
        <v/>
      </c>
      <c r="F200" s="46">
        <f>SUMIFS('Chi Tiết Học Phí'!$K$4:$K$1023,'Chi Tiết Học Phí'!$A$4:$A$1023,A200)</f>
        <v/>
      </c>
      <c r="G200" s="46">
        <f>SUMIFS('Chi Tiết Học Phí'!$L$4:$L$1023,'Chi Tiết Học Phí'!$A$4:$A$1023,A200)</f>
        <v/>
      </c>
      <c r="H200" s="46">
        <f>SUMIFS('Chi Tiết Học Phí'!$M$4:$M$1023,'Chi Tiết Học Phí'!$A$4:$A$1023,A200)-SUMIFS('Chi Tiết Học Phí'!$N$4:$N$1023,'Chi Tiết Học Phí'!$A$4:$A$1023,A200)</f>
        <v/>
      </c>
      <c r="I200" s="46">
        <f>SUMIFS('Chi Tiết Học Phí'!$O$4:$O$1023,'Chi Tiết Học Phí'!$A$4:$A$1023,A200)</f>
        <v/>
      </c>
      <c r="J200" s="46">
        <f>SUMIFS('Chi Tiết Học Phí'!$P$4:$P$1023,'Chi Tiết Học Phí'!$A$4:$A$1023,A200)</f>
        <v/>
      </c>
      <c r="K200" s="45">
        <f>IF(J200&gt;0,"Còn nợ","Đã hoàn thành")</f>
        <v/>
      </c>
    </row>
    <row r="201">
      <c r="A201" s="45" t="inlineStr">
        <is>
          <t>251211000</t>
        </is>
      </c>
      <c r="B201" s="45" t="inlineStr">
        <is>
          <t>HOÀNG KHÁNH VINH</t>
        </is>
      </c>
      <c r="C201" s="45" t="inlineStr">
        <is>
          <t>Công nghệ thông tin 3 K66</t>
        </is>
      </c>
      <c r="D201" s="46">
        <f>SUMIFS('Chi Tiết Học Phí'!$H$4:$H$1023,'Chi Tiết Học Phí'!$A$4:$A$1023,A201)</f>
        <v/>
      </c>
      <c r="E201" s="46">
        <f>SUMIFS('Chi Tiết Học Phí'!$J$4:$J$1023,'Chi Tiết Học Phí'!$A$4:$A$1023,A201)</f>
        <v/>
      </c>
      <c r="F201" s="46">
        <f>SUMIFS('Chi Tiết Học Phí'!$K$4:$K$1023,'Chi Tiết Học Phí'!$A$4:$A$1023,A201)</f>
        <v/>
      </c>
      <c r="G201" s="46">
        <f>SUMIFS('Chi Tiết Học Phí'!$L$4:$L$1023,'Chi Tiết Học Phí'!$A$4:$A$1023,A201)</f>
        <v/>
      </c>
      <c r="H201" s="46">
        <f>SUMIFS('Chi Tiết Học Phí'!$M$4:$M$1023,'Chi Tiết Học Phí'!$A$4:$A$1023,A201)-SUMIFS('Chi Tiết Học Phí'!$N$4:$N$1023,'Chi Tiết Học Phí'!$A$4:$A$1023,A201)</f>
        <v/>
      </c>
      <c r="I201" s="46">
        <f>SUMIFS('Chi Tiết Học Phí'!$O$4:$O$1023,'Chi Tiết Học Phí'!$A$4:$A$1023,A201)</f>
        <v/>
      </c>
      <c r="J201" s="46">
        <f>SUMIFS('Chi Tiết Học Phí'!$P$4:$P$1023,'Chi Tiết Học Phí'!$A$4:$A$1023,A201)</f>
        <v/>
      </c>
      <c r="K201" s="45">
        <f>IF(J201&gt;0,"Còn nợ","Đã hoàn thành")</f>
        <v/>
      </c>
    </row>
    <row r="202">
      <c r="A202" s="45" t="inlineStr">
        <is>
          <t>253610642</t>
        </is>
      </c>
      <c r="B202" s="45" t="inlineStr">
        <is>
          <t>NGUYỄN ĐỨC AN</t>
        </is>
      </c>
      <c r="C202" s="45" t="inlineStr">
        <is>
          <t>Khoa học máy tính K66</t>
        </is>
      </c>
      <c r="D202" s="46">
        <f>SUMIFS('Chi Tiết Học Phí'!$H$4:$H$1023,'Chi Tiết Học Phí'!$A$4:$A$1023,A202)</f>
        <v/>
      </c>
      <c r="E202" s="46">
        <f>SUMIFS('Chi Tiết Học Phí'!$J$4:$J$1023,'Chi Tiết Học Phí'!$A$4:$A$1023,A202)</f>
        <v/>
      </c>
      <c r="F202" s="46">
        <f>SUMIFS('Chi Tiết Học Phí'!$K$4:$K$1023,'Chi Tiết Học Phí'!$A$4:$A$1023,A202)</f>
        <v/>
      </c>
      <c r="G202" s="46">
        <f>SUMIFS('Chi Tiết Học Phí'!$L$4:$L$1023,'Chi Tiết Học Phí'!$A$4:$A$1023,A202)</f>
        <v/>
      </c>
      <c r="H202" s="46">
        <f>SUMIFS('Chi Tiết Học Phí'!$M$4:$M$1023,'Chi Tiết Học Phí'!$A$4:$A$1023,A202)-SUMIFS('Chi Tiết Học Phí'!$N$4:$N$1023,'Chi Tiết Học Phí'!$A$4:$A$1023,A202)</f>
        <v/>
      </c>
      <c r="I202" s="46">
        <f>SUMIFS('Chi Tiết Học Phí'!$O$4:$O$1023,'Chi Tiết Học Phí'!$A$4:$A$1023,A202)</f>
        <v/>
      </c>
      <c r="J202" s="46">
        <f>SUMIFS('Chi Tiết Học Phí'!$P$4:$P$1023,'Chi Tiết Học Phí'!$A$4:$A$1023,A202)</f>
        <v/>
      </c>
      <c r="K202" s="45">
        <f>IF(J202&gt;0,"Còn nợ","Đã hoàn thành")</f>
        <v/>
      </c>
    </row>
    <row r="203">
      <c r="A203" s="45" t="inlineStr">
        <is>
          <t>243630565</t>
        </is>
      </c>
      <c r="B203" s="45" t="inlineStr">
        <is>
          <t>Nguyễn Hồng An</t>
        </is>
      </c>
      <c r="C203" s="45" t="inlineStr">
        <is>
          <t>Khoa học máy tính K66</t>
        </is>
      </c>
      <c r="D203" s="46">
        <f>SUMIFS('Chi Tiết Học Phí'!$H$4:$H$1023,'Chi Tiết Học Phí'!$A$4:$A$1023,A203)</f>
        <v/>
      </c>
      <c r="E203" s="46">
        <f>SUMIFS('Chi Tiết Học Phí'!$J$4:$J$1023,'Chi Tiết Học Phí'!$A$4:$A$1023,A203)</f>
        <v/>
      </c>
      <c r="F203" s="46">
        <f>SUMIFS('Chi Tiết Học Phí'!$K$4:$K$1023,'Chi Tiết Học Phí'!$A$4:$A$1023,A203)</f>
        <v/>
      </c>
      <c r="G203" s="46">
        <f>SUMIFS('Chi Tiết Học Phí'!$L$4:$L$1023,'Chi Tiết Học Phí'!$A$4:$A$1023,A203)</f>
        <v/>
      </c>
      <c r="H203" s="46">
        <f>SUMIFS('Chi Tiết Học Phí'!$M$4:$M$1023,'Chi Tiết Học Phí'!$A$4:$A$1023,A203)-SUMIFS('Chi Tiết Học Phí'!$N$4:$N$1023,'Chi Tiết Học Phí'!$A$4:$A$1023,A203)</f>
        <v/>
      </c>
      <c r="I203" s="46">
        <f>SUMIFS('Chi Tiết Học Phí'!$O$4:$O$1023,'Chi Tiết Học Phí'!$A$4:$A$1023,A203)</f>
        <v/>
      </c>
      <c r="J203" s="46">
        <f>SUMIFS('Chi Tiết Học Phí'!$P$4:$P$1023,'Chi Tiết Học Phí'!$A$4:$A$1023,A203)</f>
        <v/>
      </c>
      <c r="K203" s="45">
        <f>IF(J203&gt;0,"Còn nợ","Đã hoàn thành")</f>
        <v/>
      </c>
    </row>
    <row r="204">
      <c r="A204" s="45" t="inlineStr">
        <is>
          <t>253610643</t>
        </is>
      </c>
      <c r="B204" s="45" t="inlineStr">
        <is>
          <t>CAO HOÀNG ANH</t>
        </is>
      </c>
      <c r="C204" s="45" t="inlineStr">
        <is>
          <t>Khoa học máy tính K66</t>
        </is>
      </c>
      <c r="D204" s="46">
        <f>SUMIFS('Chi Tiết Học Phí'!$H$4:$H$1023,'Chi Tiết Học Phí'!$A$4:$A$1023,A204)</f>
        <v/>
      </c>
      <c r="E204" s="46">
        <f>SUMIFS('Chi Tiết Học Phí'!$J$4:$J$1023,'Chi Tiết Học Phí'!$A$4:$A$1023,A204)</f>
        <v/>
      </c>
      <c r="F204" s="46">
        <f>SUMIFS('Chi Tiết Học Phí'!$K$4:$K$1023,'Chi Tiết Học Phí'!$A$4:$A$1023,A204)</f>
        <v/>
      </c>
      <c r="G204" s="46">
        <f>SUMIFS('Chi Tiết Học Phí'!$L$4:$L$1023,'Chi Tiết Học Phí'!$A$4:$A$1023,A204)</f>
        <v/>
      </c>
      <c r="H204" s="46">
        <f>SUMIFS('Chi Tiết Học Phí'!$M$4:$M$1023,'Chi Tiết Học Phí'!$A$4:$A$1023,A204)-SUMIFS('Chi Tiết Học Phí'!$N$4:$N$1023,'Chi Tiết Học Phí'!$A$4:$A$1023,A204)</f>
        <v/>
      </c>
      <c r="I204" s="46">
        <f>SUMIFS('Chi Tiết Học Phí'!$O$4:$O$1023,'Chi Tiết Học Phí'!$A$4:$A$1023,A204)</f>
        <v/>
      </c>
      <c r="J204" s="46">
        <f>SUMIFS('Chi Tiết Học Phí'!$P$4:$P$1023,'Chi Tiết Học Phí'!$A$4:$A$1023,A204)</f>
        <v/>
      </c>
      <c r="K204" s="45">
        <f>IF(J204&gt;0,"Còn nợ","Đã hoàn thành")</f>
        <v/>
      </c>
    </row>
    <row r="205">
      <c r="A205" s="45" t="inlineStr">
        <is>
          <t>253610644</t>
        </is>
      </c>
      <c r="B205" s="45" t="inlineStr">
        <is>
          <t>MAI NGỌC HÙNG ANH</t>
        </is>
      </c>
      <c r="C205" s="45" t="inlineStr">
        <is>
          <t>Khoa học máy tính K66</t>
        </is>
      </c>
      <c r="D205" s="46">
        <f>SUMIFS('Chi Tiết Học Phí'!$H$4:$H$1023,'Chi Tiết Học Phí'!$A$4:$A$1023,A205)</f>
        <v/>
      </c>
      <c r="E205" s="46">
        <f>SUMIFS('Chi Tiết Học Phí'!$J$4:$J$1023,'Chi Tiết Học Phí'!$A$4:$A$1023,A205)</f>
        <v/>
      </c>
      <c r="F205" s="46">
        <f>SUMIFS('Chi Tiết Học Phí'!$K$4:$K$1023,'Chi Tiết Học Phí'!$A$4:$A$1023,A205)</f>
        <v/>
      </c>
      <c r="G205" s="46">
        <f>SUMIFS('Chi Tiết Học Phí'!$L$4:$L$1023,'Chi Tiết Học Phí'!$A$4:$A$1023,A205)</f>
        <v/>
      </c>
      <c r="H205" s="46">
        <f>SUMIFS('Chi Tiết Học Phí'!$M$4:$M$1023,'Chi Tiết Học Phí'!$A$4:$A$1023,A205)-SUMIFS('Chi Tiết Học Phí'!$N$4:$N$1023,'Chi Tiết Học Phí'!$A$4:$A$1023,A205)</f>
        <v/>
      </c>
      <c r="I205" s="46">
        <f>SUMIFS('Chi Tiết Học Phí'!$O$4:$O$1023,'Chi Tiết Học Phí'!$A$4:$A$1023,A205)</f>
        <v/>
      </c>
      <c r="J205" s="46">
        <f>SUMIFS('Chi Tiết Học Phí'!$P$4:$P$1023,'Chi Tiết Học Phí'!$A$4:$A$1023,A205)</f>
        <v/>
      </c>
      <c r="K205" s="45">
        <f>IF(J205&gt;0,"Còn nợ","Đã hoàn thành")</f>
        <v/>
      </c>
    </row>
    <row r="206">
      <c r="A206" s="45" t="inlineStr">
        <is>
          <t>253630646</t>
        </is>
      </c>
      <c r="B206" s="45" t="inlineStr">
        <is>
          <t>NGUYỄN VIỆT ANH</t>
        </is>
      </c>
      <c r="C206" s="45" t="inlineStr">
        <is>
          <t>Khoa học máy tính K66</t>
        </is>
      </c>
      <c r="D206" s="46">
        <f>SUMIFS('Chi Tiết Học Phí'!$H$4:$H$1023,'Chi Tiết Học Phí'!$A$4:$A$1023,A206)</f>
        <v/>
      </c>
      <c r="E206" s="46">
        <f>SUMIFS('Chi Tiết Học Phí'!$J$4:$J$1023,'Chi Tiết Học Phí'!$A$4:$A$1023,A206)</f>
        <v/>
      </c>
      <c r="F206" s="46">
        <f>SUMIFS('Chi Tiết Học Phí'!$K$4:$K$1023,'Chi Tiết Học Phí'!$A$4:$A$1023,A206)</f>
        <v/>
      </c>
      <c r="G206" s="46">
        <f>SUMIFS('Chi Tiết Học Phí'!$L$4:$L$1023,'Chi Tiết Học Phí'!$A$4:$A$1023,A206)</f>
        <v/>
      </c>
      <c r="H206" s="46">
        <f>SUMIFS('Chi Tiết Học Phí'!$M$4:$M$1023,'Chi Tiết Học Phí'!$A$4:$A$1023,A206)-SUMIFS('Chi Tiết Học Phí'!$N$4:$N$1023,'Chi Tiết Học Phí'!$A$4:$A$1023,A206)</f>
        <v/>
      </c>
      <c r="I206" s="46">
        <f>SUMIFS('Chi Tiết Học Phí'!$O$4:$O$1023,'Chi Tiết Học Phí'!$A$4:$A$1023,A206)</f>
        <v/>
      </c>
      <c r="J206" s="46">
        <f>SUMIFS('Chi Tiết Học Phí'!$P$4:$P$1023,'Chi Tiết Học Phí'!$A$4:$A$1023,A206)</f>
        <v/>
      </c>
      <c r="K206" s="45">
        <f>IF(J206&gt;0,"Còn nợ","Đã hoàn thành")</f>
        <v/>
      </c>
    </row>
    <row r="207">
      <c r="A207" s="45" t="inlineStr">
        <is>
          <t>253610647</t>
        </is>
      </c>
      <c r="B207" s="45" t="inlineStr">
        <is>
          <t>TĂNG XUÂN ANH</t>
        </is>
      </c>
      <c r="C207" s="45" t="inlineStr">
        <is>
          <t>Khoa học máy tính K66</t>
        </is>
      </c>
      <c r="D207" s="46">
        <f>SUMIFS('Chi Tiết Học Phí'!$H$4:$H$1023,'Chi Tiết Học Phí'!$A$4:$A$1023,A207)</f>
        <v/>
      </c>
      <c r="E207" s="46">
        <f>SUMIFS('Chi Tiết Học Phí'!$J$4:$J$1023,'Chi Tiết Học Phí'!$A$4:$A$1023,A207)</f>
        <v/>
      </c>
      <c r="F207" s="46">
        <f>SUMIFS('Chi Tiết Học Phí'!$K$4:$K$1023,'Chi Tiết Học Phí'!$A$4:$A$1023,A207)</f>
        <v/>
      </c>
      <c r="G207" s="46">
        <f>SUMIFS('Chi Tiết Học Phí'!$L$4:$L$1023,'Chi Tiết Học Phí'!$A$4:$A$1023,A207)</f>
        <v/>
      </c>
      <c r="H207" s="46">
        <f>SUMIFS('Chi Tiết Học Phí'!$M$4:$M$1023,'Chi Tiết Học Phí'!$A$4:$A$1023,A207)-SUMIFS('Chi Tiết Học Phí'!$N$4:$N$1023,'Chi Tiết Học Phí'!$A$4:$A$1023,A207)</f>
        <v/>
      </c>
      <c r="I207" s="46">
        <f>SUMIFS('Chi Tiết Học Phí'!$O$4:$O$1023,'Chi Tiết Học Phí'!$A$4:$A$1023,A207)</f>
        <v/>
      </c>
      <c r="J207" s="46">
        <f>SUMIFS('Chi Tiết Học Phí'!$P$4:$P$1023,'Chi Tiết Học Phí'!$A$4:$A$1023,A207)</f>
        <v/>
      </c>
      <c r="K207" s="45">
        <f>IF(J207&gt;0,"Còn nợ","Đã hoàn thành")</f>
        <v/>
      </c>
    </row>
    <row r="208">
      <c r="A208" s="45" t="inlineStr">
        <is>
          <t>253610648</t>
        </is>
      </c>
      <c r="B208" s="45" t="inlineStr">
        <is>
          <t>VŨ MAI ANH</t>
        </is>
      </c>
      <c r="C208" s="45" t="inlineStr">
        <is>
          <t>Khoa học máy tính K66</t>
        </is>
      </c>
      <c r="D208" s="46">
        <f>SUMIFS('Chi Tiết Học Phí'!$H$4:$H$1023,'Chi Tiết Học Phí'!$A$4:$A$1023,A208)</f>
        <v/>
      </c>
      <c r="E208" s="46">
        <f>SUMIFS('Chi Tiết Học Phí'!$J$4:$J$1023,'Chi Tiết Học Phí'!$A$4:$A$1023,A208)</f>
        <v/>
      </c>
      <c r="F208" s="46">
        <f>SUMIFS('Chi Tiết Học Phí'!$K$4:$K$1023,'Chi Tiết Học Phí'!$A$4:$A$1023,A208)</f>
        <v/>
      </c>
      <c r="G208" s="46">
        <f>SUMIFS('Chi Tiết Học Phí'!$L$4:$L$1023,'Chi Tiết Học Phí'!$A$4:$A$1023,A208)</f>
        <v/>
      </c>
      <c r="H208" s="46">
        <f>SUMIFS('Chi Tiết Học Phí'!$M$4:$M$1023,'Chi Tiết Học Phí'!$A$4:$A$1023,A208)-SUMIFS('Chi Tiết Học Phí'!$N$4:$N$1023,'Chi Tiết Học Phí'!$A$4:$A$1023,A208)</f>
        <v/>
      </c>
      <c r="I208" s="46">
        <f>SUMIFS('Chi Tiết Học Phí'!$O$4:$O$1023,'Chi Tiết Học Phí'!$A$4:$A$1023,A208)</f>
        <v/>
      </c>
      <c r="J208" s="46">
        <f>SUMIFS('Chi Tiết Học Phí'!$P$4:$P$1023,'Chi Tiết Học Phí'!$A$4:$A$1023,A208)</f>
        <v/>
      </c>
      <c r="K208" s="45">
        <f>IF(J208&gt;0,"Còn nợ","Đã hoàn thành")</f>
        <v/>
      </c>
    </row>
    <row r="209">
      <c r="A209" s="45" t="inlineStr">
        <is>
          <t>253630650</t>
        </is>
      </c>
      <c r="B209" s="45" t="inlineStr">
        <is>
          <t>NGUYỄN LÊ BẢO CHÂU</t>
        </is>
      </c>
      <c r="C209" s="45" t="inlineStr">
        <is>
          <t>Khoa học máy tính K66</t>
        </is>
      </c>
      <c r="D209" s="46">
        <f>SUMIFS('Chi Tiết Học Phí'!$H$4:$H$1023,'Chi Tiết Học Phí'!$A$4:$A$1023,A209)</f>
        <v/>
      </c>
      <c r="E209" s="46">
        <f>SUMIFS('Chi Tiết Học Phí'!$J$4:$J$1023,'Chi Tiết Học Phí'!$A$4:$A$1023,A209)</f>
        <v/>
      </c>
      <c r="F209" s="46">
        <f>SUMIFS('Chi Tiết Học Phí'!$K$4:$K$1023,'Chi Tiết Học Phí'!$A$4:$A$1023,A209)</f>
        <v/>
      </c>
      <c r="G209" s="46">
        <f>SUMIFS('Chi Tiết Học Phí'!$L$4:$L$1023,'Chi Tiết Học Phí'!$A$4:$A$1023,A209)</f>
        <v/>
      </c>
      <c r="H209" s="46">
        <f>SUMIFS('Chi Tiết Học Phí'!$M$4:$M$1023,'Chi Tiết Học Phí'!$A$4:$A$1023,A209)-SUMIFS('Chi Tiết Học Phí'!$N$4:$N$1023,'Chi Tiết Học Phí'!$A$4:$A$1023,A209)</f>
        <v/>
      </c>
      <c r="I209" s="46">
        <f>SUMIFS('Chi Tiết Học Phí'!$O$4:$O$1023,'Chi Tiết Học Phí'!$A$4:$A$1023,A209)</f>
        <v/>
      </c>
      <c r="J209" s="46">
        <f>SUMIFS('Chi Tiết Học Phí'!$P$4:$P$1023,'Chi Tiết Học Phí'!$A$4:$A$1023,A209)</f>
        <v/>
      </c>
      <c r="K209" s="45">
        <f>IF(J209&gt;0,"Còn nợ","Đã hoàn thành")</f>
        <v/>
      </c>
    </row>
    <row r="210">
      <c r="A210" s="45" t="inlineStr">
        <is>
          <t>253630651</t>
        </is>
      </c>
      <c r="B210" s="45" t="inlineStr">
        <is>
          <t>TRƯƠNG THỊ MINH CHÂU</t>
        </is>
      </c>
      <c r="C210" s="45" t="inlineStr">
        <is>
          <t>Khoa học máy tính K66</t>
        </is>
      </c>
      <c r="D210" s="46">
        <f>SUMIFS('Chi Tiết Học Phí'!$H$4:$H$1023,'Chi Tiết Học Phí'!$A$4:$A$1023,A210)</f>
        <v/>
      </c>
      <c r="E210" s="46">
        <f>SUMIFS('Chi Tiết Học Phí'!$J$4:$J$1023,'Chi Tiết Học Phí'!$A$4:$A$1023,A210)</f>
        <v/>
      </c>
      <c r="F210" s="46">
        <f>SUMIFS('Chi Tiết Học Phí'!$K$4:$K$1023,'Chi Tiết Học Phí'!$A$4:$A$1023,A210)</f>
        <v/>
      </c>
      <c r="G210" s="46">
        <f>SUMIFS('Chi Tiết Học Phí'!$L$4:$L$1023,'Chi Tiết Học Phí'!$A$4:$A$1023,A210)</f>
        <v/>
      </c>
      <c r="H210" s="46">
        <f>SUMIFS('Chi Tiết Học Phí'!$M$4:$M$1023,'Chi Tiết Học Phí'!$A$4:$A$1023,A210)-SUMIFS('Chi Tiết Học Phí'!$N$4:$N$1023,'Chi Tiết Học Phí'!$A$4:$A$1023,A210)</f>
        <v/>
      </c>
      <c r="I210" s="46">
        <f>SUMIFS('Chi Tiết Học Phí'!$O$4:$O$1023,'Chi Tiết Học Phí'!$A$4:$A$1023,A210)</f>
        <v/>
      </c>
      <c r="J210" s="46">
        <f>SUMIFS('Chi Tiết Học Phí'!$P$4:$P$1023,'Chi Tiết Học Phí'!$A$4:$A$1023,A210)</f>
        <v/>
      </c>
      <c r="K210" s="45">
        <f>IF(J210&gt;0,"Còn nợ","Đã hoàn thành")</f>
        <v/>
      </c>
    </row>
    <row r="211">
      <c r="A211" s="45" t="inlineStr">
        <is>
          <t>253630652</t>
        </is>
      </c>
      <c r="B211" s="45" t="inlineStr">
        <is>
          <t>NGUYỄN THÀNH CÔNG</t>
        </is>
      </c>
      <c r="C211" s="45" t="inlineStr">
        <is>
          <t>Khoa học máy tính K66</t>
        </is>
      </c>
      <c r="D211" s="46">
        <f>SUMIFS('Chi Tiết Học Phí'!$H$4:$H$1023,'Chi Tiết Học Phí'!$A$4:$A$1023,A211)</f>
        <v/>
      </c>
      <c r="E211" s="46">
        <f>SUMIFS('Chi Tiết Học Phí'!$J$4:$J$1023,'Chi Tiết Học Phí'!$A$4:$A$1023,A211)</f>
        <v/>
      </c>
      <c r="F211" s="46">
        <f>SUMIFS('Chi Tiết Học Phí'!$K$4:$K$1023,'Chi Tiết Học Phí'!$A$4:$A$1023,A211)</f>
        <v/>
      </c>
      <c r="G211" s="46">
        <f>SUMIFS('Chi Tiết Học Phí'!$L$4:$L$1023,'Chi Tiết Học Phí'!$A$4:$A$1023,A211)</f>
        <v/>
      </c>
      <c r="H211" s="46">
        <f>SUMIFS('Chi Tiết Học Phí'!$M$4:$M$1023,'Chi Tiết Học Phí'!$A$4:$A$1023,A211)-SUMIFS('Chi Tiết Học Phí'!$N$4:$N$1023,'Chi Tiết Học Phí'!$A$4:$A$1023,A211)</f>
        <v/>
      </c>
      <c r="I211" s="46">
        <f>SUMIFS('Chi Tiết Học Phí'!$O$4:$O$1023,'Chi Tiết Học Phí'!$A$4:$A$1023,A211)</f>
        <v/>
      </c>
      <c r="J211" s="46">
        <f>SUMIFS('Chi Tiết Học Phí'!$P$4:$P$1023,'Chi Tiết Học Phí'!$A$4:$A$1023,A211)</f>
        <v/>
      </c>
      <c r="K211" s="45">
        <f>IF(J211&gt;0,"Còn nợ","Đã hoàn thành")</f>
        <v/>
      </c>
    </row>
    <row r="212">
      <c r="A212" s="45" t="inlineStr">
        <is>
          <t>253630653</t>
        </is>
      </c>
      <c r="B212" s="45" t="inlineStr">
        <is>
          <t>PHẠM PHÚ CƯỜNG</t>
        </is>
      </c>
      <c r="C212" s="45" t="inlineStr">
        <is>
          <t>Khoa học máy tính K66</t>
        </is>
      </c>
      <c r="D212" s="46">
        <f>SUMIFS('Chi Tiết Học Phí'!$H$4:$H$1023,'Chi Tiết Học Phí'!$A$4:$A$1023,A212)</f>
        <v/>
      </c>
      <c r="E212" s="46">
        <f>SUMIFS('Chi Tiết Học Phí'!$J$4:$J$1023,'Chi Tiết Học Phí'!$A$4:$A$1023,A212)</f>
        <v/>
      </c>
      <c r="F212" s="46">
        <f>SUMIFS('Chi Tiết Học Phí'!$K$4:$K$1023,'Chi Tiết Học Phí'!$A$4:$A$1023,A212)</f>
        <v/>
      </c>
      <c r="G212" s="46">
        <f>SUMIFS('Chi Tiết Học Phí'!$L$4:$L$1023,'Chi Tiết Học Phí'!$A$4:$A$1023,A212)</f>
        <v/>
      </c>
      <c r="H212" s="46">
        <f>SUMIFS('Chi Tiết Học Phí'!$M$4:$M$1023,'Chi Tiết Học Phí'!$A$4:$A$1023,A212)-SUMIFS('Chi Tiết Học Phí'!$N$4:$N$1023,'Chi Tiết Học Phí'!$A$4:$A$1023,A212)</f>
        <v/>
      </c>
      <c r="I212" s="46">
        <f>SUMIFS('Chi Tiết Học Phí'!$O$4:$O$1023,'Chi Tiết Học Phí'!$A$4:$A$1023,A212)</f>
        <v/>
      </c>
      <c r="J212" s="46">
        <f>SUMIFS('Chi Tiết Học Phí'!$P$4:$P$1023,'Chi Tiết Học Phí'!$A$4:$A$1023,A212)</f>
        <v/>
      </c>
      <c r="K212" s="45">
        <f>IF(J212&gt;0,"Còn nợ","Đã hoàn thành")</f>
        <v/>
      </c>
    </row>
    <row r="213">
      <c r="A213" s="45" t="inlineStr">
        <is>
          <t>253630654</t>
        </is>
      </c>
      <c r="B213" s="45" t="inlineStr">
        <is>
          <t>ĐỖ ĐĂNG DŨNG</t>
        </is>
      </c>
      <c r="C213" s="45" t="inlineStr">
        <is>
          <t>Khoa học máy tính K66</t>
        </is>
      </c>
      <c r="D213" s="46">
        <f>SUMIFS('Chi Tiết Học Phí'!$H$4:$H$1023,'Chi Tiết Học Phí'!$A$4:$A$1023,A213)</f>
        <v/>
      </c>
      <c r="E213" s="46">
        <f>SUMIFS('Chi Tiết Học Phí'!$J$4:$J$1023,'Chi Tiết Học Phí'!$A$4:$A$1023,A213)</f>
        <v/>
      </c>
      <c r="F213" s="46">
        <f>SUMIFS('Chi Tiết Học Phí'!$K$4:$K$1023,'Chi Tiết Học Phí'!$A$4:$A$1023,A213)</f>
        <v/>
      </c>
      <c r="G213" s="46">
        <f>SUMIFS('Chi Tiết Học Phí'!$L$4:$L$1023,'Chi Tiết Học Phí'!$A$4:$A$1023,A213)</f>
        <v/>
      </c>
      <c r="H213" s="46">
        <f>SUMIFS('Chi Tiết Học Phí'!$M$4:$M$1023,'Chi Tiết Học Phí'!$A$4:$A$1023,A213)-SUMIFS('Chi Tiết Học Phí'!$N$4:$N$1023,'Chi Tiết Học Phí'!$A$4:$A$1023,A213)</f>
        <v/>
      </c>
      <c r="I213" s="46">
        <f>SUMIFS('Chi Tiết Học Phí'!$O$4:$O$1023,'Chi Tiết Học Phí'!$A$4:$A$1023,A213)</f>
        <v/>
      </c>
      <c r="J213" s="46">
        <f>SUMIFS('Chi Tiết Học Phí'!$P$4:$P$1023,'Chi Tiết Học Phí'!$A$4:$A$1023,A213)</f>
        <v/>
      </c>
      <c r="K213" s="45">
        <f>IF(J213&gt;0,"Còn nợ","Đã hoàn thành")</f>
        <v/>
      </c>
    </row>
    <row r="214">
      <c r="A214" s="45" t="inlineStr">
        <is>
          <t>253630655</t>
        </is>
      </c>
      <c r="B214" s="45" t="inlineStr">
        <is>
          <t>LÊ ĐÌNH DŨNG</t>
        </is>
      </c>
      <c r="C214" s="45" t="inlineStr">
        <is>
          <t>Khoa học máy tính K66</t>
        </is>
      </c>
      <c r="D214" s="46">
        <f>SUMIFS('Chi Tiết Học Phí'!$H$4:$H$1023,'Chi Tiết Học Phí'!$A$4:$A$1023,A214)</f>
        <v/>
      </c>
      <c r="E214" s="46">
        <f>SUMIFS('Chi Tiết Học Phí'!$J$4:$J$1023,'Chi Tiết Học Phí'!$A$4:$A$1023,A214)</f>
        <v/>
      </c>
      <c r="F214" s="46">
        <f>SUMIFS('Chi Tiết Học Phí'!$K$4:$K$1023,'Chi Tiết Học Phí'!$A$4:$A$1023,A214)</f>
        <v/>
      </c>
      <c r="G214" s="46">
        <f>SUMIFS('Chi Tiết Học Phí'!$L$4:$L$1023,'Chi Tiết Học Phí'!$A$4:$A$1023,A214)</f>
        <v/>
      </c>
      <c r="H214" s="46">
        <f>SUMIFS('Chi Tiết Học Phí'!$M$4:$M$1023,'Chi Tiết Học Phí'!$A$4:$A$1023,A214)-SUMIFS('Chi Tiết Học Phí'!$N$4:$N$1023,'Chi Tiết Học Phí'!$A$4:$A$1023,A214)</f>
        <v/>
      </c>
      <c r="I214" s="46">
        <f>SUMIFS('Chi Tiết Học Phí'!$O$4:$O$1023,'Chi Tiết Học Phí'!$A$4:$A$1023,A214)</f>
        <v/>
      </c>
      <c r="J214" s="46">
        <f>SUMIFS('Chi Tiết Học Phí'!$P$4:$P$1023,'Chi Tiết Học Phí'!$A$4:$A$1023,A214)</f>
        <v/>
      </c>
      <c r="K214" s="45">
        <f>IF(J214&gt;0,"Còn nợ","Đã hoàn thành")</f>
        <v/>
      </c>
    </row>
    <row r="215">
      <c r="A215" s="45" t="inlineStr">
        <is>
          <t>253630656</t>
        </is>
      </c>
      <c r="B215" s="45" t="inlineStr">
        <is>
          <t>NGUYỄN MẠNH DŨNG</t>
        </is>
      </c>
      <c r="C215" s="45" t="inlineStr">
        <is>
          <t>Khoa học máy tính K66</t>
        </is>
      </c>
      <c r="D215" s="46">
        <f>SUMIFS('Chi Tiết Học Phí'!$H$4:$H$1023,'Chi Tiết Học Phí'!$A$4:$A$1023,A215)</f>
        <v/>
      </c>
      <c r="E215" s="46">
        <f>SUMIFS('Chi Tiết Học Phí'!$J$4:$J$1023,'Chi Tiết Học Phí'!$A$4:$A$1023,A215)</f>
        <v/>
      </c>
      <c r="F215" s="46">
        <f>SUMIFS('Chi Tiết Học Phí'!$K$4:$K$1023,'Chi Tiết Học Phí'!$A$4:$A$1023,A215)</f>
        <v/>
      </c>
      <c r="G215" s="46">
        <f>SUMIFS('Chi Tiết Học Phí'!$L$4:$L$1023,'Chi Tiết Học Phí'!$A$4:$A$1023,A215)</f>
        <v/>
      </c>
      <c r="H215" s="46">
        <f>SUMIFS('Chi Tiết Học Phí'!$M$4:$M$1023,'Chi Tiết Học Phí'!$A$4:$A$1023,A215)-SUMIFS('Chi Tiết Học Phí'!$N$4:$N$1023,'Chi Tiết Học Phí'!$A$4:$A$1023,A215)</f>
        <v/>
      </c>
      <c r="I215" s="46">
        <f>SUMIFS('Chi Tiết Học Phí'!$O$4:$O$1023,'Chi Tiết Học Phí'!$A$4:$A$1023,A215)</f>
        <v/>
      </c>
      <c r="J215" s="46">
        <f>SUMIFS('Chi Tiết Học Phí'!$P$4:$P$1023,'Chi Tiết Học Phí'!$A$4:$A$1023,A215)</f>
        <v/>
      </c>
      <c r="K215" s="45">
        <f>IF(J215&gt;0,"Còn nợ","Đã hoàn thành")</f>
        <v/>
      </c>
    </row>
    <row r="216">
      <c r="A216" s="45" t="inlineStr">
        <is>
          <t>253630657</t>
        </is>
      </c>
      <c r="B216" s="45" t="inlineStr">
        <is>
          <t>PHAN LÊ DŨNG</t>
        </is>
      </c>
      <c r="C216" s="45" t="inlineStr">
        <is>
          <t>Khoa học máy tính K66</t>
        </is>
      </c>
      <c r="D216" s="46">
        <f>SUMIFS('Chi Tiết Học Phí'!$H$4:$H$1023,'Chi Tiết Học Phí'!$A$4:$A$1023,A216)</f>
        <v/>
      </c>
      <c r="E216" s="46">
        <f>SUMIFS('Chi Tiết Học Phí'!$J$4:$J$1023,'Chi Tiết Học Phí'!$A$4:$A$1023,A216)</f>
        <v/>
      </c>
      <c r="F216" s="46">
        <f>SUMIFS('Chi Tiết Học Phí'!$K$4:$K$1023,'Chi Tiết Học Phí'!$A$4:$A$1023,A216)</f>
        <v/>
      </c>
      <c r="G216" s="46">
        <f>SUMIFS('Chi Tiết Học Phí'!$L$4:$L$1023,'Chi Tiết Học Phí'!$A$4:$A$1023,A216)</f>
        <v/>
      </c>
      <c r="H216" s="46">
        <f>SUMIFS('Chi Tiết Học Phí'!$M$4:$M$1023,'Chi Tiết Học Phí'!$A$4:$A$1023,A216)-SUMIFS('Chi Tiết Học Phí'!$N$4:$N$1023,'Chi Tiết Học Phí'!$A$4:$A$1023,A216)</f>
        <v/>
      </c>
      <c r="I216" s="46">
        <f>SUMIFS('Chi Tiết Học Phí'!$O$4:$O$1023,'Chi Tiết Học Phí'!$A$4:$A$1023,A216)</f>
        <v/>
      </c>
      <c r="J216" s="46">
        <f>SUMIFS('Chi Tiết Học Phí'!$P$4:$P$1023,'Chi Tiết Học Phí'!$A$4:$A$1023,A216)</f>
        <v/>
      </c>
      <c r="K216" s="45">
        <f>IF(J216&gt;0,"Còn nợ","Đã hoàn thành")</f>
        <v/>
      </c>
    </row>
    <row r="217">
      <c r="A217" s="45" t="inlineStr">
        <is>
          <t>253630658</t>
        </is>
      </c>
      <c r="B217" s="45" t="inlineStr">
        <is>
          <t>VŨ DŨNG</t>
        </is>
      </c>
      <c r="C217" s="45" t="inlineStr">
        <is>
          <t>Khoa học máy tính K66</t>
        </is>
      </c>
      <c r="D217" s="46">
        <f>SUMIFS('Chi Tiết Học Phí'!$H$4:$H$1023,'Chi Tiết Học Phí'!$A$4:$A$1023,A217)</f>
        <v/>
      </c>
      <c r="E217" s="46">
        <f>SUMIFS('Chi Tiết Học Phí'!$J$4:$J$1023,'Chi Tiết Học Phí'!$A$4:$A$1023,A217)</f>
        <v/>
      </c>
      <c r="F217" s="46">
        <f>SUMIFS('Chi Tiết Học Phí'!$K$4:$K$1023,'Chi Tiết Học Phí'!$A$4:$A$1023,A217)</f>
        <v/>
      </c>
      <c r="G217" s="46">
        <f>SUMIFS('Chi Tiết Học Phí'!$L$4:$L$1023,'Chi Tiết Học Phí'!$A$4:$A$1023,A217)</f>
        <v/>
      </c>
      <c r="H217" s="46">
        <f>SUMIFS('Chi Tiết Học Phí'!$M$4:$M$1023,'Chi Tiết Học Phí'!$A$4:$A$1023,A217)-SUMIFS('Chi Tiết Học Phí'!$N$4:$N$1023,'Chi Tiết Học Phí'!$A$4:$A$1023,A217)</f>
        <v/>
      </c>
      <c r="I217" s="46">
        <f>SUMIFS('Chi Tiết Học Phí'!$O$4:$O$1023,'Chi Tiết Học Phí'!$A$4:$A$1023,A217)</f>
        <v/>
      </c>
      <c r="J217" s="46">
        <f>SUMIFS('Chi Tiết Học Phí'!$P$4:$P$1023,'Chi Tiết Học Phí'!$A$4:$A$1023,A217)</f>
        <v/>
      </c>
      <c r="K217" s="45">
        <f>IF(J217&gt;0,"Còn nợ","Đã hoàn thành")</f>
        <v/>
      </c>
    </row>
    <row r="218">
      <c r="A218" s="45" t="inlineStr">
        <is>
          <t>253610660</t>
        </is>
      </c>
      <c r="B218" s="45" t="inlineStr">
        <is>
          <t>TẠ MINH DƯƠNG</t>
        </is>
      </c>
      <c r="C218" s="45" t="inlineStr">
        <is>
          <t>Khoa học máy tính K66</t>
        </is>
      </c>
      <c r="D218" s="46">
        <f>SUMIFS('Chi Tiết Học Phí'!$H$4:$H$1023,'Chi Tiết Học Phí'!$A$4:$A$1023,A218)</f>
        <v/>
      </c>
      <c r="E218" s="46">
        <f>SUMIFS('Chi Tiết Học Phí'!$J$4:$J$1023,'Chi Tiết Học Phí'!$A$4:$A$1023,A218)</f>
        <v/>
      </c>
      <c r="F218" s="46">
        <f>SUMIFS('Chi Tiết Học Phí'!$K$4:$K$1023,'Chi Tiết Học Phí'!$A$4:$A$1023,A218)</f>
        <v/>
      </c>
      <c r="G218" s="46">
        <f>SUMIFS('Chi Tiết Học Phí'!$L$4:$L$1023,'Chi Tiết Học Phí'!$A$4:$A$1023,A218)</f>
        <v/>
      </c>
      <c r="H218" s="46">
        <f>SUMIFS('Chi Tiết Học Phí'!$M$4:$M$1023,'Chi Tiết Học Phí'!$A$4:$A$1023,A218)-SUMIFS('Chi Tiết Học Phí'!$N$4:$N$1023,'Chi Tiết Học Phí'!$A$4:$A$1023,A218)</f>
        <v/>
      </c>
      <c r="I218" s="46">
        <f>SUMIFS('Chi Tiết Học Phí'!$O$4:$O$1023,'Chi Tiết Học Phí'!$A$4:$A$1023,A218)</f>
        <v/>
      </c>
      <c r="J218" s="46">
        <f>SUMIFS('Chi Tiết Học Phí'!$P$4:$P$1023,'Chi Tiết Học Phí'!$A$4:$A$1023,A218)</f>
        <v/>
      </c>
      <c r="K218" s="45">
        <f>IF(J218&gt;0,"Còn nợ","Đã hoàn thành")</f>
        <v/>
      </c>
    </row>
    <row r="219">
      <c r="A219" s="45" t="inlineStr">
        <is>
          <t>253610661</t>
        </is>
      </c>
      <c r="B219" s="45" t="inlineStr">
        <is>
          <t>SA XUÂN ĐẠI</t>
        </is>
      </c>
      <c r="C219" s="45" t="inlineStr">
        <is>
          <t>Khoa học máy tính K66</t>
        </is>
      </c>
      <c r="D219" s="46">
        <f>SUMIFS('Chi Tiết Học Phí'!$H$4:$H$1023,'Chi Tiết Học Phí'!$A$4:$A$1023,A219)</f>
        <v/>
      </c>
      <c r="E219" s="46">
        <f>SUMIFS('Chi Tiết Học Phí'!$J$4:$J$1023,'Chi Tiết Học Phí'!$A$4:$A$1023,A219)</f>
        <v/>
      </c>
      <c r="F219" s="46">
        <f>SUMIFS('Chi Tiết Học Phí'!$K$4:$K$1023,'Chi Tiết Học Phí'!$A$4:$A$1023,A219)</f>
        <v/>
      </c>
      <c r="G219" s="46">
        <f>SUMIFS('Chi Tiết Học Phí'!$L$4:$L$1023,'Chi Tiết Học Phí'!$A$4:$A$1023,A219)</f>
        <v/>
      </c>
      <c r="H219" s="46">
        <f>SUMIFS('Chi Tiết Học Phí'!$M$4:$M$1023,'Chi Tiết Học Phí'!$A$4:$A$1023,A219)-SUMIFS('Chi Tiết Học Phí'!$N$4:$N$1023,'Chi Tiết Học Phí'!$A$4:$A$1023,A219)</f>
        <v/>
      </c>
      <c r="I219" s="46">
        <f>SUMIFS('Chi Tiết Học Phí'!$O$4:$O$1023,'Chi Tiết Học Phí'!$A$4:$A$1023,A219)</f>
        <v/>
      </c>
      <c r="J219" s="46">
        <f>SUMIFS('Chi Tiết Học Phí'!$P$4:$P$1023,'Chi Tiết Học Phí'!$A$4:$A$1023,A219)</f>
        <v/>
      </c>
      <c r="K219" s="45">
        <f>IF(J219&gt;0,"Còn nợ","Đã hoàn thành")</f>
        <v/>
      </c>
    </row>
    <row r="220">
      <c r="A220" s="45" t="inlineStr">
        <is>
          <t>253630662</t>
        </is>
      </c>
      <c r="B220" s="45" t="inlineStr">
        <is>
          <t>NGUYỄN XUÂN ĐẠT</t>
        </is>
      </c>
      <c r="C220" s="45" t="inlineStr">
        <is>
          <t>Khoa học máy tính K66</t>
        </is>
      </c>
      <c r="D220" s="46">
        <f>SUMIFS('Chi Tiết Học Phí'!$H$4:$H$1023,'Chi Tiết Học Phí'!$A$4:$A$1023,A220)</f>
        <v/>
      </c>
      <c r="E220" s="46">
        <f>SUMIFS('Chi Tiết Học Phí'!$J$4:$J$1023,'Chi Tiết Học Phí'!$A$4:$A$1023,A220)</f>
        <v/>
      </c>
      <c r="F220" s="46">
        <f>SUMIFS('Chi Tiết Học Phí'!$K$4:$K$1023,'Chi Tiết Học Phí'!$A$4:$A$1023,A220)</f>
        <v/>
      </c>
      <c r="G220" s="46">
        <f>SUMIFS('Chi Tiết Học Phí'!$L$4:$L$1023,'Chi Tiết Học Phí'!$A$4:$A$1023,A220)</f>
        <v/>
      </c>
      <c r="H220" s="46">
        <f>SUMIFS('Chi Tiết Học Phí'!$M$4:$M$1023,'Chi Tiết Học Phí'!$A$4:$A$1023,A220)-SUMIFS('Chi Tiết Học Phí'!$N$4:$N$1023,'Chi Tiết Học Phí'!$A$4:$A$1023,A220)</f>
        <v/>
      </c>
      <c r="I220" s="46">
        <f>SUMIFS('Chi Tiết Học Phí'!$O$4:$O$1023,'Chi Tiết Học Phí'!$A$4:$A$1023,A220)</f>
        <v/>
      </c>
      <c r="J220" s="46">
        <f>SUMIFS('Chi Tiết Học Phí'!$P$4:$P$1023,'Chi Tiết Học Phí'!$A$4:$A$1023,A220)</f>
        <v/>
      </c>
      <c r="K220" s="45">
        <f>IF(J220&gt;0,"Còn nợ","Đã hoàn thành")</f>
        <v/>
      </c>
    </row>
    <row r="221">
      <c r="A221" s="45" t="inlineStr">
        <is>
          <t>253630663</t>
        </is>
      </c>
      <c r="B221" s="45" t="inlineStr">
        <is>
          <t>PHẠM CÔNG ĐOAN</t>
        </is>
      </c>
      <c r="C221" s="45" t="inlineStr">
        <is>
          <t>Khoa học máy tính K66</t>
        </is>
      </c>
      <c r="D221" s="46">
        <f>SUMIFS('Chi Tiết Học Phí'!$H$4:$H$1023,'Chi Tiết Học Phí'!$A$4:$A$1023,A221)</f>
        <v/>
      </c>
      <c r="E221" s="46">
        <f>SUMIFS('Chi Tiết Học Phí'!$J$4:$J$1023,'Chi Tiết Học Phí'!$A$4:$A$1023,A221)</f>
        <v/>
      </c>
      <c r="F221" s="46">
        <f>SUMIFS('Chi Tiết Học Phí'!$K$4:$K$1023,'Chi Tiết Học Phí'!$A$4:$A$1023,A221)</f>
        <v/>
      </c>
      <c r="G221" s="46">
        <f>SUMIFS('Chi Tiết Học Phí'!$L$4:$L$1023,'Chi Tiết Học Phí'!$A$4:$A$1023,A221)</f>
        <v/>
      </c>
      <c r="H221" s="46">
        <f>SUMIFS('Chi Tiết Học Phí'!$M$4:$M$1023,'Chi Tiết Học Phí'!$A$4:$A$1023,A221)-SUMIFS('Chi Tiết Học Phí'!$N$4:$N$1023,'Chi Tiết Học Phí'!$A$4:$A$1023,A221)</f>
        <v/>
      </c>
      <c r="I221" s="46">
        <f>SUMIFS('Chi Tiết Học Phí'!$O$4:$O$1023,'Chi Tiết Học Phí'!$A$4:$A$1023,A221)</f>
        <v/>
      </c>
      <c r="J221" s="46">
        <f>SUMIFS('Chi Tiết Học Phí'!$P$4:$P$1023,'Chi Tiết Học Phí'!$A$4:$A$1023,A221)</f>
        <v/>
      </c>
      <c r="K221" s="45">
        <f>IF(J221&gt;0,"Còn nợ","Đã hoàn thành")</f>
        <v/>
      </c>
    </row>
    <row r="222">
      <c r="A222" s="45" t="inlineStr">
        <is>
          <t>253630664</t>
        </is>
      </c>
      <c r="B222" s="45" t="inlineStr">
        <is>
          <t>ĐỖ TRƯỜNG GIANG</t>
        </is>
      </c>
      <c r="C222" s="45" t="inlineStr">
        <is>
          <t>Khoa học máy tính K66</t>
        </is>
      </c>
      <c r="D222" s="46">
        <f>SUMIFS('Chi Tiết Học Phí'!$H$4:$H$1023,'Chi Tiết Học Phí'!$A$4:$A$1023,A222)</f>
        <v/>
      </c>
      <c r="E222" s="46">
        <f>SUMIFS('Chi Tiết Học Phí'!$J$4:$J$1023,'Chi Tiết Học Phí'!$A$4:$A$1023,A222)</f>
        <v/>
      </c>
      <c r="F222" s="46">
        <f>SUMIFS('Chi Tiết Học Phí'!$K$4:$K$1023,'Chi Tiết Học Phí'!$A$4:$A$1023,A222)</f>
        <v/>
      </c>
      <c r="G222" s="46">
        <f>SUMIFS('Chi Tiết Học Phí'!$L$4:$L$1023,'Chi Tiết Học Phí'!$A$4:$A$1023,A222)</f>
        <v/>
      </c>
      <c r="H222" s="46">
        <f>SUMIFS('Chi Tiết Học Phí'!$M$4:$M$1023,'Chi Tiết Học Phí'!$A$4:$A$1023,A222)-SUMIFS('Chi Tiết Học Phí'!$N$4:$N$1023,'Chi Tiết Học Phí'!$A$4:$A$1023,A222)</f>
        <v/>
      </c>
      <c r="I222" s="46">
        <f>SUMIFS('Chi Tiết Học Phí'!$O$4:$O$1023,'Chi Tiết Học Phí'!$A$4:$A$1023,A222)</f>
        <v/>
      </c>
      <c r="J222" s="46">
        <f>SUMIFS('Chi Tiết Học Phí'!$P$4:$P$1023,'Chi Tiết Học Phí'!$A$4:$A$1023,A222)</f>
        <v/>
      </c>
      <c r="K222" s="45">
        <f>IF(J222&gt;0,"Còn nợ","Đã hoàn thành")</f>
        <v/>
      </c>
    </row>
    <row r="223">
      <c r="A223" s="45" t="inlineStr">
        <is>
          <t>253610665</t>
        </is>
      </c>
      <c r="B223" s="45" t="inlineStr">
        <is>
          <t>LƯƠNG HOÀNG HẢI</t>
        </is>
      </c>
      <c r="C223" s="45" t="inlineStr">
        <is>
          <t>Khoa học máy tính K66</t>
        </is>
      </c>
      <c r="D223" s="46">
        <f>SUMIFS('Chi Tiết Học Phí'!$H$4:$H$1023,'Chi Tiết Học Phí'!$A$4:$A$1023,A223)</f>
        <v/>
      </c>
      <c r="E223" s="46">
        <f>SUMIFS('Chi Tiết Học Phí'!$J$4:$J$1023,'Chi Tiết Học Phí'!$A$4:$A$1023,A223)</f>
        <v/>
      </c>
      <c r="F223" s="46">
        <f>SUMIFS('Chi Tiết Học Phí'!$K$4:$K$1023,'Chi Tiết Học Phí'!$A$4:$A$1023,A223)</f>
        <v/>
      </c>
      <c r="G223" s="46">
        <f>SUMIFS('Chi Tiết Học Phí'!$L$4:$L$1023,'Chi Tiết Học Phí'!$A$4:$A$1023,A223)</f>
        <v/>
      </c>
      <c r="H223" s="46">
        <f>SUMIFS('Chi Tiết Học Phí'!$M$4:$M$1023,'Chi Tiết Học Phí'!$A$4:$A$1023,A223)-SUMIFS('Chi Tiết Học Phí'!$N$4:$N$1023,'Chi Tiết Học Phí'!$A$4:$A$1023,A223)</f>
        <v/>
      </c>
      <c r="I223" s="46">
        <f>SUMIFS('Chi Tiết Học Phí'!$O$4:$O$1023,'Chi Tiết Học Phí'!$A$4:$A$1023,A223)</f>
        <v/>
      </c>
      <c r="J223" s="46">
        <f>SUMIFS('Chi Tiết Học Phí'!$P$4:$P$1023,'Chi Tiết Học Phí'!$A$4:$A$1023,A223)</f>
        <v/>
      </c>
      <c r="K223" s="45">
        <f>IF(J223&gt;0,"Còn nợ","Đã hoàn thành")</f>
        <v/>
      </c>
    </row>
    <row r="224">
      <c r="A224" s="45" t="inlineStr">
        <is>
          <t>253610666</t>
        </is>
      </c>
      <c r="B224" s="45" t="inlineStr">
        <is>
          <t>NGHIÊM ANH HÀO</t>
        </is>
      </c>
      <c r="C224" s="45" t="inlineStr">
        <is>
          <t>Khoa học máy tính K66</t>
        </is>
      </c>
      <c r="D224" s="46">
        <f>SUMIFS('Chi Tiết Học Phí'!$H$4:$H$1023,'Chi Tiết Học Phí'!$A$4:$A$1023,A224)</f>
        <v/>
      </c>
      <c r="E224" s="46">
        <f>SUMIFS('Chi Tiết Học Phí'!$J$4:$J$1023,'Chi Tiết Học Phí'!$A$4:$A$1023,A224)</f>
        <v/>
      </c>
      <c r="F224" s="46">
        <f>SUMIFS('Chi Tiết Học Phí'!$K$4:$K$1023,'Chi Tiết Học Phí'!$A$4:$A$1023,A224)</f>
        <v/>
      </c>
      <c r="G224" s="46">
        <f>SUMIFS('Chi Tiết Học Phí'!$L$4:$L$1023,'Chi Tiết Học Phí'!$A$4:$A$1023,A224)</f>
        <v/>
      </c>
      <c r="H224" s="46">
        <f>SUMIFS('Chi Tiết Học Phí'!$M$4:$M$1023,'Chi Tiết Học Phí'!$A$4:$A$1023,A224)-SUMIFS('Chi Tiết Học Phí'!$N$4:$N$1023,'Chi Tiết Học Phí'!$A$4:$A$1023,A224)</f>
        <v/>
      </c>
      <c r="I224" s="46">
        <f>SUMIFS('Chi Tiết Học Phí'!$O$4:$O$1023,'Chi Tiết Học Phí'!$A$4:$A$1023,A224)</f>
        <v/>
      </c>
      <c r="J224" s="46">
        <f>SUMIFS('Chi Tiết Học Phí'!$P$4:$P$1023,'Chi Tiết Học Phí'!$A$4:$A$1023,A224)</f>
        <v/>
      </c>
      <c r="K224" s="45">
        <f>IF(J224&gt;0,"Còn nợ","Đã hoàn thành")</f>
        <v/>
      </c>
    </row>
    <row r="225">
      <c r="A225" s="45" t="inlineStr">
        <is>
          <t>253610668</t>
        </is>
      </c>
      <c r="B225" s="45" t="inlineStr">
        <is>
          <t>NGUYỄN TRUNG HIẾU</t>
        </is>
      </c>
      <c r="C225" s="45" t="inlineStr">
        <is>
          <t>Khoa học máy tính K66</t>
        </is>
      </c>
      <c r="D225" s="46">
        <f>SUMIFS('Chi Tiết Học Phí'!$H$4:$H$1023,'Chi Tiết Học Phí'!$A$4:$A$1023,A225)</f>
        <v/>
      </c>
      <c r="E225" s="46">
        <f>SUMIFS('Chi Tiết Học Phí'!$J$4:$J$1023,'Chi Tiết Học Phí'!$A$4:$A$1023,A225)</f>
        <v/>
      </c>
      <c r="F225" s="46">
        <f>SUMIFS('Chi Tiết Học Phí'!$K$4:$K$1023,'Chi Tiết Học Phí'!$A$4:$A$1023,A225)</f>
        <v/>
      </c>
      <c r="G225" s="46">
        <f>SUMIFS('Chi Tiết Học Phí'!$L$4:$L$1023,'Chi Tiết Học Phí'!$A$4:$A$1023,A225)</f>
        <v/>
      </c>
      <c r="H225" s="46">
        <f>SUMIFS('Chi Tiết Học Phí'!$M$4:$M$1023,'Chi Tiết Học Phí'!$A$4:$A$1023,A225)-SUMIFS('Chi Tiết Học Phí'!$N$4:$N$1023,'Chi Tiết Học Phí'!$A$4:$A$1023,A225)</f>
        <v/>
      </c>
      <c r="I225" s="46">
        <f>SUMIFS('Chi Tiết Học Phí'!$O$4:$O$1023,'Chi Tiết Học Phí'!$A$4:$A$1023,A225)</f>
        <v/>
      </c>
      <c r="J225" s="46">
        <f>SUMIFS('Chi Tiết Học Phí'!$P$4:$P$1023,'Chi Tiết Học Phí'!$A$4:$A$1023,A225)</f>
        <v/>
      </c>
      <c r="K225" s="45">
        <f>IF(J225&gt;0,"Còn nợ","Đã hoàn thành")</f>
        <v/>
      </c>
    </row>
    <row r="226">
      <c r="A226" s="45" t="inlineStr">
        <is>
          <t>253610669</t>
        </is>
      </c>
      <c r="B226" s="45" t="inlineStr">
        <is>
          <t>PHẠM KHÁNH HÒA</t>
        </is>
      </c>
      <c r="C226" s="45" t="inlineStr">
        <is>
          <t>Khoa học máy tính K66</t>
        </is>
      </c>
      <c r="D226" s="46">
        <f>SUMIFS('Chi Tiết Học Phí'!$H$4:$H$1023,'Chi Tiết Học Phí'!$A$4:$A$1023,A226)</f>
        <v/>
      </c>
      <c r="E226" s="46">
        <f>SUMIFS('Chi Tiết Học Phí'!$J$4:$J$1023,'Chi Tiết Học Phí'!$A$4:$A$1023,A226)</f>
        <v/>
      </c>
      <c r="F226" s="46">
        <f>SUMIFS('Chi Tiết Học Phí'!$K$4:$K$1023,'Chi Tiết Học Phí'!$A$4:$A$1023,A226)</f>
        <v/>
      </c>
      <c r="G226" s="46">
        <f>SUMIFS('Chi Tiết Học Phí'!$L$4:$L$1023,'Chi Tiết Học Phí'!$A$4:$A$1023,A226)</f>
        <v/>
      </c>
      <c r="H226" s="46">
        <f>SUMIFS('Chi Tiết Học Phí'!$M$4:$M$1023,'Chi Tiết Học Phí'!$A$4:$A$1023,A226)-SUMIFS('Chi Tiết Học Phí'!$N$4:$N$1023,'Chi Tiết Học Phí'!$A$4:$A$1023,A226)</f>
        <v/>
      </c>
      <c r="I226" s="46">
        <f>SUMIFS('Chi Tiết Học Phí'!$O$4:$O$1023,'Chi Tiết Học Phí'!$A$4:$A$1023,A226)</f>
        <v/>
      </c>
      <c r="J226" s="46">
        <f>SUMIFS('Chi Tiết Học Phí'!$P$4:$P$1023,'Chi Tiết Học Phí'!$A$4:$A$1023,A226)</f>
        <v/>
      </c>
      <c r="K226" s="45">
        <f>IF(J226&gt;0,"Còn nợ","Đã hoàn thành")</f>
        <v/>
      </c>
    </row>
    <row r="227">
      <c r="A227" s="45" t="inlineStr">
        <is>
          <t>253610670</t>
        </is>
      </c>
      <c r="B227" s="45" t="inlineStr">
        <is>
          <t>HOÀNG NGỌC HÙNG</t>
        </is>
      </c>
      <c r="C227" s="45" t="inlineStr">
        <is>
          <t>Khoa học máy tính K66</t>
        </is>
      </c>
      <c r="D227" s="46">
        <f>SUMIFS('Chi Tiết Học Phí'!$H$4:$H$1023,'Chi Tiết Học Phí'!$A$4:$A$1023,A227)</f>
        <v/>
      </c>
      <c r="E227" s="46">
        <f>SUMIFS('Chi Tiết Học Phí'!$J$4:$J$1023,'Chi Tiết Học Phí'!$A$4:$A$1023,A227)</f>
        <v/>
      </c>
      <c r="F227" s="46">
        <f>SUMIFS('Chi Tiết Học Phí'!$K$4:$K$1023,'Chi Tiết Học Phí'!$A$4:$A$1023,A227)</f>
        <v/>
      </c>
      <c r="G227" s="46">
        <f>SUMIFS('Chi Tiết Học Phí'!$L$4:$L$1023,'Chi Tiết Học Phí'!$A$4:$A$1023,A227)</f>
        <v/>
      </c>
      <c r="H227" s="46">
        <f>SUMIFS('Chi Tiết Học Phí'!$M$4:$M$1023,'Chi Tiết Học Phí'!$A$4:$A$1023,A227)-SUMIFS('Chi Tiết Học Phí'!$N$4:$N$1023,'Chi Tiết Học Phí'!$A$4:$A$1023,A227)</f>
        <v/>
      </c>
      <c r="I227" s="46">
        <f>SUMIFS('Chi Tiết Học Phí'!$O$4:$O$1023,'Chi Tiết Học Phí'!$A$4:$A$1023,A227)</f>
        <v/>
      </c>
      <c r="J227" s="46">
        <f>SUMIFS('Chi Tiết Học Phí'!$P$4:$P$1023,'Chi Tiết Học Phí'!$A$4:$A$1023,A227)</f>
        <v/>
      </c>
      <c r="K227" s="45">
        <f>IF(J227&gt;0,"Còn nợ","Đã hoàn thành")</f>
        <v/>
      </c>
    </row>
    <row r="228">
      <c r="A228" s="45" t="inlineStr">
        <is>
          <t>253610672</t>
        </is>
      </c>
      <c r="B228" s="45" t="inlineStr">
        <is>
          <t>MẠC VIỆT HƯNG</t>
        </is>
      </c>
      <c r="C228" s="45" t="inlineStr">
        <is>
          <t>Khoa học máy tính K66</t>
        </is>
      </c>
      <c r="D228" s="46">
        <f>SUMIFS('Chi Tiết Học Phí'!$H$4:$H$1023,'Chi Tiết Học Phí'!$A$4:$A$1023,A228)</f>
        <v/>
      </c>
      <c r="E228" s="46">
        <f>SUMIFS('Chi Tiết Học Phí'!$J$4:$J$1023,'Chi Tiết Học Phí'!$A$4:$A$1023,A228)</f>
        <v/>
      </c>
      <c r="F228" s="46">
        <f>SUMIFS('Chi Tiết Học Phí'!$K$4:$K$1023,'Chi Tiết Học Phí'!$A$4:$A$1023,A228)</f>
        <v/>
      </c>
      <c r="G228" s="46">
        <f>SUMIFS('Chi Tiết Học Phí'!$L$4:$L$1023,'Chi Tiết Học Phí'!$A$4:$A$1023,A228)</f>
        <v/>
      </c>
      <c r="H228" s="46">
        <f>SUMIFS('Chi Tiết Học Phí'!$M$4:$M$1023,'Chi Tiết Học Phí'!$A$4:$A$1023,A228)-SUMIFS('Chi Tiết Học Phí'!$N$4:$N$1023,'Chi Tiết Học Phí'!$A$4:$A$1023,A228)</f>
        <v/>
      </c>
      <c r="I228" s="46">
        <f>SUMIFS('Chi Tiết Học Phí'!$O$4:$O$1023,'Chi Tiết Học Phí'!$A$4:$A$1023,A228)</f>
        <v/>
      </c>
      <c r="J228" s="46">
        <f>SUMIFS('Chi Tiết Học Phí'!$P$4:$P$1023,'Chi Tiết Học Phí'!$A$4:$A$1023,A228)</f>
        <v/>
      </c>
      <c r="K228" s="45">
        <f>IF(J228&gt;0,"Còn nợ","Đã hoàn thành")</f>
        <v/>
      </c>
    </row>
    <row r="229">
      <c r="A229" s="45" t="inlineStr">
        <is>
          <t>253610671</t>
        </is>
      </c>
      <c r="B229" s="45" t="inlineStr">
        <is>
          <t>NGUYỄN ĐỨC HÙNG</t>
        </is>
      </c>
      <c r="C229" s="45" t="inlineStr">
        <is>
          <t>Khoa học máy tính K66</t>
        </is>
      </c>
      <c r="D229" s="46">
        <f>SUMIFS('Chi Tiết Học Phí'!$H$4:$H$1023,'Chi Tiết Học Phí'!$A$4:$A$1023,A229)</f>
        <v/>
      </c>
      <c r="E229" s="46">
        <f>SUMIFS('Chi Tiết Học Phí'!$J$4:$J$1023,'Chi Tiết Học Phí'!$A$4:$A$1023,A229)</f>
        <v/>
      </c>
      <c r="F229" s="46">
        <f>SUMIFS('Chi Tiết Học Phí'!$K$4:$K$1023,'Chi Tiết Học Phí'!$A$4:$A$1023,A229)</f>
        <v/>
      </c>
      <c r="G229" s="46">
        <f>SUMIFS('Chi Tiết Học Phí'!$L$4:$L$1023,'Chi Tiết Học Phí'!$A$4:$A$1023,A229)</f>
        <v/>
      </c>
      <c r="H229" s="46">
        <f>SUMIFS('Chi Tiết Học Phí'!$M$4:$M$1023,'Chi Tiết Học Phí'!$A$4:$A$1023,A229)-SUMIFS('Chi Tiết Học Phí'!$N$4:$N$1023,'Chi Tiết Học Phí'!$A$4:$A$1023,A229)</f>
        <v/>
      </c>
      <c r="I229" s="46">
        <f>SUMIFS('Chi Tiết Học Phí'!$O$4:$O$1023,'Chi Tiết Học Phí'!$A$4:$A$1023,A229)</f>
        <v/>
      </c>
      <c r="J229" s="46">
        <f>SUMIFS('Chi Tiết Học Phí'!$P$4:$P$1023,'Chi Tiết Học Phí'!$A$4:$A$1023,A229)</f>
        <v/>
      </c>
      <c r="K229" s="45">
        <f>IF(J229&gt;0,"Còn nợ","Đã hoàn thành")</f>
        <v/>
      </c>
    </row>
    <row r="230">
      <c r="A230" s="45" t="inlineStr">
        <is>
          <t>253610674</t>
        </is>
      </c>
      <c r="B230" s="45" t="inlineStr">
        <is>
          <t>PHẠM GIA KHIÊM</t>
        </is>
      </c>
      <c r="C230" s="45" t="inlineStr">
        <is>
          <t>Khoa học máy tính K66</t>
        </is>
      </c>
      <c r="D230" s="46">
        <f>SUMIFS('Chi Tiết Học Phí'!$H$4:$H$1023,'Chi Tiết Học Phí'!$A$4:$A$1023,A230)</f>
        <v/>
      </c>
      <c r="E230" s="46">
        <f>SUMIFS('Chi Tiết Học Phí'!$J$4:$J$1023,'Chi Tiết Học Phí'!$A$4:$A$1023,A230)</f>
        <v/>
      </c>
      <c r="F230" s="46">
        <f>SUMIFS('Chi Tiết Học Phí'!$K$4:$K$1023,'Chi Tiết Học Phí'!$A$4:$A$1023,A230)</f>
        <v/>
      </c>
      <c r="G230" s="46">
        <f>SUMIFS('Chi Tiết Học Phí'!$L$4:$L$1023,'Chi Tiết Học Phí'!$A$4:$A$1023,A230)</f>
        <v/>
      </c>
      <c r="H230" s="46">
        <f>SUMIFS('Chi Tiết Học Phí'!$M$4:$M$1023,'Chi Tiết Học Phí'!$A$4:$A$1023,A230)-SUMIFS('Chi Tiết Học Phí'!$N$4:$N$1023,'Chi Tiết Học Phí'!$A$4:$A$1023,A230)</f>
        <v/>
      </c>
      <c r="I230" s="46">
        <f>SUMIFS('Chi Tiết Học Phí'!$O$4:$O$1023,'Chi Tiết Học Phí'!$A$4:$A$1023,A230)</f>
        <v/>
      </c>
      <c r="J230" s="46">
        <f>SUMIFS('Chi Tiết Học Phí'!$P$4:$P$1023,'Chi Tiết Học Phí'!$A$4:$A$1023,A230)</f>
        <v/>
      </c>
      <c r="K230" s="45">
        <f>IF(J230&gt;0,"Còn nợ","Đã hoàn thành")</f>
        <v/>
      </c>
    </row>
    <row r="231">
      <c r="A231" s="45" t="inlineStr">
        <is>
          <t>253630675</t>
        </is>
      </c>
      <c r="B231" s="45" t="inlineStr">
        <is>
          <t>HOÀNG ANH KHÔI</t>
        </is>
      </c>
      <c r="C231" s="45" t="inlineStr">
        <is>
          <t>Khoa học máy tính K66</t>
        </is>
      </c>
      <c r="D231" s="46">
        <f>SUMIFS('Chi Tiết Học Phí'!$H$4:$H$1023,'Chi Tiết Học Phí'!$A$4:$A$1023,A231)</f>
        <v/>
      </c>
      <c r="E231" s="46">
        <f>SUMIFS('Chi Tiết Học Phí'!$J$4:$J$1023,'Chi Tiết Học Phí'!$A$4:$A$1023,A231)</f>
        <v/>
      </c>
      <c r="F231" s="46">
        <f>SUMIFS('Chi Tiết Học Phí'!$K$4:$K$1023,'Chi Tiết Học Phí'!$A$4:$A$1023,A231)</f>
        <v/>
      </c>
      <c r="G231" s="46">
        <f>SUMIFS('Chi Tiết Học Phí'!$L$4:$L$1023,'Chi Tiết Học Phí'!$A$4:$A$1023,A231)</f>
        <v/>
      </c>
      <c r="H231" s="46">
        <f>SUMIFS('Chi Tiết Học Phí'!$M$4:$M$1023,'Chi Tiết Học Phí'!$A$4:$A$1023,A231)-SUMIFS('Chi Tiết Học Phí'!$N$4:$N$1023,'Chi Tiết Học Phí'!$A$4:$A$1023,A231)</f>
        <v/>
      </c>
      <c r="I231" s="46">
        <f>SUMIFS('Chi Tiết Học Phí'!$O$4:$O$1023,'Chi Tiết Học Phí'!$A$4:$A$1023,A231)</f>
        <v/>
      </c>
      <c r="J231" s="46">
        <f>SUMIFS('Chi Tiết Học Phí'!$P$4:$P$1023,'Chi Tiết Học Phí'!$A$4:$A$1023,A231)</f>
        <v/>
      </c>
      <c r="K231" s="45">
        <f>IF(J231&gt;0,"Còn nợ","Đã hoàn thành")</f>
        <v/>
      </c>
    </row>
    <row r="232">
      <c r="A232" s="45" t="inlineStr">
        <is>
          <t>253610676</t>
        </is>
      </c>
      <c r="B232" s="45" t="inlineStr">
        <is>
          <t>VŨ MẠNH KIÊN</t>
        </is>
      </c>
      <c r="C232" s="45" t="inlineStr">
        <is>
          <t>Khoa học máy tính K66</t>
        </is>
      </c>
      <c r="D232" s="46">
        <f>SUMIFS('Chi Tiết Học Phí'!$H$4:$H$1023,'Chi Tiết Học Phí'!$A$4:$A$1023,A232)</f>
        <v/>
      </c>
      <c r="E232" s="46">
        <f>SUMIFS('Chi Tiết Học Phí'!$J$4:$J$1023,'Chi Tiết Học Phí'!$A$4:$A$1023,A232)</f>
        <v/>
      </c>
      <c r="F232" s="46">
        <f>SUMIFS('Chi Tiết Học Phí'!$K$4:$K$1023,'Chi Tiết Học Phí'!$A$4:$A$1023,A232)</f>
        <v/>
      </c>
      <c r="G232" s="46">
        <f>SUMIFS('Chi Tiết Học Phí'!$L$4:$L$1023,'Chi Tiết Học Phí'!$A$4:$A$1023,A232)</f>
        <v/>
      </c>
      <c r="H232" s="46">
        <f>SUMIFS('Chi Tiết Học Phí'!$M$4:$M$1023,'Chi Tiết Học Phí'!$A$4:$A$1023,A232)-SUMIFS('Chi Tiết Học Phí'!$N$4:$N$1023,'Chi Tiết Học Phí'!$A$4:$A$1023,A232)</f>
        <v/>
      </c>
      <c r="I232" s="46">
        <f>SUMIFS('Chi Tiết Học Phí'!$O$4:$O$1023,'Chi Tiết Học Phí'!$A$4:$A$1023,A232)</f>
        <v/>
      </c>
      <c r="J232" s="46">
        <f>SUMIFS('Chi Tiết Học Phí'!$P$4:$P$1023,'Chi Tiết Học Phí'!$A$4:$A$1023,A232)</f>
        <v/>
      </c>
      <c r="K232" s="45">
        <f>IF(J232&gt;0,"Còn nợ","Đã hoàn thành")</f>
        <v/>
      </c>
    </row>
    <row r="233">
      <c r="A233" s="45" t="inlineStr">
        <is>
          <t>253610677</t>
        </is>
      </c>
      <c r="B233" s="45" t="inlineStr">
        <is>
          <t>NGUYỄN HOÀNG LONG</t>
        </is>
      </c>
      <c r="C233" s="45" t="inlineStr">
        <is>
          <t>Khoa học máy tính K66</t>
        </is>
      </c>
      <c r="D233" s="46">
        <f>SUMIFS('Chi Tiết Học Phí'!$H$4:$H$1023,'Chi Tiết Học Phí'!$A$4:$A$1023,A233)</f>
        <v/>
      </c>
      <c r="E233" s="46">
        <f>SUMIFS('Chi Tiết Học Phí'!$J$4:$J$1023,'Chi Tiết Học Phí'!$A$4:$A$1023,A233)</f>
        <v/>
      </c>
      <c r="F233" s="46">
        <f>SUMIFS('Chi Tiết Học Phí'!$K$4:$K$1023,'Chi Tiết Học Phí'!$A$4:$A$1023,A233)</f>
        <v/>
      </c>
      <c r="G233" s="46">
        <f>SUMIFS('Chi Tiết Học Phí'!$L$4:$L$1023,'Chi Tiết Học Phí'!$A$4:$A$1023,A233)</f>
        <v/>
      </c>
      <c r="H233" s="46">
        <f>SUMIFS('Chi Tiết Học Phí'!$M$4:$M$1023,'Chi Tiết Học Phí'!$A$4:$A$1023,A233)-SUMIFS('Chi Tiết Học Phí'!$N$4:$N$1023,'Chi Tiết Học Phí'!$A$4:$A$1023,A233)</f>
        <v/>
      </c>
      <c r="I233" s="46">
        <f>SUMIFS('Chi Tiết Học Phí'!$O$4:$O$1023,'Chi Tiết Học Phí'!$A$4:$A$1023,A233)</f>
        <v/>
      </c>
      <c r="J233" s="46">
        <f>SUMIFS('Chi Tiết Học Phí'!$P$4:$P$1023,'Chi Tiết Học Phí'!$A$4:$A$1023,A233)</f>
        <v/>
      </c>
      <c r="K233" s="45">
        <f>IF(J233&gt;0,"Còn nợ","Đã hoàn thành")</f>
        <v/>
      </c>
    </row>
    <row r="234">
      <c r="A234" s="45" t="inlineStr">
        <is>
          <t>253610678</t>
        </is>
      </c>
      <c r="B234" s="45" t="inlineStr">
        <is>
          <t>BÙI DUY MẠNH</t>
        </is>
      </c>
      <c r="C234" s="45" t="inlineStr">
        <is>
          <t>Khoa học máy tính K66</t>
        </is>
      </c>
      <c r="D234" s="46">
        <f>SUMIFS('Chi Tiết Học Phí'!$H$4:$H$1023,'Chi Tiết Học Phí'!$A$4:$A$1023,A234)</f>
        <v/>
      </c>
      <c r="E234" s="46">
        <f>SUMIFS('Chi Tiết Học Phí'!$J$4:$J$1023,'Chi Tiết Học Phí'!$A$4:$A$1023,A234)</f>
        <v/>
      </c>
      <c r="F234" s="46">
        <f>SUMIFS('Chi Tiết Học Phí'!$K$4:$K$1023,'Chi Tiết Học Phí'!$A$4:$A$1023,A234)</f>
        <v/>
      </c>
      <c r="G234" s="46">
        <f>SUMIFS('Chi Tiết Học Phí'!$L$4:$L$1023,'Chi Tiết Học Phí'!$A$4:$A$1023,A234)</f>
        <v/>
      </c>
      <c r="H234" s="46">
        <f>SUMIFS('Chi Tiết Học Phí'!$M$4:$M$1023,'Chi Tiết Học Phí'!$A$4:$A$1023,A234)-SUMIFS('Chi Tiết Học Phí'!$N$4:$N$1023,'Chi Tiết Học Phí'!$A$4:$A$1023,A234)</f>
        <v/>
      </c>
      <c r="I234" s="46">
        <f>SUMIFS('Chi Tiết Học Phí'!$O$4:$O$1023,'Chi Tiết Học Phí'!$A$4:$A$1023,A234)</f>
        <v/>
      </c>
      <c r="J234" s="46">
        <f>SUMIFS('Chi Tiết Học Phí'!$P$4:$P$1023,'Chi Tiết Học Phí'!$A$4:$A$1023,A234)</f>
        <v/>
      </c>
      <c r="K234" s="45">
        <f>IF(J234&gt;0,"Còn nợ","Đã hoàn thành")</f>
        <v/>
      </c>
    </row>
    <row r="235">
      <c r="A235" s="45" t="inlineStr">
        <is>
          <t>253610679</t>
        </is>
      </c>
      <c r="B235" s="45" t="inlineStr">
        <is>
          <t>HOÀNG ĐỨC MẠNH</t>
        </is>
      </c>
      <c r="C235" s="45" t="inlineStr">
        <is>
          <t>Khoa học máy tính K66</t>
        </is>
      </c>
      <c r="D235" s="46">
        <f>SUMIFS('Chi Tiết Học Phí'!$H$4:$H$1023,'Chi Tiết Học Phí'!$A$4:$A$1023,A235)</f>
        <v/>
      </c>
      <c r="E235" s="46">
        <f>SUMIFS('Chi Tiết Học Phí'!$J$4:$J$1023,'Chi Tiết Học Phí'!$A$4:$A$1023,A235)</f>
        <v/>
      </c>
      <c r="F235" s="46">
        <f>SUMIFS('Chi Tiết Học Phí'!$K$4:$K$1023,'Chi Tiết Học Phí'!$A$4:$A$1023,A235)</f>
        <v/>
      </c>
      <c r="G235" s="46">
        <f>SUMIFS('Chi Tiết Học Phí'!$L$4:$L$1023,'Chi Tiết Học Phí'!$A$4:$A$1023,A235)</f>
        <v/>
      </c>
      <c r="H235" s="46">
        <f>SUMIFS('Chi Tiết Học Phí'!$M$4:$M$1023,'Chi Tiết Học Phí'!$A$4:$A$1023,A235)-SUMIFS('Chi Tiết Học Phí'!$N$4:$N$1023,'Chi Tiết Học Phí'!$A$4:$A$1023,A235)</f>
        <v/>
      </c>
      <c r="I235" s="46">
        <f>SUMIFS('Chi Tiết Học Phí'!$O$4:$O$1023,'Chi Tiết Học Phí'!$A$4:$A$1023,A235)</f>
        <v/>
      </c>
      <c r="J235" s="46">
        <f>SUMIFS('Chi Tiết Học Phí'!$P$4:$P$1023,'Chi Tiết Học Phí'!$A$4:$A$1023,A235)</f>
        <v/>
      </c>
      <c r="K235" s="45">
        <f>IF(J235&gt;0,"Còn nợ","Đã hoàn thành")</f>
        <v/>
      </c>
    </row>
    <row r="236">
      <c r="A236" s="45" t="inlineStr">
        <is>
          <t>253630680</t>
        </is>
      </c>
      <c r="B236" s="45" t="inlineStr">
        <is>
          <t>LÊ ĐỨC MẠNH</t>
        </is>
      </c>
      <c r="C236" s="45" t="inlineStr">
        <is>
          <t>Khoa học máy tính K66</t>
        </is>
      </c>
      <c r="D236" s="46">
        <f>SUMIFS('Chi Tiết Học Phí'!$H$4:$H$1023,'Chi Tiết Học Phí'!$A$4:$A$1023,A236)</f>
        <v/>
      </c>
      <c r="E236" s="46">
        <f>SUMIFS('Chi Tiết Học Phí'!$J$4:$J$1023,'Chi Tiết Học Phí'!$A$4:$A$1023,A236)</f>
        <v/>
      </c>
      <c r="F236" s="46">
        <f>SUMIFS('Chi Tiết Học Phí'!$K$4:$K$1023,'Chi Tiết Học Phí'!$A$4:$A$1023,A236)</f>
        <v/>
      </c>
      <c r="G236" s="46">
        <f>SUMIFS('Chi Tiết Học Phí'!$L$4:$L$1023,'Chi Tiết Học Phí'!$A$4:$A$1023,A236)</f>
        <v/>
      </c>
      <c r="H236" s="46">
        <f>SUMIFS('Chi Tiết Học Phí'!$M$4:$M$1023,'Chi Tiết Học Phí'!$A$4:$A$1023,A236)-SUMIFS('Chi Tiết Học Phí'!$N$4:$N$1023,'Chi Tiết Học Phí'!$A$4:$A$1023,A236)</f>
        <v/>
      </c>
      <c r="I236" s="46">
        <f>SUMIFS('Chi Tiết Học Phí'!$O$4:$O$1023,'Chi Tiết Học Phí'!$A$4:$A$1023,A236)</f>
        <v/>
      </c>
      <c r="J236" s="46">
        <f>SUMIFS('Chi Tiết Học Phí'!$P$4:$P$1023,'Chi Tiết Học Phí'!$A$4:$A$1023,A236)</f>
        <v/>
      </c>
      <c r="K236" s="45">
        <f>IF(J236&gt;0,"Còn nợ","Đã hoàn thành")</f>
        <v/>
      </c>
    </row>
    <row r="237">
      <c r="A237" s="45" t="inlineStr">
        <is>
          <t>253610681</t>
        </is>
      </c>
      <c r="B237" s="45" t="inlineStr">
        <is>
          <t>NGUYỄN BÁ MẠNH</t>
        </is>
      </c>
      <c r="C237" s="45" t="inlineStr">
        <is>
          <t>Khoa học máy tính K66</t>
        </is>
      </c>
      <c r="D237" s="46">
        <f>SUMIFS('Chi Tiết Học Phí'!$H$4:$H$1023,'Chi Tiết Học Phí'!$A$4:$A$1023,A237)</f>
        <v/>
      </c>
      <c r="E237" s="46">
        <f>SUMIFS('Chi Tiết Học Phí'!$J$4:$J$1023,'Chi Tiết Học Phí'!$A$4:$A$1023,A237)</f>
        <v/>
      </c>
      <c r="F237" s="46">
        <f>SUMIFS('Chi Tiết Học Phí'!$K$4:$K$1023,'Chi Tiết Học Phí'!$A$4:$A$1023,A237)</f>
        <v/>
      </c>
      <c r="G237" s="46">
        <f>SUMIFS('Chi Tiết Học Phí'!$L$4:$L$1023,'Chi Tiết Học Phí'!$A$4:$A$1023,A237)</f>
        <v/>
      </c>
      <c r="H237" s="46">
        <f>SUMIFS('Chi Tiết Học Phí'!$M$4:$M$1023,'Chi Tiết Học Phí'!$A$4:$A$1023,A237)-SUMIFS('Chi Tiết Học Phí'!$N$4:$N$1023,'Chi Tiết Học Phí'!$A$4:$A$1023,A237)</f>
        <v/>
      </c>
      <c r="I237" s="46">
        <f>SUMIFS('Chi Tiết Học Phí'!$O$4:$O$1023,'Chi Tiết Học Phí'!$A$4:$A$1023,A237)</f>
        <v/>
      </c>
      <c r="J237" s="46">
        <f>SUMIFS('Chi Tiết Học Phí'!$P$4:$P$1023,'Chi Tiết Học Phí'!$A$4:$A$1023,A237)</f>
        <v/>
      </c>
      <c r="K237" s="45">
        <f>IF(J237&gt;0,"Còn nợ","Đã hoàn thành")</f>
        <v/>
      </c>
    </row>
    <row r="238">
      <c r="A238" s="45" t="inlineStr">
        <is>
          <t>253610682</t>
        </is>
      </c>
      <c r="B238" s="45" t="inlineStr">
        <is>
          <t>HOÀNG GIA MINH</t>
        </is>
      </c>
      <c r="C238" s="45" t="inlineStr">
        <is>
          <t>Khoa học máy tính K66</t>
        </is>
      </c>
      <c r="D238" s="46">
        <f>SUMIFS('Chi Tiết Học Phí'!$H$4:$H$1023,'Chi Tiết Học Phí'!$A$4:$A$1023,A238)</f>
        <v/>
      </c>
      <c r="E238" s="46">
        <f>SUMIFS('Chi Tiết Học Phí'!$J$4:$J$1023,'Chi Tiết Học Phí'!$A$4:$A$1023,A238)</f>
        <v/>
      </c>
      <c r="F238" s="46">
        <f>SUMIFS('Chi Tiết Học Phí'!$K$4:$K$1023,'Chi Tiết Học Phí'!$A$4:$A$1023,A238)</f>
        <v/>
      </c>
      <c r="G238" s="46">
        <f>SUMIFS('Chi Tiết Học Phí'!$L$4:$L$1023,'Chi Tiết Học Phí'!$A$4:$A$1023,A238)</f>
        <v/>
      </c>
      <c r="H238" s="46">
        <f>SUMIFS('Chi Tiết Học Phí'!$M$4:$M$1023,'Chi Tiết Học Phí'!$A$4:$A$1023,A238)-SUMIFS('Chi Tiết Học Phí'!$N$4:$N$1023,'Chi Tiết Học Phí'!$A$4:$A$1023,A238)</f>
        <v/>
      </c>
      <c r="I238" s="46">
        <f>SUMIFS('Chi Tiết Học Phí'!$O$4:$O$1023,'Chi Tiết Học Phí'!$A$4:$A$1023,A238)</f>
        <v/>
      </c>
      <c r="J238" s="46">
        <f>SUMIFS('Chi Tiết Học Phí'!$P$4:$P$1023,'Chi Tiết Học Phí'!$A$4:$A$1023,A238)</f>
        <v/>
      </c>
      <c r="K238" s="45">
        <f>IF(J238&gt;0,"Còn nợ","Đã hoàn thành")</f>
        <v/>
      </c>
    </row>
    <row r="239">
      <c r="A239" s="45" t="inlineStr">
        <is>
          <t>253610683</t>
        </is>
      </c>
      <c r="B239" s="45" t="inlineStr">
        <is>
          <t>LÊ QUANG MINH</t>
        </is>
      </c>
      <c r="C239" s="45" t="inlineStr">
        <is>
          <t>Khoa học máy tính K66</t>
        </is>
      </c>
      <c r="D239" s="46">
        <f>SUMIFS('Chi Tiết Học Phí'!$H$4:$H$1023,'Chi Tiết Học Phí'!$A$4:$A$1023,A239)</f>
        <v/>
      </c>
      <c r="E239" s="46">
        <f>SUMIFS('Chi Tiết Học Phí'!$J$4:$J$1023,'Chi Tiết Học Phí'!$A$4:$A$1023,A239)</f>
        <v/>
      </c>
      <c r="F239" s="46">
        <f>SUMIFS('Chi Tiết Học Phí'!$K$4:$K$1023,'Chi Tiết Học Phí'!$A$4:$A$1023,A239)</f>
        <v/>
      </c>
      <c r="G239" s="46">
        <f>SUMIFS('Chi Tiết Học Phí'!$L$4:$L$1023,'Chi Tiết Học Phí'!$A$4:$A$1023,A239)</f>
        <v/>
      </c>
      <c r="H239" s="46">
        <f>SUMIFS('Chi Tiết Học Phí'!$M$4:$M$1023,'Chi Tiết Học Phí'!$A$4:$A$1023,A239)-SUMIFS('Chi Tiết Học Phí'!$N$4:$N$1023,'Chi Tiết Học Phí'!$A$4:$A$1023,A239)</f>
        <v/>
      </c>
      <c r="I239" s="46">
        <f>SUMIFS('Chi Tiết Học Phí'!$O$4:$O$1023,'Chi Tiết Học Phí'!$A$4:$A$1023,A239)</f>
        <v/>
      </c>
      <c r="J239" s="46">
        <f>SUMIFS('Chi Tiết Học Phí'!$P$4:$P$1023,'Chi Tiết Học Phí'!$A$4:$A$1023,A239)</f>
        <v/>
      </c>
      <c r="K239" s="45">
        <f>IF(J239&gt;0,"Còn nợ","Đã hoàn thành")</f>
        <v/>
      </c>
    </row>
    <row r="240">
      <c r="A240" s="45" t="inlineStr">
        <is>
          <t>253610684</t>
        </is>
      </c>
      <c r="B240" s="45" t="inlineStr">
        <is>
          <t>NGUYỄN NHẬT MINH</t>
        </is>
      </c>
      <c r="C240" s="45" t="inlineStr">
        <is>
          <t>Khoa học máy tính K66</t>
        </is>
      </c>
      <c r="D240" s="46">
        <f>SUMIFS('Chi Tiết Học Phí'!$H$4:$H$1023,'Chi Tiết Học Phí'!$A$4:$A$1023,A240)</f>
        <v/>
      </c>
      <c r="E240" s="46">
        <f>SUMIFS('Chi Tiết Học Phí'!$J$4:$J$1023,'Chi Tiết Học Phí'!$A$4:$A$1023,A240)</f>
        <v/>
      </c>
      <c r="F240" s="46">
        <f>SUMIFS('Chi Tiết Học Phí'!$K$4:$K$1023,'Chi Tiết Học Phí'!$A$4:$A$1023,A240)</f>
        <v/>
      </c>
      <c r="G240" s="46">
        <f>SUMIFS('Chi Tiết Học Phí'!$L$4:$L$1023,'Chi Tiết Học Phí'!$A$4:$A$1023,A240)</f>
        <v/>
      </c>
      <c r="H240" s="46">
        <f>SUMIFS('Chi Tiết Học Phí'!$M$4:$M$1023,'Chi Tiết Học Phí'!$A$4:$A$1023,A240)-SUMIFS('Chi Tiết Học Phí'!$N$4:$N$1023,'Chi Tiết Học Phí'!$A$4:$A$1023,A240)</f>
        <v/>
      </c>
      <c r="I240" s="46">
        <f>SUMIFS('Chi Tiết Học Phí'!$O$4:$O$1023,'Chi Tiết Học Phí'!$A$4:$A$1023,A240)</f>
        <v/>
      </c>
      <c r="J240" s="46">
        <f>SUMIFS('Chi Tiết Học Phí'!$P$4:$P$1023,'Chi Tiết Học Phí'!$A$4:$A$1023,A240)</f>
        <v/>
      </c>
      <c r="K240" s="45">
        <f>IF(J240&gt;0,"Còn nợ","Đã hoàn thành")</f>
        <v/>
      </c>
    </row>
    <row r="241">
      <c r="A241" s="45" t="inlineStr">
        <is>
          <t>253610685</t>
        </is>
      </c>
      <c r="B241" s="45" t="inlineStr">
        <is>
          <t>NGUYỄN THÀNH MINH</t>
        </is>
      </c>
      <c r="C241" s="45" t="inlineStr">
        <is>
          <t>Khoa học máy tính K66</t>
        </is>
      </c>
      <c r="D241" s="46">
        <f>SUMIFS('Chi Tiết Học Phí'!$H$4:$H$1023,'Chi Tiết Học Phí'!$A$4:$A$1023,A241)</f>
        <v/>
      </c>
      <c r="E241" s="46">
        <f>SUMIFS('Chi Tiết Học Phí'!$J$4:$J$1023,'Chi Tiết Học Phí'!$A$4:$A$1023,A241)</f>
        <v/>
      </c>
      <c r="F241" s="46">
        <f>SUMIFS('Chi Tiết Học Phí'!$K$4:$K$1023,'Chi Tiết Học Phí'!$A$4:$A$1023,A241)</f>
        <v/>
      </c>
      <c r="G241" s="46">
        <f>SUMIFS('Chi Tiết Học Phí'!$L$4:$L$1023,'Chi Tiết Học Phí'!$A$4:$A$1023,A241)</f>
        <v/>
      </c>
      <c r="H241" s="46">
        <f>SUMIFS('Chi Tiết Học Phí'!$M$4:$M$1023,'Chi Tiết Học Phí'!$A$4:$A$1023,A241)-SUMIFS('Chi Tiết Học Phí'!$N$4:$N$1023,'Chi Tiết Học Phí'!$A$4:$A$1023,A241)</f>
        <v/>
      </c>
      <c r="I241" s="46">
        <f>SUMIFS('Chi Tiết Học Phí'!$O$4:$O$1023,'Chi Tiết Học Phí'!$A$4:$A$1023,A241)</f>
        <v/>
      </c>
      <c r="J241" s="46">
        <f>SUMIFS('Chi Tiết Học Phí'!$P$4:$P$1023,'Chi Tiết Học Phí'!$A$4:$A$1023,A241)</f>
        <v/>
      </c>
      <c r="K241" s="45">
        <f>IF(J241&gt;0,"Còn nợ","Đã hoàn thành")</f>
        <v/>
      </c>
    </row>
    <row r="242">
      <c r="A242" s="45" t="inlineStr">
        <is>
          <t>253610686</t>
        </is>
      </c>
      <c r="B242" s="45" t="inlineStr">
        <is>
          <t>PHẠM NHẬT MINH</t>
        </is>
      </c>
      <c r="C242" s="45" t="inlineStr">
        <is>
          <t>Khoa học máy tính K66</t>
        </is>
      </c>
      <c r="D242" s="46">
        <f>SUMIFS('Chi Tiết Học Phí'!$H$4:$H$1023,'Chi Tiết Học Phí'!$A$4:$A$1023,A242)</f>
        <v/>
      </c>
      <c r="E242" s="46">
        <f>SUMIFS('Chi Tiết Học Phí'!$J$4:$J$1023,'Chi Tiết Học Phí'!$A$4:$A$1023,A242)</f>
        <v/>
      </c>
      <c r="F242" s="46">
        <f>SUMIFS('Chi Tiết Học Phí'!$K$4:$K$1023,'Chi Tiết Học Phí'!$A$4:$A$1023,A242)</f>
        <v/>
      </c>
      <c r="G242" s="46">
        <f>SUMIFS('Chi Tiết Học Phí'!$L$4:$L$1023,'Chi Tiết Học Phí'!$A$4:$A$1023,A242)</f>
        <v/>
      </c>
      <c r="H242" s="46">
        <f>SUMIFS('Chi Tiết Học Phí'!$M$4:$M$1023,'Chi Tiết Học Phí'!$A$4:$A$1023,A242)-SUMIFS('Chi Tiết Học Phí'!$N$4:$N$1023,'Chi Tiết Học Phí'!$A$4:$A$1023,A242)</f>
        <v/>
      </c>
      <c r="I242" s="46">
        <f>SUMIFS('Chi Tiết Học Phí'!$O$4:$O$1023,'Chi Tiết Học Phí'!$A$4:$A$1023,A242)</f>
        <v/>
      </c>
      <c r="J242" s="46">
        <f>SUMIFS('Chi Tiết Học Phí'!$P$4:$P$1023,'Chi Tiết Học Phí'!$A$4:$A$1023,A242)</f>
        <v/>
      </c>
      <c r="K242" s="45">
        <f>IF(J242&gt;0,"Còn nợ","Đã hoàn thành")</f>
        <v/>
      </c>
    </row>
    <row r="243">
      <c r="A243" s="45" t="inlineStr">
        <is>
          <t>253630687</t>
        </is>
      </c>
      <c r="B243" s="45" t="inlineStr">
        <is>
          <t>HOÀNG TUẤN PHONG</t>
        </is>
      </c>
      <c r="C243" s="45" t="inlineStr">
        <is>
          <t>Khoa học máy tính K66</t>
        </is>
      </c>
      <c r="D243" s="46">
        <f>SUMIFS('Chi Tiết Học Phí'!$H$4:$H$1023,'Chi Tiết Học Phí'!$A$4:$A$1023,A243)</f>
        <v/>
      </c>
      <c r="E243" s="46">
        <f>SUMIFS('Chi Tiết Học Phí'!$J$4:$J$1023,'Chi Tiết Học Phí'!$A$4:$A$1023,A243)</f>
        <v/>
      </c>
      <c r="F243" s="46">
        <f>SUMIFS('Chi Tiết Học Phí'!$K$4:$K$1023,'Chi Tiết Học Phí'!$A$4:$A$1023,A243)</f>
        <v/>
      </c>
      <c r="G243" s="46">
        <f>SUMIFS('Chi Tiết Học Phí'!$L$4:$L$1023,'Chi Tiết Học Phí'!$A$4:$A$1023,A243)</f>
        <v/>
      </c>
      <c r="H243" s="46">
        <f>SUMIFS('Chi Tiết Học Phí'!$M$4:$M$1023,'Chi Tiết Học Phí'!$A$4:$A$1023,A243)-SUMIFS('Chi Tiết Học Phí'!$N$4:$N$1023,'Chi Tiết Học Phí'!$A$4:$A$1023,A243)</f>
        <v/>
      </c>
      <c r="I243" s="46">
        <f>SUMIFS('Chi Tiết Học Phí'!$O$4:$O$1023,'Chi Tiết Học Phí'!$A$4:$A$1023,A243)</f>
        <v/>
      </c>
      <c r="J243" s="46">
        <f>SUMIFS('Chi Tiết Học Phí'!$P$4:$P$1023,'Chi Tiết Học Phí'!$A$4:$A$1023,A243)</f>
        <v/>
      </c>
      <c r="K243" s="45">
        <f>IF(J243&gt;0,"Còn nợ","Đã hoàn thành")</f>
        <v/>
      </c>
    </row>
    <row r="244">
      <c r="A244" s="45" t="inlineStr">
        <is>
          <t>253630688</t>
        </is>
      </c>
      <c r="B244" s="45" t="inlineStr">
        <is>
          <t>TRẦN ĐAN PHONG</t>
        </is>
      </c>
      <c r="C244" s="45" t="inlineStr">
        <is>
          <t>Khoa học máy tính K66</t>
        </is>
      </c>
      <c r="D244" s="46">
        <f>SUMIFS('Chi Tiết Học Phí'!$H$4:$H$1023,'Chi Tiết Học Phí'!$A$4:$A$1023,A244)</f>
        <v/>
      </c>
      <c r="E244" s="46">
        <f>SUMIFS('Chi Tiết Học Phí'!$J$4:$J$1023,'Chi Tiết Học Phí'!$A$4:$A$1023,A244)</f>
        <v/>
      </c>
      <c r="F244" s="46">
        <f>SUMIFS('Chi Tiết Học Phí'!$K$4:$K$1023,'Chi Tiết Học Phí'!$A$4:$A$1023,A244)</f>
        <v/>
      </c>
      <c r="G244" s="46">
        <f>SUMIFS('Chi Tiết Học Phí'!$L$4:$L$1023,'Chi Tiết Học Phí'!$A$4:$A$1023,A244)</f>
        <v/>
      </c>
      <c r="H244" s="46">
        <f>SUMIFS('Chi Tiết Học Phí'!$M$4:$M$1023,'Chi Tiết Học Phí'!$A$4:$A$1023,A244)-SUMIFS('Chi Tiết Học Phí'!$N$4:$N$1023,'Chi Tiết Học Phí'!$A$4:$A$1023,A244)</f>
        <v/>
      </c>
      <c r="I244" s="46">
        <f>SUMIFS('Chi Tiết Học Phí'!$O$4:$O$1023,'Chi Tiết Học Phí'!$A$4:$A$1023,A244)</f>
        <v/>
      </c>
      <c r="J244" s="46">
        <f>SUMIFS('Chi Tiết Học Phí'!$P$4:$P$1023,'Chi Tiết Học Phí'!$A$4:$A$1023,A244)</f>
        <v/>
      </c>
      <c r="K244" s="45">
        <f>IF(J244&gt;0,"Còn nợ","Đã hoàn thành")</f>
        <v/>
      </c>
    </row>
    <row r="245">
      <c r="A245" s="45" t="inlineStr">
        <is>
          <t>253634785</t>
        </is>
      </c>
      <c r="B245" s="45" t="inlineStr">
        <is>
          <t>ĐINH VĂN PHÚC</t>
        </is>
      </c>
      <c r="C245" s="45" t="inlineStr">
        <is>
          <t>Khoa học máy tính K66</t>
        </is>
      </c>
      <c r="D245" s="46">
        <f>SUMIFS('Chi Tiết Học Phí'!$H$4:$H$1023,'Chi Tiết Học Phí'!$A$4:$A$1023,A245)</f>
        <v/>
      </c>
      <c r="E245" s="46">
        <f>SUMIFS('Chi Tiết Học Phí'!$J$4:$J$1023,'Chi Tiết Học Phí'!$A$4:$A$1023,A245)</f>
        <v/>
      </c>
      <c r="F245" s="46">
        <f>SUMIFS('Chi Tiết Học Phí'!$K$4:$K$1023,'Chi Tiết Học Phí'!$A$4:$A$1023,A245)</f>
        <v/>
      </c>
      <c r="G245" s="46">
        <f>SUMIFS('Chi Tiết Học Phí'!$L$4:$L$1023,'Chi Tiết Học Phí'!$A$4:$A$1023,A245)</f>
        <v/>
      </c>
      <c r="H245" s="46">
        <f>SUMIFS('Chi Tiết Học Phí'!$M$4:$M$1023,'Chi Tiết Học Phí'!$A$4:$A$1023,A245)-SUMIFS('Chi Tiết Học Phí'!$N$4:$N$1023,'Chi Tiết Học Phí'!$A$4:$A$1023,A245)</f>
        <v/>
      </c>
      <c r="I245" s="46">
        <f>SUMIFS('Chi Tiết Học Phí'!$O$4:$O$1023,'Chi Tiết Học Phí'!$A$4:$A$1023,A245)</f>
        <v/>
      </c>
      <c r="J245" s="46">
        <f>SUMIFS('Chi Tiết Học Phí'!$P$4:$P$1023,'Chi Tiết Học Phí'!$A$4:$A$1023,A245)</f>
        <v/>
      </c>
      <c r="K245" s="45">
        <f>IF(J245&gt;0,"Còn nợ","Đã hoàn thành")</f>
        <v/>
      </c>
    </row>
    <row r="246">
      <c r="A246" s="45" t="inlineStr">
        <is>
          <t>253610689</t>
        </is>
      </c>
      <c r="B246" s="45" t="inlineStr">
        <is>
          <t>HOÀNG MINH QUÂN</t>
        </is>
      </c>
      <c r="C246" s="45" t="inlineStr">
        <is>
          <t>Khoa học máy tính K66</t>
        </is>
      </c>
      <c r="D246" s="46">
        <f>SUMIFS('Chi Tiết Học Phí'!$H$4:$H$1023,'Chi Tiết Học Phí'!$A$4:$A$1023,A246)</f>
        <v/>
      </c>
      <c r="E246" s="46">
        <f>SUMIFS('Chi Tiết Học Phí'!$J$4:$J$1023,'Chi Tiết Học Phí'!$A$4:$A$1023,A246)</f>
        <v/>
      </c>
      <c r="F246" s="46">
        <f>SUMIFS('Chi Tiết Học Phí'!$K$4:$K$1023,'Chi Tiết Học Phí'!$A$4:$A$1023,A246)</f>
        <v/>
      </c>
      <c r="G246" s="46">
        <f>SUMIFS('Chi Tiết Học Phí'!$L$4:$L$1023,'Chi Tiết Học Phí'!$A$4:$A$1023,A246)</f>
        <v/>
      </c>
      <c r="H246" s="46">
        <f>SUMIFS('Chi Tiết Học Phí'!$M$4:$M$1023,'Chi Tiết Học Phí'!$A$4:$A$1023,A246)-SUMIFS('Chi Tiết Học Phí'!$N$4:$N$1023,'Chi Tiết Học Phí'!$A$4:$A$1023,A246)</f>
        <v/>
      </c>
      <c r="I246" s="46">
        <f>SUMIFS('Chi Tiết Học Phí'!$O$4:$O$1023,'Chi Tiết Học Phí'!$A$4:$A$1023,A246)</f>
        <v/>
      </c>
      <c r="J246" s="46">
        <f>SUMIFS('Chi Tiết Học Phí'!$P$4:$P$1023,'Chi Tiết Học Phí'!$A$4:$A$1023,A246)</f>
        <v/>
      </c>
      <c r="K246" s="45">
        <f>IF(J246&gt;0,"Còn nợ","Đã hoàn thành")</f>
        <v/>
      </c>
    </row>
    <row r="247">
      <c r="A247" s="45" t="inlineStr">
        <is>
          <t>253610690</t>
        </is>
      </c>
      <c r="B247" s="45" t="inlineStr">
        <is>
          <t>ĐỖ MINH SƠN</t>
        </is>
      </c>
      <c r="C247" s="45" t="inlineStr">
        <is>
          <t>Khoa học máy tính K66</t>
        </is>
      </c>
      <c r="D247" s="46">
        <f>SUMIFS('Chi Tiết Học Phí'!$H$4:$H$1023,'Chi Tiết Học Phí'!$A$4:$A$1023,A247)</f>
        <v/>
      </c>
      <c r="E247" s="46">
        <f>SUMIFS('Chi Tiết Học Phí'!$J$4:$J$1023,'Chi Tiết Học Phí'!$A$4:$A$1023,A247)</f>
        <v/>
      </c>
      <c r="F247" s="46">
        <f>SUMIFS('Chi Tiết Học Phí'!$K$4:$K$1023,'Chi Tiết Học Phí'!$A$4:$A$1023,A247)</f>
        <v/>
      </c>
      <c r="G247" s="46">
        <f>SUMIFS('Chi Tiết Học Phí'!$L$4:$L$1023,'Chi Tiết Học Phí'!$A$4:$A$1023,A247)</f>
        <v/>
      </c>
      <c r="H247" s="46">
        <f>SUMIFS('Chi Tiết Học Phí'!$M$4:$M$1023,'Chi Tiết Học Phí'!$A$4:$A$1023,A247)-SUMIFS('Chi Tiết Học Phí'!$N$4:$N$1023,'Chi Tiết Học Phí'!$A$4:$A$1023,A247)</f>
        <v/>
      </c>
      <c r="I247" s="46">
        <f>SUMIFS('Chi Tiết Học Phí'!$O$4:$O$1023,'Chi Tiết Học Phí'!$A$4:$A$1023,A247)</f>
        <v/>
      </c>
      <c r="J247" s="46">
        <f>SUMIFS('Chi Tiết Học Phí'!$P$4:$P$1023,'Chi Tiết Học Phí'!$A$4:$A$1023,A247)</f>
        <v/>
      </c>
      <c r="K247" s="45">
        <f>IF(J247&gt;0,"Còn nợ","Đã hoàn thành")</f>
        <v/>
      </c>
    </row>
    <row r="248">
      <c r="A248" s="45" t="inlineStr">
        <is>
          <t>253630694</t>
        </is>
      </c>
      <c r="B248" s="45" t="inlineStr">
        <is>
          <t>HỒ SỸ THẮNG</t>
        </is>
      </c>
      <c r="C248" s="45" t="inlineStr">
        <is>
          <t>Khoa học máy tính K66</t>
        </is>
      </c>
      <c r="D248" s="46">
        <f>SUMIFS('Chi Tiết Học Phí'!$H$4:$H$1023,'Chi Tiết Học Phí'!$A$4:$A$1023,A248)</f>
        <v/>
      </c>
      <c r="E248" s="46">
        <f>SUMIFS('Chi Tiết Học Phí'!$J$4:$J$1023,'Chi Tiết Học Phí'!$A$4:$A$1023,A248)</f>
        <v/>
      </c>
      <c r="F248" s="46">
        <f>SUMIFS('Chi Tiết Học Phí'!$K$4:$K$1023,'Chi Tiết Học Phí'!$A$4:$A$1023,A248)</f>
        <v/>
      </c>
      <c r="G248" s="46">
        <f>SUMIFS('Chi Tiết Học Phí'!$L$4:$L$1023,'Chi Tiết Học Phí'!$A$4:$A$1023,A248)</f>
        <v/>
      </c>
      <c r="H248" s="46">
        <f>SUMIFS('Chi Tiết Học Phí'!$M$4:$M$1023,'Chi Tiết Học Phí'!$A$4:$A$1023,A248)-SUMIFS('Chi Tiết Học Phí'!$N$4:$N$1023,'Chi Tiết Học Phí'!$A$4:$A$1023,A248)</f>
        <v/>
      </c>
      <c r="I248" s="46">
        <f>SUMIFS('Chi Tiết Học Phí'!$O$4:$O$1023,'Chi Tiết Học Phí'!$A$4:$A$1023,A248)</f>
        <v/>
      </c>
      <c r="J248" s="46">
        <f>SUMIFS('Chi Tiết Học Phí'!$P$4:$P$1023,'Chi Tiết Học Phí'!$A$4:$A$1023,A248)</f>
        <v/>
      </c>
      <c r="K248" s="45">
        <f>IF(J248&gt;0,"Còn nợ","Đã hoàn thành")</f>
        <v/>
      </c>
    </row>
    <row r="249">
      <c r="A249" s="45" t="inlineStr">
        <is>
          <t>253610691</t>
        </is>
      </c>
      <c r="B249" s="45" t="inlineStr">
        <is>
          <t>ĐẶNG THẾ THÀNH</t>
        </is>
      </c>
      <c r="C249" s="45" t="inlineStr">
        <is>
          <t>Khoa học máy tính K66</t>
        </is>
      </c>
      <c r="D249" s="46">
        <f>SUMIFS('Chi Tiết Học Phí'!$H$4:$H$1023,'Chi Tiết Học Phí'!$A$4:$A$1023,A249)</f>
        <v/>
      </c>
      <c r="E249" s="46">
        <f>SUMIFS('Chi Tiết Học Phí'!$J$4:$J$1023,'Chi Tiết Học Phí'!$A$4:$A$1023,A249)</f>
        <v/>
      </c>
      <c r="F249" s="46">
        <f>SUMIFS('Chi Tiết Học Phí'!$K$4:$K$1023,'Chi Tiết Học Phí'!$A$4:$A$1023,A249)</f>
        <v/>
      </c>
      <c r="G249" s="46">
        <f>SUMIFS('Chi Tiết Học Phí'!$L$4:$L$1023,'Chi Tiết Học Phí'!$A$4:$A$1023,A249)</f>
        <v/>
      </c>
      <c r="H249" s="46">
        <f>SUMIFS('Chi Tiết Học Phí'!$M$4:$M$1023,'Chi Tiết Học Phí'!$A$4:$A$1023,A249)-SUMIFS('Chi Tiết Học Phí'!$N$4:$N$1023,'Chi Tiết Học Phí'!$A$4:$A$1023,A249)</f>
        <v/>
      </c>
      <c r="I249" s="46">
        <f>SUMIFS('Chi Tiết Học Phí'!$O$4:$O$1023,'Chi Tiết Học Phí'!$A$4:$A$1023,A249)</f>
        <v/>
      </c>
      <c r="J249" s="46">
        <f>SUMIFS('Chi Tiết Học Phí'!$P$4:$P$1023,'Chi Tiết Học Phí'!$A$4:$A$1023,A249)</f>
        <v/>
      </c>
      <c r="K249" s="45">
        <f>IF(J249&gt;0,"Còn nợ","Đã hoàn thành")</f>
        <v/>
      </c>
    </row>
    <row r="250">
      <c r="A250" s="45" t="inlineStr">
        <is>
          <t>253630692</t>
        </is>
      </c>
      <c r="B250" s="45" t="inlineStr">
        <is>
          <t>PHAN CHÍNH THÀNH</t>
        </is>
      </c>
      <c r="C250" s="45" t="inlineStr">
        <is>
          <t>Khoa học máy tính K66</t>
        </is>
      </c>
      <c r="D250" s="46">
        <f>SUMIFS('Chi Tiết Học Phí'!$H$4:$H$1023,'Chi Tiết Học Phí'!$A$4:$A$1023,A250)</f>
        <v/>
      </c>
      <c r="E250" s="46">
        <f>SUMIFS('Chi Tiết Học Phí'!$J$4:$J$1023,'Chi Tiết Học Phí'!$A$4:$A$1023,A250)</f>
        <v/>
      </c>
      <c r="F250" s="46">
        <f>SUMIFS('Chi Tiết Học Phí'!$K$4:$K$1023,'Chi Tiết Học Phí'!$A$4:$A$1023,A250)</f>
        <v/>
      </c>
      <c r="G250" s="46">
        <f>SUMIFS('Chi Tiết Học Phí'!$L$4:$L$1023,'Chi Tiết Học Phí'!$A$4:$A$1023,A250)</f>
        <v/>
      </c>
      <c r="H250" s="46">
        <f>SUMIFS('Chi Tiết Học Phí'!$M$4:$M$1023,'Chi Tiết Học Phí'!$A$4:$A$1023,A250)-SUMIFS('Chi Tiết Học Phí'!$N$4:$N$1023,'Chi Tiết Học Phí'!$A$4:$A$1023,A250)</f>
        <v/>
      </c>
      <c r="I250" s="46">
        <f>SUMIFS('Chi Tiết Học Phí'!$O$4:$O$1023,'Chi Tiết Học Phí'!$A$4:$A$1023,A250)</f>
        <v/>
      </c>
      <c r="J250" s="46">
        <f>SUMIFS('Chi Tiết Học Phí'!$P$4:$P$1023,'Chi Tiết Học Phí'!$A$4:$A$1023,A250)</f>
        <v/>
      </c>
      <c r="K250" s="45">
        <f>IF(J250&gt;0,"Còn nợ","Đã hoàn thành")</f>
        <v/>
      </c>
    </row>
    <row r="251">
      <c r="A251" s="45" t="inlineStr">
        <is>
          <t>253610693</t>
        </is>
      </c>
      <c r="B251" s="45" t="inlineStr">
        <is>
          <t>TRẦN NHẬT THÀNH</t>
        </is>
      </c>
      <c r="C251" s="45" t="inlineStr">
        <is>
          <t>Khoa học máy tính K66</t>
        </is>
      </c>
      <c r="D251" s="46">
        <f>SUMIFS('Chi Tiết Học Phí'!$H$4:$H$1023,'Chi Tiết Học Phí'!$A$4:$A$1023,A251)</f>
        <v/>
      </c>
      <c r="E251" s="46">
        <f>SUMIFS('Chi Tiết Học Phí'!$J$4:$J$1023,'Chi Tiết Học Phí'!$A$4:$A$1023,A251)</f>
        <v/>
      </c>
      <c r="F251" s="46">
        <f>SUMIFS('Chi Tiết Học Phí'!$K$4:$K$1023,'Chi Tiết Học Phí'!$A$4:$A$1023,A251)</f>
        <v/>
      </c>
      <c r="G251" s="46">
        <f>SUMIFS('Chi Tiết Học Phí'!$L$4:$L$1023,'Chi Tiết Học Phí'!$A$4:$A$1023,A251)</f>
        <v/>
      </c>
      <c r="H251" s="46">
        <f>SUMIFS('Chi Tiết Học Phí'!$M$4:$M$1023,'Chi Tiết Học Phí'!$A$4:$A$1023,A251)-SUMIFS('Chi Tiết Học Phí'!$N$4:$N$1023,'Chi Tiết Học Phí'!$A$4:$A$1023,A251)</f>
        <v/>
      </c>
      <c r="I251" s="46">
        <f>SUMIFS('Chi Tiết Học Phí'!$O$4:$O$1023,'Chi Tiết Học Phí'!$A$4:$A$1023,A251)</f>
        <v/>
      </c>
      <c r="J251" s="46">
        <f>SUMIFS('Chi Tiết Học Phí'!$P$4:$P$1023,'Chi Tiết Học Phí'!$A$4:$A$1023,A251)</f>
        <v/>
      </c>
      <c r="K251" s="45">
        <f>IF(J251&gt;0,"Còn nợ","Đã hoàn thành")</f>
        <v/>
      </c>
    </row>
    <row r="252">
      <c r="A252" s="45" t="inlineStr">
        <is>
          <t>253630695</t>
        </is>
      </c>
      <c r="B252" s="45" t="inlineStr">
        <is>
          <t>CAO ĐĂNG THIỆN</t>
        </is>
      </c>
      <c r="C252" s="45" t="inlineStr">
        <is>
          <t>Khoa học máy tính K66</t>
        </is>
      </c>
      <c r="D252" s="46">
        <f>SUMIFS('Chi Tiết Học Phí'!$H$4:$H$1023,'Chi Tiết Học Phí'!$A$4:$A$1023,A252)</f>
        <v/>
      </c>
      <c r="E252" s="46">
        <f>SUMIFS('Chi Tiết Học Phí'!$J$4:$J$1023,'Chi Tiết Học Phí'!$A$4:$A$1023,A252)</f>
        <v/>
      </c>
      <c r="F252" s="46">
        <f>SUMIFS('Chi Tiết Học Phí'!$K$4:$K$1023,'Chi Tiết Học Phí'!$A$4:$A$1023,A252)</f>
        <v/>
      </c>
      <c r="G252" s="46">
        <f>SUMIFS('Chi Tiết Học Phí'!$L$4:$L$1023,'Chi Tiết Học Phí'!$A$4:$A$1023,A252)</f>
        <v/>
      </c>
      <c r="H252" s="46">
        <f>SUMIFS('Chi Tiết Học Phí'!$M$4:$M$1023,'Chi Tiết Học Phí'!$A$4:$A$1023,A252)-SUMIFS('Chi Tiết Học Phí'!$N$4:$N$1023,'Chi Tiết Học Phí'!$A$4:$A$1023,A252)</f>
        <v/>
      </c>
      <c r="I252" s="46">
        <f>SUMIFS('Chi Tiết Học Phí'!$O$4:$O$1023,'Chi Tiết Học Phí'!$A$4:$A$1023,A252)</f>
        <v/>
      </c>
      <c r="J252" s="46">
        <f>SUMIFS('Chi Tiết Học Phí'!$P$4:$P$1023,'Chi Tiết Học Phí'!$A$4:$A$1023,A252)</f>
        <v/>
      </c>
      <c r="K252" s="45">
        <f>IF(J252&gt;0,"Còn nợ","Đã hoàn thành")</f>
        <v/>
      </c>
    </row>
    <row r="253">
      <c r="A253" s="45" t="inlineStr">
        <is>
          <t>253610696</t>
        </is>
      </c>
      <c r="B253" s="45" t="inlineStr">
        <is>
          <t>NGUYỄN ĐỨC THỊNH</t>
        </is>
      </c>
      <c r="C253" s="45" t="inlineStr">
        <is>
          <t>Khoa học máy tính K66</t>
        </is>
      </c>
      <c r="D253" s="46">
        <f>SUMIFS('Chi Tiết Học Phí'!$H$4:$H$1023,'Chi Tiết Học Phí'!$A$4:$A$1023,A253)</f>
        <v/>
      </c>
      <c r="E253" s="46">
        <f>SUMIFS('Chi Tiết Học Phí'!$J$4:$J$1023,'Chi Tiết Học Phí'!$A$4:$A$1023,A253)</f>
        <v/>
      </c>
      <c r="F253" s="46">
        <f>SUMIFS('Chi Tiết Học Phí'!$K$4:$K$1023,'Chi Tiết Học Phí'!$A$4:$A$1023,A253)</f>
        <v/>
      </c>
      <c r="G253" s="46">
        <f>SUMIFS('Chi Tiết Học Phí'!$L$4:$L$1023,'Chi Tiết Học Phí'!$A$4:$A$1023,A253)</f>
        <v/>
      </c>
      <c r="H253" s="46">
        <f>SUMIFS('Chi Tiết Học Phí'!$M$4:$M$1023,'Chi Tiết Học Phí'!$A$4:$A$1023,A253)-SUMIFS('Chi Tiết Học Phí'!$N$4:$N$1023,'Chi Tiết Học Phí'!$A$4:$A$1023,A253)</f>
        <v/>
      </c>
      <c r="I253" s="46">
        <f>SUMIFS('Chi Tiết Học Phí'!$O$4:$O$1023,'Chi Tiết Học Phí'!$A$4:$A$1023,A253)</f>
        <v/>
      </c>
      <c r="J253" s="46">
        <f>SUMIFS('Chi Tiết Học Phí'!$P$4:$P$1023,'Chi Tiết Học Phí'!$A$4:$A$1023,A253)</f>
        <v/>
      </c>
      <c r="K253" s="45">
        <f>IF(J253&gt;0,"Còn nợ","Đã hoàn thành")</f>
        <v/>
      </c>
    </row>
    <row r="254">
      <c r="A254" s="45" t="inlineStr">
        <is>
          <t>253610697</t>
        </is>
      </c>
      <c r="B254" s="45" t="inlineStr">
        <is>
          <t>PHẠM THANH THÙY</t>
        </is>
      </c>
      <c r="C254" s="45" t="inlineStr">
        <is>
          <t>Khoa học máy tính K66</t>
        </is>
      </c>
      <c r="D254" s="46">
        <f>SUMIFS('Chi Tiết Học Phí'!$H$4:$H$1023,'Chi Tiết Học Phí'!$A$4:$A$1023,A254)</f>
        <v/>
      </c>
      <c r="E254" s="46">
        <f>SUMIFS('Chi Tiết Học Phí'!$J$4:$J$1023,'Chi Tiết Học Phí'!$A$4:$A$1023,A254)</f>
        <v/>
      </c>
      <c r="F254" s="46">
        <f>SUMIFS('Chi Tiết Học Phí'!$K$4:$K$1023,'Chi Tiết Học Phí'!$A$4:$A$1023,A254)</f>
        <v/>
      </c>
      <c r="G254" s="46">
        <f>SUMIFS('Chi Tiết Học Phí'!$L$4:$L$1023,'Chi Tiết Học Phí'!$A$4:$A$1023,A254)</f>
        <v/>
      </c>
      <c r="H254" s="46">
        <f>SUMIFS('Chi Tiết Học Phí'!$M$4:$M$1023,'Chi Tiết Học Phí'!$A$4:$A$1023,A254)-SUMIFS('Chi Tiết Học Phí'!$N$4:$N$1023,'Chi Tiết Học Phí'!$A$4:$A$1023,A254)</f>
        <v/>
      </c>
      <c r="I254" s="46">
        <f>SUMIFS('Chi Tiết Học Phí'!$O$4:$O$1023,'Chi Tiết Học Phí'!$A$4:$A$1023,A254)</f>
        <v/>
      </c>
      <c r="J254" s="46">
        <f>SUMIFS('Chi Tiết Học Phí'!$P$4:$P$1023,'Chi Tiết Học Phí'!$A$4:$A$1023,A254)</f>
        <v/>
      </c>
      <c r="K254" s="45">
        <f>IF(J254&gt;0,"Còn nợ","Đã hoàn thành")</f>
        <v/>
      </c>
    </row>
    <row r="255">
      <c r="A255" s="45" t="inlineStr">
        <is>
          <t>253630698</t>
        </is>
      </c>
      <c r="B255" s="45" t="inlineStr">
        <is>
          <t>NGUYỄN VĂN TIỆM</t>
        </is>
      </c>
      <c r="C255" s="45" t="inlineStr">
        <is>
          <t>Khoa học máy tính K66</t>
        </is>
      </c>
      <c r="D255" s="46">
        <f>SUMIFS('Chi Tiết Học Phí'!$H$4:$H$1023,'Chi Tiết Học Phí'!$A$4:$A$1023,A255)</f>
        <v/>
      </c>
      <c r="E255" s="46">
        <f>SUMIFS('Chi Tiết Học Phí'!$J$4:$J$1023,'Chi Tiết Học Phí'!$A$4:$A$1023,A255)</f>
        <v/>
      </c>
      <c r="F255" s="46">
        <f>SUMIFS('Chi Tiết Học Phí'!$K$4:$K$1023,'Chi Tiết Học Phí'!$A$4:$A$1023,A255)</f>
        <v/>
      </c>
      <c r="G255" s="46">
        <f>SUMIFS('Chi Tiết Học Phí'!$L$4:$L$1023,'Chi Tiết Học Phí'!$A$4:$A$1023,A255)</f>
        <v/>
      </c>
      <c r="H255" s="46">
        <f>SUMIFS('Chi Tiết Học Phí'!$M$4:$M$1023,'Chi Tiết Học Phí'!$A$4:$A$1023,A255)-SUMIFS('Chi Tiết Học Phí'!$N$4:$N$1023,'Chi Tiết Học Phí'!$A$4:$A$1023,A255)</f>
        <v/>
      </c>
      <c r="I255" s="46">
        <f>SUMIFS('Chi Tiết Học Phí'!$O$4:$O$1023,'Chi Tiết Học Phí'!$A$4:$A$1023,A255)</f>
        <v/>
      </c>
      <c r="J255" s="46">
        <f>SUMIFS('Chi Tiết Học Phí'!$P$4:$P$1023,'Chi Tiết Học Phí'!$A$4:$A$1023,A255)</f>
        <v/>
      </c>
      <c r="K255" s="45">
        <f>IF(J255&gt;0,"Còn nợ","Đã hoàn thành")</f>
        <v/>
      </c>
    </row>
    <row r="256">
      <c r="A256" s="45" t="inlineStr">
        <is>
          <t>253610699</t>
        </is>
      </c>
      <c r="B256" s="45" t="inlineStr">
        <is>
          <t>CAO VĂN TRÌNH</t>
        </is>
      </c>
      <c r="C256" s="45" t="inlineStr">
        <is>
          <t>Khoa học máy tính K66</t>
        </is>
      </c>
      <c r="D256" s="46">
        <f>SUMIFS('Chi Tiết Học Phí'!$H$4:$H$1023,'Chi Tiết Học Phí'!$A$4:$A$1023,A256)</f>
        <v/>
      </c>
      <c r="E256" s="46">
        <f>SUMIFS('Chi Tiết Học Phí'!$J$4:$J$1023,'Chi Tiết Học Phí'!$A$4:$A$1023,A256)</f>
        <v/>
      </c>
      <c r="F256" s="46">
        <f>SUMIFS('Chi Tiết Học Phí'!$K$4:$K$1023,'Chi Tiết Học Phí'!$A$4:$A$1023,A256)</f>
        <v/>
      </c>
      <c r="G256" s="46">
        <f>SUMIFS('Chi Tiết Học Phí'!$L$4:$L$1023,'Chi Tiết Học Phí'!$A$4:$A$1023,A256)</f>
        <v/>
      </c>
      <c r="H256" s="46">
        <f>SUMIFS('Chi Tiết Học Phí'!$M$4:$M$1023,'Chi Tiết Học Phí'!$A$4:$A$1023,A256)-SUMIFS('Chi Tiết Học Phí'!$N$4:$N$1023,'Chi Tiết Học Phí'!$A$4:$A$1023,A256)</f>
        <v/>
      </c>
      <c r="I256" s="46">
        <f>SUMIFS('Chi Tiết Học Phí'!$O$4:$O$1023,'Chi Tiết Học Phí'!$A$4:$A$1023,A256)</f>
        <v/>
      </c>
      <c r="J256" s="46">
        <f>SUMIFS('Chi Tiết Học Phí'!$P$4:$P$1023,'Chi Tiết Học Phí'!$A$4:$A$1023,A256)</f>
        <v/>
      </c>
      <c r="K256" s="45">
        <f>IF(J256&gt;0,"Còn nợ","Đã hoàn thành")</f>
        <v/>
      </c>
    </row>
    <row r="257">
      <c r="A257" s="45" t="inlineStr">
        <is>
          <t>253610700</t>
        </is>
      </c>
      <c r="B257" s="45" t="inlineStr">
        <is>
          <t>TRƯƠNG ANH TUẤN</t>
        </is>
      </c>
      <c r="C257" s="45" t="inlineStr">
        <is>
          <t>Khoa học máy tính K66</t>
        </is>
      </c>
      <c r="D257" s="46">
        <f>SUMIFS('Chi Tiết Học Phí'!$H$4:$H$1023,'Chi Tiết Học Phí'!$A$4:$A$1023,A257)</f>
        <v/>
      </c>
      <c r="E257" s="46">
        <f>SUMIFS('Chi Tiết Học Phí'!$J$4:$J$1023,'Chi Tiết Học Phí'!$A$4:$A$1023,A257)</f>
        <v/>
      </c>
      <c r="F257" s="46">
        <f>SUMIFS('Chi Tiết Học Phí'!$K$4:$K$1023,'Chi Tiết Học Phí'!$A$4:$A$1023,A257)</f>
        <v/>
      </c>
      <c r="G257" s="46">
        <f>SUMIFS('Chi Tiết Học Phí'!$L$4:$L$1023,'Chi Tiết Học Phí'!$A$4:$A$1023,A257)</f>
        <v/>
      </c>
      <c r="H257" s="46">
        <f>SUMIFS('Chi Tiết Học Phí'!$M$4:$M$1023,'Chi Tiết Học Phí'!$A$4:$A$1023,A257)-SUMIFS('Chi Tiết Học Phí'!$N$4:$N$1023,'Chi Tiết Học Phí'!$A$4:$A$1023,A257)</f>
        <v/>
      </c>
      <c r="I257" s="46">
        <f>SUMIFS('Chi Tiết Học Phí'!$O$4:$O$1023,'Chi Tiết Học Phí'!$A$4:$A$1023,A257)</f>
        <v/>
      </c>
      <c r="J257" s="46">
        <f>SUMIFS('Chi Tiết Học Phí'!$P$4:$P$1023,'Chi Tiết Học Phí'!$A$4:$A$1023,A257)</f>
        <v/>
      </c>
      <c r="K257" s="45">
        <f>IF(J257&gt;0,"Còn nợ","Đã hoàn thành")</f>
        <v/>
      </c>
    </row>
    <row r="258">
      <c r="A258" s="45" t="inlineStr">
        <is>
          <t>253610701</t>
        </is>
      </c>
      <c r="B258" s="45" t="inlineStr">
        <is>
          <t>NGUYỄN ĐĂNG VIỆT</t>
        </is>
      </c>
      <c r="C258" s="45" t="inlineStr">
        <is>
          <t>Khoa học máy tính K66</t>
        </is>
      </c>
      <c r="D258" s="46">
        <f>SUMIFS('Chi Tiết Học Phí'!$H$4:$H$1023,'Chi Tiết Học Phí'!$A$4:$A$1023,A258)</f>
        <v/>
      </c>
      <c r="E258" s="46">
        <f>SUMIFS('Chi Tiết Học Phí'!$J$4:$J$1023,'Chi Tiết Học Phí'!$A$4:$A$1023,A258)</f>
        <v/>
      </c>
      <c r="F258" s="46">
        <f>SUMIFS('Chi Tiết Học Phí'!$K$4:$K$1023,'Chi Tiết Học Phí'!$A$4:$A$1023,A258)</f>
        <v/>
      </c>
      <c r="G258" s="46">
        <f>SUMIFS('Chi Tiết Học Phí'!$L$4:$L$1023,'Chi Tiết Học Phí'!$A$4:$A$1023,A258)</f>
        <v/>
      </c>
      <c r="H258" s="46">
        <f>SUMIFS('Chi Tiết Học Phí'!$M$4:$M$1023,'Chi Tiết Học Phí'!$A$4:$A$1023,A258)-SUMIFS('Chi Tiết Học Phí'!$N$4:$N$1023,'Chi Tiết Học Phí'!$A$4:$A$1023,A258)</f>
        <v/>
      </c>
      <c r="I258" s="46">
        <f>SUMIFS('Chi Tiết Học Phí'!$O$4:$O$1023,'Chi Tiết Học Phí'!$A$4:$A$1023,A258)</f>
        <v/>
      </c>
      <c r="J258" s="46">
        <f>SUMIFS('Chi Tiết Học Phí'!$P$4:$P$1023,'Chi Tiết Học Phí'!$A$4:$A$1023,A258)</f>
        <v/>
      </c>
      <c r="K258" s="45">
        <f>IF(J258&gt;0,"Còn nợ","Đã hoàn thành")</f>
        <v/>
      </c>
    </row>
  </sheetData>
  <autoFilter ref="A3:K258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2026-10-24T15:22:05Z</dcterms:created>
  <dcterms:modified xmlns:dcterms="http://purl.org/dc/terms/" xmlns:xsi="http://www.w3.org/2001/XMLSchema-instance" xsi:type="dcterms:W3CDTF">2026-10-24T16:20:36Z</dcterms:modified>
</cp:coreProperties>
</file>